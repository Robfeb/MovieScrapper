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07481c9634414aa689f47f90472832.psmdcp" Id="R9419fd4ab9f24fc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5"/>
  </x:sheets>
  <x:definedNames/>
  <x:calcPr/>
</x:workbook>
</file>

<file path=xl/calcChain.xml><?xml version="1.0" encoding="utf-8"?>
<x:calcChain xmlns:x="http://schemas.openxmlformats.org/spreadsheetml/2006/main">
  <x:c r="B2" i="1"/>
  <x:c r="C2" i="1"/>
  <x:c r="B3" i="1"/>
  <x:c r="C3" i="1"/>
  <x:c r="B4" i="1"/>
  <x:c r="C4" i="1"/>
  <x:c r="B5" i="1"/>
  <x:c r="C5" i="1"/>
  <x:c r="B6" i="1"/>
  <x:c r="C6" i="1"/>
  <x:c r="B7" i="1"/>
  <x:c r="C7" i="1"/>
  <x:c r="B8" i="1"/>
  <x:c r="C8" i="1"/>
  <x:c r="B9" i="1"/>
  <x:c r="C9" i="1"/>
  <x:c r="B10" i="1"/>
  <x:c r="C10" i="1"/>
  <x:c r="B11" i="1"/>
  <x:c r="C11" i="1"/>
  <x:c r="B12" i="1"/>
  <x:c r="C12" i="1"/>
  <x:c r="B13" i="1"/>
  <x:c r="C13" i="1"/>
  <x:c r="B14" i="1"/>
  <x:c r="C14" i="1"/>
  <x:c r="B15" i="1"/>
  <x:c r="C15" i="1"/>
  <x:c r="B16" i="1"/>
  <x:c r="C16" i="1"/>
  <x:c r="B17" i="1"/>
  <x:c r="C17" i="1"/>
  <x:c r="B18" i="1"/>
  <x:c r="C18" i="1"/>
  <x:c r="B19" i="1"/>
  <x:c r="C19" i="1"/>
  <x:c r="B20" i="1"/>
  <x:c r="C20" i="1"/>
  <x:c r="B21" i="1"/>
  <x:c r="C21" i="1"/>
  <x:c r="B22" i="1"/>
  <x:c r="C22" i="1"/>
  <x:c r="B23" i="1"/>
  <x:c r="C23" i="1"/>
  <x:c r="B24" i="1"/>
  <x:c r="C24" i="1"/>
  <x:c r="B25" i="1"/>
  <x:c r="C25" i="1"/>
  <x:c r="B26" i="1"/>
  <x:c r="C26" i="1"/>
  <x:c r="B27" i="1"/>
  <x:c r="C27" i="1"/>
  <x:c r="B28" i="1"/>
  <x:c r="C28" i="1"/>
  <x:c r="B29" i="1"/>
  <x:c r="C29" i="1"/>
  <x:c r="B30" i="1"/>
  <x:c r="C30" i="1"/>
  <x:c r="B31" i="1"/>
  <x:c r="C31" i="1"/>
  <x:c r="B32" i="1"/>
  <x:c r="C32" i="1"/>
  <x:c r="B33" i="1"/>
  <x:c r="C33" i="1"/>
  <x:c r="B34" i="1"/>
  <x:c r="C34" i="1"/>
  <x:c r="B35" i="1"/>
  <x:c r="C35" i="1"/>
  <x:c r="B36" i="1"/>
  <x:c r="C36" i="1"/>
  <x:c r="B37" i="1"/>
  <x:c r="C37" i="1"/>
  <x:c r="B38" i="1"/>
  <x:c r="C38" i="1"/>
  <x:c r="B39" i="1"/>
  <x:c r="C39" i="1"/>
  <x:c r="B40" i="1"/>
  <x:c r="C40" i="1"/>
  <x:c r="B41" i="1"/>
  <x:c r="C41" i="1"/>
  <x:c r="B42" i="1"/>
  <x:c r="C42" i="1"/>
  <x:c r="B43" i="1"/>
  <x:c r="C43" i="1"/>
  <x:c r="B44" i="1"/>
  <x:c r="C44" i="1"/>
  <x:c r="B45" i="1"/>
  <x:c r="C45" i="1"/>
  <x:c r="B46" i="1"/>
  <x:c r="C46" i="1"/>
  <x:c r="B47" i="1"/>
  <x:c r="C47" i="1"/>
  <x:c r="B48" i="1"/>
  <x:c r="C48" i="1"/>
  <x:c r="B49" i="1"/>
  <x:c r="C49" i="1"/>
  <x:c r="B50" i="1"/>
  <x:c r="C50" i="1"/>
  <x:c r="B51" i="1"/>
  <x:c r="C51" i="1"/>
  <x:c r="B52" i="1"/>
  <x:c r="C52" i="1"/>
  <x:c r="B53" i="1"/>
  <x:c r="C53" i="1"/>
  <x:c r="B54" i="1"/>
  <x:c r="C54" i="1"/>
  <x:c r="B55" i="1"/>
  <x:c r="C55" i="1"/>
  <x:c r="B56" i="1"/>
  <x:c r="C56" i="1"/>
  <x:c r="B57" i="1"/>
  <x:c r="C57" i="1"/>
  <x:c r="B58" i="1"/>
  <x:c r="C58" i="1"/>
  <x:c r="B59" i="1"/>
  <x:c r="C59" i="1"/>
  <x:c r="B60" i="1"/>
  <x:c r="C60" i="1"/>
  <x:c r="B61" i="1"/>
  <x:c r="C61" i="1"/>
  <x:c r="B62" i="1"/>
  <x:c r="C62" i="1"/>
  <x:c r="B63" i="1"/>
  <x:c r="C63" i="1"/>
  <x:c r="B64" i="1"/>
  <x:c r="C64" i="1"/>
  <x:c r="B65" i="1"/>
  <x:c r="C65" i="1"/>
  <x:c r="B66" i="1"/>
  <x:c r="C66" i="1"/>
  <x:c r="B67" i="1"/>
  <x:c r="C67" i="1"/>
  <x:c r="B68" i="1"/>
  <x:c r="C68" i="1"/>
  <x:c r="B69" i="1"/>
  <x:c r="C69" i="1"/>
  <x:c r="B70" i="1"/>
  <x:c r="C70" i="1"/>
  <x:c r="B71" i="1"/>
  <x:c r="C71" i="1"/>
  <x:c r="B72" i="1"/>
  <x:c r="C72" i="1"/>
  <x:c r="B73" i="1"/>
  <x:c r="C73" i="1"/>
  <x:c r="B74" i="1"/>
  <x:c r="C74" i="1"/>
  <x:c r="B75" i="1"/>
  <x:c r="C75" i="1"/>
  <x:c r="B76" i="1"/>
  <x:c r="C76" i="1"/>
  <x:c r="B77" i="1"/>
  <x:c r="C77" i="1"/>
  <x:c r="B78" i="1"/>
  <x:c r="C78" i="1"/>
  <x:c r="B79" i="1"/>
  <x:c r="C79" i="1"/>
  <x:c r="B80" i="1"/>
  <x:c r="C80" i="1"/>
  <x:c r="B81" i="1"/>
  <x:c r="C81" i="1"/>
  <x:c r="B82" i="1"/>
  <x:c r="C82" i="1"/>
  <x:c r="B83" i="1"/>
  <x:c r="C83" i="1"/>
  <x:c r="B84" i="1"/>
  <x:c r="C84" i="1"/>
  <x:c r="B85" i="1"/>
  <x:c r="C85" i="1"/>
  <x:c r="B86" i="1"/>
  <x:c r="C86" i="1"/>
  <x:c r="B87" i="1"/>
  <x:c r="C87" i="1"/>
  <x:c r="B88" i="1"/>
  <x:c r="C88" i="1"/>
  <x:c r="B89" i="1"/>
  <x:c r="C89" i="1"/>
  <x:c r="B90" i="1"/>
  <x:c r="C90" i="1"/>
  <x:c r="B91" i="1"/>
  <x:c r="C91" i="1"/>
  <x:c r="B92" i="1"/>
  <x:c r="C92" i="1"/>
  <x:c r="B93" i="1"/>
  <x:c r="C93" i="1"/>
  <x:c r="B94" i="1"/>
  <x:c r="C94" i="1"/>
  <x:c r="B95" i="1"/>
  <x:c r="C95" i="1"/>
  <x:c r="B96" i="1"/>
  <x:c r="C96" i="1"/>
  <x:c r="B97" i="1"/>
  <x:c r="C97" i="1"/>
  <x:c r="B98" i="1"/>
  <x:c r="C98" i="1"/>
  <x:c r="B99" i="1"/>
  <x:c r="C99" i="1"/>
  <x:c r="B100" i="1"/>
  <x:c r="C100" i="1"/>
  <x:c r="B101" i="1"/>
  <x:c r="C101" i="1"/>
  <x:c r="B102" i="1"/>
  <x:c r="C102" i="1"/>
  <x:c r="B103" i="1"/>
  <x:c r="C103" i="1"/>
  <x:c r="B104" i="1"/>
  <x:c r="C104" i="1"/>
  <x:c r="B105" i="1"/>
  <x:c r="C105" i="1"/>
  <x:c r="B106" i="1"/>
  <x:c r="C106" i="1"/>
  <x:c r="B107" i="1"/>
  <x:c r="C107" i="1"/>
  <x:c r="B108" i="1"/>
  <x:c r="C108" i="1"/>
  <x:c r="B109" i="1"/>
  <x:c r="C109" i="1"/>
  <x:c r="B110" i="1"/>
  <x:c r="C110" i="1"/>
  <x:c r="B111" i="1"/>
  <x:c r="C111" i="1"/>
  <x:c r="B112" i="1"/>
  <x:c r="C112" i="1"/>
  <x:c r="B113" i="1"/>
  <x:c r="C113" i="1"/>
  <x:c r="B114" i="1"/>
  <x:c r="C114" i="1"/>
  <x:c r="B115" i="1"/>
  <x:c r="C115" i="1"/>
  <x:c r="B116" i="1"/>
  <x:c r="C116" i="1"/>
  <x:c r="B117" i="1"/>
  <x:c r="C117" i="1"/>
  <x:c r="B118" i="1"/>
  <x:c r="C118" i="1"/>
  <x:c r="B119" i="1"/>
  <x:c r="C119" i="1"/>
  <x:c r="B120" i="1"/>
  <x:c r="C120" i="1"/>
  <x:c r="B121" i="1"/>
  <x:c r="C121" i="1"/>
  <x:c r="B122" i="1"/>
  <x:c r="C122" i="1"/>
  <x:c r="B123" i="1"/>
  <x:c r="C123" i="1"/>
  <x:c r="B124" i="1"/>
  <x:c r="C124" i="1"/>
  <x:c r="B125" i="1"/>
  <x:c r="C125" i="1"/>
  <x:c r="B126" i="1"/>
  <x:c r="C126" i="1"/>
  <x:c r="B127" i="1"/>
  <x:c r="C127" i="1"/>
  <x:c r="B128" i="1"/>
  <x:c r="C128" i="1"/>
  <x:c r="B129" i="1"/>
  <x:c r="C129" i="1"/>
  <x:c r="B130" i="1"/>
  <x:c r="C130" i="1"/>
  <x:c r="B131" i="1"/>
  <x:c r="C131" i="1"/>
  <x:c r="B132" i="1"/>
  <x:c r="C132" i="1"/>
  <x:c r="B133" i="1"/>
  <x:c r="C133" i="1"/>
  <x:c r="B134" i="1"/>
  <x:c r="C134" i="1"/>
  <x:c r="B135" i="1"/>
  <x:c r="C135" i="1"/>
  <x:c r="B136" i="1"/>
  <x:c r="C136" i="1"/>
  <x:c r="B137" i="1"/>
  <x:c r="C137" i="1"/>
  <x:c r="B138" i="1"/>
  <x:c r="C138" i="1"/>
  <x:c r="B139" i="1"/>
  <x:c r="C139" i="1"/>
  <x:c r="B140" i="1"/>
  <x:c r="C140" i="1"/>
  <x:c r="B141" i="1"/>
  <x:c r="C141" i="1"/>
  <x:c r="B142" i="1"/>
  <x:c r="C142" i="1"/>
  <x:c r="B143" i="1"/>
  <x:c r="C143" i="1"/>
  <x:c r="B144" i="1"/>
  <x:c r="C144" i="1"/>
  <x:c r="B145" i="1"/>
  <x:c r="C145" i="1"/>
  <x:c r="B146" i="1"/>
  <x:c r="C146" i="1"/>
  <x:c r="B147" i="1"/>
  <x:c r="C147" i="1"/>
  <x:c r="B148" i="1"/>
  <x:c r="C148" i="1"/>
  <x:c r="B149" i="1"/>
  <x:c r="C149" i="1"/>
  <x:c r="B150" i="1"/>
  <x:c r="C150" i="1"/>
  <x:c r="B151" i="1"/>
  <x:c r="C151" i="1"/>
  <x:c r="B152" i="1"/>
  <x:c r="C152" i="1"/>
  <x:c r="B153" i="1"/>
  <x:c r="C153" i="1"/>
  <x:c r="B154" i="1"/>
  <x:c r="C154" i="1"/>
  <x:c r="B155" i="1"/>
  <x:c r="C155" i="1"/>
  <x:c r="B156" i="1"/>
  <x:c r="C156" i="1"/>
  <x:c r="B157" i="1"/>
  <x:c r="C157" i="1"/>
  <x:c r="B158" i="1"/>
  <x:c r="C158" i="1"/>
  <x:c r="B159" i="1"/>
  <x:c r="C159" i="1"/>
  <x:c r="B160" i="1"/>
  <x:c r="C160" i="1"/>
  <x:c r="B161" i="1"/>
  <x:c r="C161" i="1"/>
  <x:c r="B162" i="1"/>
  <x:c r="C162" i="1"/>
  <x:c r="B163" i="1"/>
  <x:c r="C163" i="1"/>
  <x:c r="B164" i="1"/>
  <x:c r="C164" i="1"/>
  <x:c r="B165" i="1"/>
  <x:c r="C165" i="1"/>
  <x:c r="B166" i="1"/>
  <x:c r="C166" i="1"/>
  <x:c r="B167" i="1"/>
  <x:c r="C167" i="1"/>
  <x:c r="B168" i="1"/>
  <x:c r="C168" i="1"/>
  <x:c r="B169" i="1"/>
  <x:c r="C169" i="1"/>
  <x:c r="B170" i="1"/>
  <x:c r="C170" i="1"/>
  <x:c r="B171" i="1"/>
  <x:c r="C171" i="1"/>
  <x:c r="B172" i="1"/>
  <x:c r="C172" i="1"/>
  <x:c r="B173" i="1"/>
  <x:c r="C173" i="1"/>
  <x:c r="B174" i="1"/>
  <x:c r="C174" i="1"/>
  <x:c r="B175" i="1"/>
  <x:c r="C175" i="1"/>
  <x:c r="B176" i="1"/>
  <x:c r="C176" i="1"/>
  <x:c r="B177" i="1"/>
  <x:c r="C177" i="1"/>
  <x:c r="B178" i="1"/>
  <x:c r="C178" i="1"/>
  <x:c r="B179" i="1"/>
  <x:c r="C179" i="1"/>
  <x:c r="B180" i="1"/>
  <x:c r="C180" i="1"/>
  <x:c r="B181" i="1"/>
  <x:c r="C181" i="1"/>
  <x:c r="B182" i="1"/>
  <x:c r="C182" i="1"/>
  <x:c r="B183" i="1"/>
  <x:c r="C183" i="1"/>
  <x:c r="B184" i="1"/>
  <x:c r="C184" i="1"/>
  <x:c r="B185" i="1"/>
  <x:c r="C185" i="1"/>
  <x:c r="B186" i="1"/>
  <x:c r="C186" i="1"/>
  <x:c r="B187" i="1"/>
  <x:c r="C187" i="1"/>
  <x:c r="B188" i="1"/>
  <x:c r="C188" i="1"/>
  <x:c r="B189" i="1"/>
  <x:c r="C189" i="1"/>
  <x:c r="B190" i="1"/>
  <x:c r="C190" i="1"/>
  <x:c r="B191" i="1"/>
  <x:c r="C191" i="1"/>
  <x:c r="B192" i="1"/>
  <x:c r="C192" i="1"/>
  <x:c r="B193" i="1"/>
  <x:c r="C193" i="1"/>
  <x:c r="B194" i="1"/>
  <x:c r="C194" i="1"/>
  <x:c r="B195" i="1"/>
  <x:c r="C195" i="1"/>
  <x:c r="B196" i="1"/>
  <x:c r="C196" i="1"/>
  <x:c r="B197" i="1"/>
  <x:c r="C197" i="1"/>
  <x:c r="B198" i="1"/>
  <x:c r="C198" i="1"/>
  <x:c r="B199" i="1"/>
  <x:c r="C199" i="1"/>
  <x:c r="B200" i="1"/>
  <x:c r="C200" i="1"/>
  <x:c r="B201" i="1"/>
  <x:c r="C201" i="1"/>
  <x:c r="B202" i="1"/>
  <x:c r="C202" i="1"/>
  <x:c r="B203" i="1"/>
  <x:c r="C203" i="1"/>
  <x:c r="B204" i="1"/>
  <x:c r="C204" i="1"/>
  <x:c r="B205" i="1"/>
  <x:c r="C205" i="1"/>
  <x:c r="B206" i="1"/>
  <x:c r="C206" i="1"/>
  <x:c r="B207" i="1"/>
  <x:c r="C207" i="1"/>
  <x:c r="B208" i="1"/>
  <x:c r="C208" i="1"/>
  <x:c r="B209" i="1"/>
  <x:c r="C209" i="1"/>
  <x:c r="B210" i="1"/>
  <x:c r="C210" i="1"/>
  <x:c r="B211" i="1"/>
  <x:c r="C211" i="1"/>
  <x:c r="B212" i="1"/>
  <x:c r="C212" i="1"/>
  <x:c r="B213" i="1"/>
  <x:c r="C213" i="1"/>
  <x:c r="B214" i="1"/>
  <x:c r="C214" i="1"/>
  <x:c r="B215" i="1"/>
  <x:c r="C215" i="1"/>
  <x:c r="B216" i="1"/>
  <x:c r="C216" i="1"/>
  <x:c r="B217" i="1"/>
  <x:c r="C217" i="1"/>
  <x:c r="B218" i="1"/>
  <x:c r="C218" i="1"/>
  <x:c r="B219" i="1"/>
  <x:c r="C219" i="1"/>
  <x:c r="B220" i="1"/>
  <x:c r="C220" i="1"/>
  <x:c r="B221" i="1"/>
  <x:c r="C221" i="1"/>
  <x:c r="B222" i="1"/>
  <x:c r="C222" i="1"/>
  <x:c r="B223" i="1"/>
  <x:c r="C223" i="1"/>
  <x:c r="B224" i="1"/>
  <x:c r="C224" i="1"/>
  <x:c r="B225" i="1"/>
  <x:c r="C225" i="1"/>
  <x:c r="B226" i="1"/>
  <x:c r="C226" i="1"/>
  <x:c r="B227" i="1"/>
  <x:c r="C227" i="1"/>
  <x:c r="B228" i="1"/>
  <x:c r="C228" i="1"/>
  <x:c r="B229" i="1"/>
  <x:c r="C229" i="1"/>
  <x:c r="B230" i="1"/>
  <x:c r="C230" i="1"/>
  <x:c r="B231" i="1"/>
  <x:c r="C231" i="1"/>
  <x:c r="B232" i="1"/>
  <x:c r="C232" i="1"/>
  <x:c r="B233" i="1"/>
  <x:c r="C233" i="1"/>
  <x:c r="B234" i="1"/>
  <x:c r="C234" i="1"/>
  <x:c r="B235" i="1"/>
  <x:c r="C235" i="1"/>
  <x:c r="B236" i="1"/>
  <x:c r="C236" i="1"/>
  <x:c r="B237" i="1"/>
  <x:c r="C237" i="1"/>
  <x:c r="B238" i="1"/>
  <x:c r="C238" i="1"/>
  <x:c r="B239" i="1"/>
  <x:c r="C239" i="1"/>
  <x:c r="B240" i="1"/>
  <x:c r="C240" i="1"/>
  <x:c r="B241" i="1"/>
  <x:c r="C241" i="1"/>
  <x:c r="B242" i="1"/>
  <x:c r="C242" i="1"/>
  <x:c r="B243" i="1"/>
  <x:c r="C243" i="1"/>
  <x:c r="B244" i="1"/>
  <x:c r="C244" i="1"/>
  <x:c r="B245" i="1"/>
  <x:c r="C245" i="1"/>
  <x:c r="B246" i="1"/>
  <x:c r="C246" i="1"/>
  <x:c r="B247" i="1"/>
  <x:c r="C247" i="1"/>
  <x:c r="B248" i="1"/>
  <x:c r="C248" i="1"/>
  <x:c r="B249" i="1"/>
  <x:c r="C249" i="1"/>
  <x:c r="B250" i="1"/>
  <x:c r="C250" i="1"/>
  <x:c r="B251" i="1"/>
  <x:c r="C251" i="1"/>
  <x:c r="B252" i="1"/>
  <x:c r="C252" i="1"/>
  <x:c r="B253" i="1"/>
  <x:c r="C253" i="1"/>
  <x:c r="B254" i="1"/>
  <x:c r="C254" i="1"/>
  <x:c r="B255" i="1"/>
  <x:c r="C255" i="1"/>
  <x:c r="B256" i="1"/>
  <x:c r="C256" i="1"/>
  <x:c r="B257" i="1"/>
  <x:c r="C257" i="1"/>
  <x:c r="B258" i="1"/>
  <x:c r="C258" i="1"/>
  <x:c r="B259" i="1"/>
  <x:c r="C259" i="1"/>
  <x:c r="B260" i="1"/>
  <x:c r="C260" i="1"/>
  <x:c r="B261" i="1"/>
  <x:c r="C261" i="1"/>
  <x:c r="B262" i="1"/>
  <x:c r="C262" i="1"/>
  <x:c r="B263" i="1"/>
  <x:c r="C263" i="1"/>
  <x:c r="B264" i="1"/>
  <x:c r="C264" i="1"/>
  <x:c r="B265" i="1"/>
  <x:c r="C265" i="1"/>
  <x:c r="B266" i="1"/>
  <x:c r="C266" i="1"/>
  <x:c r="B267" i="1"/>
  <x:c r="C267" i="1"/>
  <x:c r="B268" i="1"/>
  <x:c r="C268" i="1"/>
  <x:c r="B269" i="1"/>
  <x:c r="C269" i="1"/>
  <x:c r="B270" i="1"/>
  <x:c r="C270" i="1"/>
  <x:c r="B271" i="1"/>
  <x:c r="C271" i="1"/>
  <x:c r="B272" i="1"/>
  <x:c r="C272" i="1"/>
  <x:c r="B273" i="1"/>
  <x:c r="C273" i="1"/>
  <x:c r="B274" i="1"/>
  <x:c r="C274" i="1"/>
  <x:c r="B275" i="1"/>
  <x:c r="C275" i="1"/>
  <x:c r="B276" i="1"/>
  <x:c r="C276" i="1"/>
  <x:c r="B277" i="1"/>
  <x:c r="C277" i="1"/>
  <x:c r="B278" i="1"/>
  <x:c r="C278" i="1"/>
  <x:c r="B279" i="1"/>
  <x:c r="C279" i="1"/>
  <x:c r="B280" i="1"/>
  <x:c r="C280" i="1"/>
  <x:c r="B281" i="1"/>
  <x:c r="C281" i="1"/>
  <x:c r="B282" i="1"/>
  <x:c r="C282" i="1"/>
  <x:c r="B283" i="1"/>
  <x:c r="C283" i="1"/>
  <x:c r="B284" i="1"/>
  <x:c r="C284" i="1"/>
  <x:c r="B285" i="1"/>
  <x:c r="C285" i="1"/>
  <x:c r="B286" i="1"/>
  <x:c r="C286" i="1"/>
  <x:c r="B287" i="1"/>
  <x:c r="C287" i="1"/>
  <x:c r="B288" i="1"/>
  <x:c r="C288" i="1"/>
  <x:c r="B289" i="1"/>
  <x:c r="C289" i="1"/>
  <x:c r="B290" i="1"/>
  <x:c r="C290" i="1"/>
  <x:c r="B291" i="1"/>
  <x:c r="C291" i="1"/>
  <x:c r="B292" i="1"/>
  <x:c r="C292" i="1"/>
  <x:c r="B293" i="1"/>
  <x:c r="C293" i="1"/>
  <x:c r="B294" i="1"/>
  <x:c r="C294" i="1"/>
  <x:c r="B295" i="1"/>
  <x:c r="C295" i="1"/>
  <x:c r="B296" i="1"/>
  <x:c r="C296" i="1"/>
  <x:c r="B297" i="1"/>
  <x:c r="C297" i="1"/>
  <x:c r="B298" i="1"/>
  <x:c r="C298" i="1"/>
  <x:c r="B299" i="1"/>
  <x:c r="C299" i="1"/>
  <x:c r="B300" i="1"/>
  <x:c r="C300" i="1"/>
  <x:c r="B301" i="1"/>
  <x:c r="C301" i="1"/>
  <x:c r="B302" i="1"/>
  <x:c r="C302" i="1"/>
  <x:c r="B303" i="1"/>
  <x:c r="C303" i="1"/>
  <x:c r="B304" i="1"/>
  <x:c r="C304" i="1"/>
  <x:c r="B305" i="1"/>
  <x:c r="C305" i="1"/>
  <x:c r="B306" i="1"/>
  <x:c r="C306" i="1"/>
  <x:c r="B307" i="1"/>
  <x:c r="C307" i="1"/>
  <x:c r="B308" i="1"/>
  <x:c r="C308" i="1"/>
  <x:c r="B309" i="1"/>
  <x:c r="C309" i="1"/>
  <x:c r="B310" i="1"/>
  <x:c r="C310" i="1"/>
  <x:c r="B311" i="1"/>
  <x:c r="C311" i="1"/>
  <x:c r="B312" i="1"/>
  <x:c r="C312" i="1"/>
  <x:c r="B313" i="1"/>
  <x:c r="C313" i="1"/>
  <x:c r="B314" i="1"/>
  <x:c r="C314" i="1"/>
  <x:c r="B315" i="1"/>
  <x:c r="C315" i="1"/>
  <x:c r="B316" i="1"/>
  <x:c r="C316" i="1"/>
  <x:c r="B317" i="1"/>
  <x:c r="C317" i="1"/>
  <x:c r="B318" i="1"/>
  <x:c r="C318" i="1"/>
  <x:c r="B319" i="1"/>
  <x:c r="C319" i="1"/>
  <x:c r="B320" i="1"/>
  <x:c r="C320" i="1"/>
  <x:c r="B321" i="1"/>
  <x:c r="C321" i="1"/>
  <x:c r="B322" i="1"/>
  <x:c r="C322" i="1"/>
  <x:c r="B323" i="1"/>
  <x:c r="C323" i="1"/>
  <x:c r="B324" i="1"/>
  <x:c r="C324" i="1"/>
  <x:c r="B325" i="1"/>
  <x:c r="C325" i="1"/>
  <x:c r="B326" i="1"/>
  <x:c r="C326" i="1"/>
  <x:c r="B327" i="1"/>
  <x:c r="C327" i="1"/>
  <x:c r="B328" i="1"/>
  <x:c r="C328" i="1"/>
  <x:c r="B329" i="1"/>
  <x:c r="C329" i="1"/>
  <x:c r="B330" i="1"/>
  <x:c r="C330" i="1"/>
  <x:c r="B331" i="1"/>
  <x:c r="C331" i="1"/>
  <x:c r="B332" i="1"/>
  <x:c r="C332" i="1"/>
  <x:c r="B333" i="1"/>
  <x:c r="C333" i="1"/>
  <x:c r="B334" i="1"/>
  <x:c r="C334" i="1"/>
  <x:c r="B335" i="1"/>
  <x:c r="C335" i="1"/>
  <x:c r="B336" i="1"/>
  <x:c r="C336" i="1"/>
  <x:c r="B337" i="1"/>
  <x:c r="C337" i="1"/>
  <x:c r="B338" i="1"/>
  <x:c r="C338" i="1"/>
  <x:c r="B339" i="1"/>
  <x:c r="C339" i="1"/>
  <x:c r="B340" i="1"/>
  <x:c r="C340" i="1"/>
  <x:c r="B341" i="1"/>
  <x:c r="C341" i="1"/>
  <x:c r="B342" i="1"/>
  <x:c r="C342" i="1"/>
  <x:c r="B343" i="1"/>
  <x:c r="C343" i="1"/>
  <x:c r="B344" i="1"/>
  <x:c r="C344" i="1"/>
  <x:c r="B345" i="1"/>
  <x:c r="C345" i="1"/>
  <x:c r="B346" i="1"/>
  <x:c r="C346" i="1"/>
  <x:c r="B347" i="1"/>
  <x:c r="C347" i="1"/>
  <x:c r="B348" i="1"/>
  <x:c r="C348" i="1"/>
  <x:c r="B349" i="1"/>
  <x:c r="C349" i="1"/>
  <x:c r="B350" i="1"/>
  <x:c r="C350" i="1"/>
  <x:c r="B351" i="1"/>
  <x:c r="C351" i="1"/>
  <x:c r="B352" i="1"/>
  <x:c r="C352" i="1"/>
  <x:c r="B353" i="1"/>
  <x:c r="C353" i="1"/>
  <x:c r="B354" i="1"/>
  <x:c r="C354" i="1"/>
  <x:c r="B355" i="1"/>
  <x:c r="C355" i="1"/>
  <x:c r="B356" i="1"/>
  <x:c r="C356" i="1"/>
  <x:c r="B357" i="1"/>
  <x:c r="C357" i="1"/>
  <x:c r="B358" i="1"/>
  <x:c r="C358" i="1"/>
  <x:c r="B359" i="1"/>
  <x:c r="C359" i="1"/>
  <x:c r="B360" i="1"/>
  <x:c r="C360" i="1"/>
  <x:c r="B361" i="1"/>
  <x:c r="C361" i="1"/>
  <x:c r="B362" i="1"/>
  <x:c r="C362" i="1"/>
  <x:c r="B363" i="1"/>
  <x:c r="C363" i="1"/>
  <x:c r="B364" i="1"/>
  <x:c r="C364" i="1"/>
  <x:c r="B365" i="1"/>
  <x:c r="C365" i="1"/>
  <x:c r="B366" i="1"/>
  <x:c r="C366" i="1"/>
  <x:c r="B367" i="1"/>
  <x:c r="C367" i="1"/>
  <x:c r="B368" i="1"/>
  <x:c r="C368" i="1"/>
  <x:c r="B369" i="1"/>
  <x:c r="C369" i="1"/>
  <x:c r="B370" i="1"/>
  <x:c r="C370" i="1"/>
  <x:c r="B371" i="1"/>
  <x:c r="C371" i="1"/>
  <x:c r="B372" i="1"/>
  <x:c r="C372" i="1"/>
  <x:c r="B373" i="1"/>
  <x:c r="C373" i="1"/>
  <x:c r="B374" i="1"/>
  <x:c r="C374" i="1"/>
  <x:c r="B375" i="1"/>
  <x:c r="C375" i="1"/>
  <x:c r="B376" i="1"/>
  <x:c r="C376" i="1"/>
  <x:c r="B377" i="1"/>
  <x:c r="C377" i="1"/>
  <x:c r="B378" i="1"/>
  <x:c r="C378" i="1"/>
  <x:c r="B379" i="1"/>
  <x:c r="C379" i="1"/>
  <x:c r="B380" i="1"/>
  <x:c r="C380" i="1"/>
  <x:c r="B381" i="1"/>
  <x:c r="C381" i="1"/>
  <x:c r="B382" i="1"/>
  <x:c r="C382" i="1"/>
  <x:c r="B383" i="1"/>
  <x:c r="C383" i="1"/>
  <x:c r="B384" i="1"/>
  <x:c r="C384" i="1"/>
  <x:c r="B385" i="1"/>
  <x:c r="C385" i="1"/>
  <x:c r="B386" i="1"/>
  <x:c r="C386" i="1"/>
  <x:c r="B387" i="1"/>
  <x:c r="C387" i="1"/>
  <x:c r="B388" i="1"/>
  <x:c r="C388" i="1"/>
  <x:c r="B389" i="1"/>
  <x:c r="C389" i="1"/>
  <x:c r="B390" i="1"/>
  <x:c r="C390" i="1"/>
  <x:c r="B391" i="1"/>
  <x:c r="C391" i="1"/>
  <x:c r="B392" i="1"/>
  <x:c r="C392" i="1"/>
  <x:c r="B393" i="1"/>
  <x:c r="C393" i="1"/>
  <x:c r="B394" i="1"/>
  <x:c r="C394" i="1"/>
  <x:c r="B395" i="1"/>
  <x:c r="C395" i="1"/>
  <x:c r="B396" i="1"/>
  <x:c r="C396" i="1"/>
  <x:c r="B397" i="1"/>
  <x:c r="C397" i="1"/>
  <x:c r="B398" i="1"/>
  <x:c r="C398" i="1"/>
  <x:c r="B399" i="1"/>
  <x:c r="C399" i="1"/>
  <x:c r="B400" i="1"/>
  <x:c r="C400" i="1"/>
  <x:c r="B401" i="1"/>
  <x:c r="C401" i="1"/>
  <x:c r="B402" i="1"/>
  <x:c r="C402" i="1"/>
  <x:c r="B403" i="1"/>
  <x:c r="C403" i="1"/>
  <x:c r="B404" i="1"/>
  <x:c r="C404" i="1"/>
  <x:c r="B405" i="1"/>
  <x:c r="C405" i="1"/>
  <x:c r="B406" i="1"/>
  <x:c r="C406" i="1"/>
  <x:c r="B407" i="1"/>
  <x:c r="C407" i="1"/>
  <x:c r="B408" i="1"/>
  <x:c r="C408" i="1"/>
  <x:c r="B409" i="1"/>
  <x:c r="C409" i="1"/>
  <x:c r="B410" i="1"/>
  <x:c r="C410" i="1"/>
  <x:c r="B411" i="1"/>
  <x:c r="C411" i="1"/>
  <x:c r="B412" i="1"/>
  <x:c r="C412" i="1"/>
  <x:c r="B413" i="1"/>
  <x:c r="C413" i="1"/>
  <x:c r="B414" i="1"/>
  <x:c r="C414" i="1"/>
  <x:c r="B415" i="1"/>
  <x:c r="C415" i="1"/>
  <x:c r="B416" i="1"/>
  <x:c r="C416" i="1"/>
  <x:c r="B417" i="1"/>
  <x:c r="C417" i="1"/>
  <x:c r="B418" i="1"/>
  <x:c r="C418" i="1"/>
  <x:c r="B419" i="1"/>
  <x:c r="C419" i="1"/>
  <x:c r="B420" i="1"/>
  <x:c r="C420" i="1"/>
  <x:c r="B421" i="1"/>
  <x:c r="C421" i="1"/>
  <x:c r="B422" i="1"/>
  <x:c r="C422" i="1"/>
  <x:c r="B423" i="1"/>
  <x:c r="C423" i="1"/>
  <x:c r="B424" i="1"/>
  <x:c r="C424" i="1"/>
  <x:c r="B425" i="1"/>
  <x:c r="C425" i="1"/>
  <x:c r="B426" i="1"/>
  <x:c r="C426" i="1"/>
  <x:c r="B427" i="1"/>
  <x:c r="C427" i="1"/>
  <x:c r="B428" i="1"/>
  <x:c r="C428" i="1"/>
  <x:c r="B429" i="1"/>
  <x:c r="C429" i="1"/>
  <x:c r="B430" i="1"/>
  <x:c r="C430" i="1"/>
  <x:c r="B431" i="1"/>
  <x:c r="C431" i="1"/>
  <x:c r="B432" i="1"/>
  <x:c r="C432" i="1"/>
  <x:c r="B433" i="1"/>
  <x:c r="C433" i="1"/>
  <x:c r="B434" i="1"/>
  <x:c r="C434" i="1"/>
  <x:c r="B435" i="1"/>
  <x:c r="C435" i="1"/>
  <x:c r="B436" i="1"/>
  <x:c r="C436" i="1"/>
  <x:c r="B437" i="1"/>
  <x:c r="C437" i="1"/>
  <x:c r="B438" i="1"/>
  <x:c r="C438" i="1"/>
  <x:c r="B439" i="1"/>
  <x:c r="C439" i="1"/>
  <x:c r="B440" i="1"/>
  <x:c r="C440" i="1"/>
  <x:c r="B441" i="1"/>
  <x:c r="C441" i="1"/>
  <x:c r="B442" i="1"/>
  <x:c r="C442" i="1"/>
  <x:c r="B443" i="1"/>
  <x:c r="C443" i="1"/>
  <x:c r="B444" i="1"/>
  <x:c r="C444" i="1"/>
  <x:c r="B445" i="1"/>
  <x:c r="C445" i="1"/>
  <x:c r="B446" i="1"/>
  <x:c r="C446" i="1"/>
  <x:c r="B447" i="1"/>
  <x:c r="C447" i="1"/>
  <x:c r="B448" i="1"/>
  <x:c r="C448" i="1"/>
  <x:c r="B449" i="1"/>
  <x:c r="C449" i="1"/>
  <x:c r="B450" i="1"/>
  <x:c r="C450" i="1"/>
  <x:c r="B451" i="1"/>
  <x:c r="C451" i="1"/>
  <x:c r="B452" i="1"/>
  <x:c r="C452" i="1"/>
  <x:c r="B453" i="1"/>
  <x:c r="C453" i="1"/>
  <x:c r="B454" i="1"/>
  <x:c r="C454" i="1"/>
  <x:c r="B455" i="1"/>
  <x:c r="C455" i="1"/>
  <x:c r="B456" i="1"/>
  <x:c r="C456" i="1"/>
  <x:c r="B457" i="1"/>
  <x:c r="C457" i="1"/>
  <x:c r="B458" i="1"/>
  <x:c r="C458" i="1"/>
  <x:c r="B459" i="1"/>
  <x:c r="C459" i="1"/>
  <x:c r="B460" i="1"/>
  <x:c r="C460" i="1"/>
  <x:c r="B461" i="1"/>
  <x:c r="C461" i="1"/>
  <x:c r="B462" i="1"/>
  <x:c r="C462" i="1"/>
  <x:c r="B463" i="1"/>
  <x:c r="C463" i="1"/>
  <x:c r="B464" i="1"/>
  <x:c r="C464" i="1"/>
  <x:c r="B465" i="1"/>
  <x:c r="C465" i="1"/>
  <x:c r="B466" i="1"/>
  <x:c r="C466" i="1"/>
  <x:c r="B467" i="1"/>
  <x:c r="C467" i="1"/>
  <x:c r="B468" i="1"/>
  <x:c r="C468" i="1"/>
  <x:c r="B469" i="1"/>
  <x:c r="C469" i="1"/>
  <x:c r="B470" i="1"/>
  <x:c r="C470" i="1"/>
  <x:c r="B471" i="1"/>
  <x:c r="C471" i="1"/>
  <x:c r="B472" i="1"/>
  <x:c r="C472" i="1"/>
  <x:c r="B473" i="1"/>
  <x:c r="C473" i="1"/>
  <x:c r="B474" i="1"/>
  <x:c r="C474" i="1"/>
  <x:c r="B475" i="1"/>
  <x:c r="C475" i="1"/>
  <x:c r="B476" i="1"/>
  <x:c r="C476" i="1"/>
  <x:c r="B477" i="1"/>
  <x:c r="C477" i="1"/>
  <x:c r="B478" i="1"/>
  <x:c r="C478" i="1"/>
  <x:c r="B479" i="1"/>
  <x:c r="C479" i="1"/>
  <x:c r="B480" i="1"/>
  <x:c r="C480" i="1"/>
  <x:c r="B481" i="1"/>
  <x:c r="C481" i="1"/>
  <x:c r="B482" i="1"/>
  <x:c r="C482" i="1"/>
  <x:c r="B483" i="1"/>
  <x:c r="C483" i="1"/>
  <x:c r="B484" i="1"/>
  <x:c r="C484" i="1"/>
  <x:c r="B485" i="1"/>
  <x:c r="C485" i="1"/>
  <x:c r="B486" i="1"/>
  <x:c r="C486" i="1"/>
  <x:c r="B487" i="1"/>
  <x:c r="C487" i="1"/>
  <x:c r="B488" i="1"/>
  <x:c r="C488" i="1"/>
  <x:c r="B489" i="1"/>
  <x:c r="C489" i="1"/>
  <x:c r="B490" i="1"/>
  <x:c r="C490" i="1"/>
  <x:c r="B491" i="1"/>
  <x:c r="C491" i="1"/>
  <x:c r="B492" i="1"/>
  <x:c r="C492" i="1"/>
  <x:c r="B493" i="1"/>
  <x:c r="C493" i="1"/>
  <x:c r="B494" i="1"/>
  <x:c r="C494" i="1"/>
  <x:c r="B495" i="1"/>
  <x:c r="C495" i="1"/>
  <x:c r="B496" i="1"/>
  <x:c r="C496" i="1"/>
  <x:c r="B497" i="1"/>
  <x:c r="C497" i="1"/>
  <x:c r="B498" i="1"/>
  <x:c r="C498" i="1"/>
  <x:c r="B499" i="1"/>
  <x:c r="C499" i="1"/>
  <x:c r="B500" i="1"/>
  <x:c r="C500" i="1"/>
  <x:c r="B501" i="1"/>
  <x:c r="C501" i="1"/>
  <x:c r="B502" i="1"/>
  <x:c r="C502" i="1"/>
  <x:c r="B503" i="1"/>
  <x:c r="C503" i="1"/>
  <x:c r="B504" i="1"/>
  <x:c r="C504" i="1"/>
  <x:c r="B505" i="1"/>
  <x:c r="C505" i="1"/>
  <x:c r="B506" i="1"/>
  <x:c r="C506" i="1"/>
  <x:c r="B507" i="1"/>
  <x:c r="C507" i="1"/>
  <x:c r="B508" i="1"/>
  <x:c r="C508" i="1"/>
  <x:c r="B509" i="1"/>
  <x:c r="C509" i="1"/>
  <x:c r="B510" i="1"/>
  <x:c r="C510" i="1"/>
  <x:c r="B511" i="1"/>
  <x:c r="C511" i="1"/>
  <x:c r="B512" i="1"/>
  <x:c r="C512" i="1"/>
  <x:c r="B513" i="1"/>
  <x:c r="C513" i="1"/>
  <x:c r="B514" i="1"/>
  <x:c r="C514" i="1"/>
  <x:c r="B515" i="1"/>
  <x:c r="C515" i="1"/>
  <x:c r="B516" i="1"/>
  <x:c r="C516" i="1"/>
  <x:c r="B517" i="1"/>
  <x:c r="C517" i="1"/>
  <x:c r="B518" i="1"/>
  <x:c r="C518" i="1"/>
  <x:c r="B519" i="1"/>
  <x:c r="C519" i="1"/>
  <x:c r="B520" i="1"/>
  <x:c r="C520" i="1"/>
  <x:c r="B521" i="1"/>
  <x:c r="C521" i="1"/>
  <x:c r="B522" i="1"/>
  <x:c r="C522" i="1"/>
  <x:c r="B523" i="1"/>
  <x:c r="C523" i="1"/>
  <x:c r="B524" i="1"/>
  <x:c r="C524" i="1"/>
  <x:c r="B525" i="1"/>
  <x:c r="C525" i="1"/>
  <x:c r="B526" i="1"/>
  <x:c r="C526" i="1"/>
  <x:c r="B527" i="1"/>
  <x:c r="C527" i="1"/>
  <x:c r="B528" i="1"/>
  <x:c r="C528" i="1"/>
  <x:c r="B529" i="1"/>
  <x:c r="C529" i="1"/>
  <x:c r="B530" i="1"/>
  <x:c r="C530" i="1"/>
  <x:c r="B531" i="1"/>
  <x:c r="C531" i="1"/>
  <x:c r="B532" i="1"/>
  <x:c r="C532" i="1"/>
  <x:c r="B533" i="1"/>
  <x:c r="C533" i="1"/>
  <x:c r="B534" i="1"/>
  <x:c r="C534" i="1"/>
  <x:c r="B535" i="1"/>
  <x:c r="C535" i="1"/>
  <x:c r="B536" i="1"/>
  <x:c r="C536" i="1"/>
  <x:c r="B537" i="1"/>
  <x:c r="C537" i="1"/>
  <x:c r="B538" i="1"/>
  <x:c r="C538" i="1"/>
  <x:c r="B539" i="1"/>
  <x:c r="C539" i="1"/>
  <x:c r="B540" i="1"/>
  <x:c r="C540" i="1"/>
  <x:c r="B541" i="1"/>
  <x:c r="C541" i="1"/>
  <x:c r="B542" i="1"/>
  <x:c r="C542" i="1"/>
  <x:c r="B543" i="1"/>
  <x:c r="C543" i="1"/>
  <x:c r="B544" i="1"/>
  <x:c r="C544" i="1"/>
  <x:c r="B545" i="1"/>
  <x:c r="C545" i="1"/>
  <x:c r="B546" i="1"/>
  <x:c r="C546" i="1"/>
  <x:c r="B547" i="1"/>
  <x:c r="C547" i="1"/>
  <x:c r="B548" i="1"/>
  <x:c r="C548" i="1"/>
  <x:c r="B549" i="1"/>
  <x:c r="C549" i="1"/>
  <x:c r="B550" i="1"/>
  <x:c r="C550" i="1"/>
  <x:c r="B551" i="1"/>
  <x:c r="C551" i="1"/>
  <x:c r="B552" i="1"/>
  <x:c r="C552" i="1"/>
  <x:c r="B553" i="1"/>
  <x:c r="C553" i="1"/>
  <x:c r="B554" i="1"/>
  <x:c r="C554" i="1"/>
  <x:c r="B555" i="1"/>
  <x:c r="C555" i="1"/>
  <x:c r="B556" i="1"/>
  <x:c r="C556" i="1"/>
  <x:c r="B557" i="1"/>
  <x:c r="C557" i="1"/>
  <x:c r="B558" i="1"/>
  <x:c r="C558" i="1"/>
  <x:c r="B559" i="1"/>
  <x:c r="C559" i="1"/>
  <x:c r="B560" i="1"/>
  <x:c r="C560" i="1"/>
  <x:c r="B561" i="1"/>
  <x:c r="C561" i="1"/>
  <x:c r="B562" i="1"/>
  <x:c r="C562" i="1"/>
  <x:c r="B563" i="1"/>
  <x:c r="C563" i="1"/>
  <x:c r="B564" i="1"/>
  <x:c r="C564" i="1"/>
  <x:c r="B565" i="1"/>
  <x:c r="C565" i="1"/>
  <x:c r="B566" i="1"/>
  <x:c r="C566" i="1"/>
  <x:c r="B567" i="1"/>
  <x:c r="C567" i="1"/>
  <x:c r="B568" i="1"/>
  <x:c r="C568" i="1"/>
  <x:c r="B569" i="1"/>
  <x:c r="C569" i="1"/>
  <x:c r="B570" i="1"/>
  <x:c r="C570" i="1"/>
  <x:c r="B571" i="1"/>
  <x:c r="C571" i="1"/>
  <x:c r="B572" i="1"/>
  <x:c r="C572" i="1"/>
  <x:c r="B573" i="1"/>
  <x:c r="C573" i="1"/>
  <x:c r="B574" i="1"/>
  <x:c r="C574" i="1"/>
  <x:c r="B575" i="1"/>
  <x:c r="C575" i="1"/>
  <x:c r="B576" i="1"/>
  <x:c r="C576" i="1"/>
  <x:c r="B577" i="1"/>
  <x:c r="C577" i="1"/>
  <x:c r="B578" i="1"/>
  <x:c r="C578" i="1"/>
  <x:c r="B579" i="1"/>
  <x:c r="C579" i="1"/>
  <x:c r="B580" i="1"/>
  <x:c r="C580" i="1"/>
  <x:c r="B581" i="1"/>
  <x:c r="C581" i="1"/>
  <x:c r="B582" i="1"/>
  <x:c r="C582" i="1"/>
  <x:c r="B583" i="1"/>
  <x:c r="C583" i="1"/>
  <x:c r="B584" i="1"/>
  <x:c r="C584" i="1"/>
  <x:c r="B585" i="1"/>
  <x:c r="C585" i="1"/>
  <x:c r="B586" i="1"/>
  <x:c r="C586" i="1"/>
  <x:c r="B587" i="1"/>
  <x:c r="C587" i="1"/>
  <x:c r="B588" i="1"/>
  <x:c r="C588" i="1"/>
  <x:c r="B589" i="1"/>
  <x:c r="C589" i="1"/>
  <x:c r="B590" i="1"/>
  <x:c r="C590" i="1"/>
  <x:c r="B591" i="1"/>
  <x:c r="C591" i="1"/>
  <x:c r="B592" i="1"/>
  <x:c r="C592" i="1"/>
  <x:c r="B593" i="1"/>
  <x:c r="C593" i="1"/>
  <x:c r="B594" i="1"/>
  <x:c r="C594" i="1"/>
  <x:c r="B595" i="1"/>
  <x:c r="C595" i="1"/>
  <x:c r="B596" i="1"/>
  <x:c r="C596" i="1"/>
  <x:c r="B597" i="1"/>
  <x:c r="C597" i="1"/>
  <x:c r="B598" i="1"/>
  <x:c r="C598" i="1"/>
  <x:c r="B599" i="1"/>
  <x:c r="C599" i="1"/>
  <x:c r="B600" i="1"/>
  <x:c r="C600" i="1"/>
  <x:c r="B601" i="1"/>
  <x:c r="C601" i="1"/>
  <x:c r="B602" i="1"/>
  <x:c r="C602" i="1"/>
  <x:c r="B603" i="1"/>
  <x:c r="C603" i="1"/>
  <x:c r="B604" i="1"/>
  <x:c r="C604" i="1"/>
  <x:c r="B605" i="1"/>
  <x:c r="C605" i="1"/>
  <x:c r="B606" i="1"/>
  <x:c r="C606" i="1"/>
  <x:c r="B607" i="1"/>
  <x:c r="C607" i="1"/>
  <x:c r="B608" i="1"/>
  <x:c r="C608" i="1"/>
  <x:c r="B609" i="1"/>
  <x:c r="C609" i="1"/>
  <x:c r="B610" i="1"/>
  <x:c r="C610" i="1"/>
  <x:c r="B611" i="1"/>
  <x:c r="C611" i="1"/>
  <x:c r="B612" i="1"/>
  <x:c r="C612" i="1"/>
  <x:c r="B613" i="1"/>
  <x:c r="C613" i="1"/>
  <x:c r="B614" i="1"/>
  <x:c r="C614" i="1"/>
  <x:c r="B615" i="1"/>
  <x:c r="C615" i="1"/>
  <x:c r="B616" i="1"/>
  <x:c r="C616" i="1"/>
  <x:c r="B617" i="1"/>
  <x:c r="C617" i="1"/>
  <x:c r="B618" i="1"/>
  <x:c r="C618" i="1"/>
  <x:c r="B619" i="1"/>
  <x:c r="C619" i="1"/>
  <x:c r="B620" i="1"/>
  <x:c r="C620" i="1"/>
  <x:c r="B621" i="1"/>
  <x:c r="C621" i="1"/>
  <x:c r="B622" i="1"/>
  <x:c r="C622" i="1"/>
  <x:c r="B623" i="1"/>
  <x:c r="C623" i="1"/>
  <x:c r="B624" i="1"/>
  <x:c r="C624" i="1"/>
  <x:c r="B625" i="1"/>
  <x:c r="C625" i="1"/>
  <x:c r="B626" i="1"/>
  <x:c r="C626" i="1"/>
  <x:c r="B627" i="1"/>
  <x:c r="C627" i="1"/>
  <x:c r="B628" i="1"/>
  <x:c r="C628" i="1"/>
  <x:c r="B629" i="1"/>
  <x:c r="C629" i="1"/>
  <x:c r="B630" i="1"/>
  <x:c r="C630" i="1"/>
  <x:c r="B631" i="1"/>
  <x:c r="C631" i="1"/>
  <x:c r="B632" i="1"/>
  <x:c r="C632" i="1"/>
  <x:c r="B633" i="1"/>
  <x:c r="C633" i="1"/>
  <x:c r="B634" i="1"/>
  <x:c r="C634" i="1"/>
  <x:c r="B635" i="1"/>
  <x:c r="C635" i="1"/>
  <x:c r="B636" i="1"/>
  <x:c r="C636" i="1"/>
  <x:c r="B637" i="1"/>
  <x:c r="C637" i="1"/>
  <x:c r="B638" i="1"/>
  <x:c r="C638" i="1"/>
  <x:c r="B639" i="1"/>
  <x:c r="C639" i="1"/>
  <x:c r="B640" i="1"/>
  <x:c r="C640" i="1"/>
  <x:c r="B641" i="1"/>
  <x:c r="C641" i="1"/>
  <x:c r="B642" i="1"/>
  <x:c r="C642" i="1"/>
  <x:c r="B643" i="1"/>
  <x:c r="C643" i="1"/>
  <x:c r="B644" i="1"/>
  <x:c r="C644" i="1"/>
  <x:c r="B645" i="1"/>
  <x:c r="C645" i="1"/>
  <x:c r="B646" i="1"/>
  <x:c r="C646" i="1"/>
  <x:c r="B647" i="1"/>
  <x:c r="C647" i="1"/>
  <x:c r="B648" i="1"/>
  <x:c r="C648" i="1"/>
  <x:c r="B649" i="1"/>
  <x:c r="C649" i="1"/>
  <x:c r="B650" i="1"/>
  <x:c r="C650" i="1"/>
  <x:c r="B651" i="1"/>
  <x:c r="C651" i="1"/>
  <x:c r="B652" i="1"/>
  <x:c r="C652" i="1"/>
  <x:c r="B653" i="1"/>
  <x:c r="C653" i="1"/>
  <x:c r="B654" i="1"/>
  <x:c r="C654" i="1"/>
  <x:c r="B655" i="1"/>
  <x:c r="C655" i="1"/>
  <x:c r="B656" i="1"/>
  <x:c r="C656" i="1"/>
  <x:c r="B657" i="1"/>
  <x:c r="C657" i="1"/>
  <x:c r="B658" i="1"/>
  <x:c r="C658" i="1"/>
  <x:c r="B659" i="1"/>
  <x:c r="C659" i="1"/>
  <x:c r="B660" i="1"/>
  <x:c r="C660" i="1"/>
  <x:c r="B661" i="1"/>
  <x:c r="C661" i="1"/>
  <x:c r="B662" i="1"/>
  <x:c r="C662" i="1"/>
  <x:c r="B663" i="1"/>
  <x:c r="C663" i="1"/>
  <x:c r="B664" i="1"/>
  <x:c r="C664" i="1"/>
  <x:c r="B665" i="1"/>
  <x:c r="C665" i="1"/>
  <x:c r="B666" i="1"/>
  <x:c r="C666" i="1"/>
  <x:c r="B667" i="1"/>
  <x:c r="C667" i="1"/>
  <x:c r="B668" i="1"/>
  <x:c r="C668" i="1"/>
  <x:c r="B669" i="1"/>
  <x:c r="C669" i="1"/>
  <x:c r="B670" i="1"/>
  <x:c r="C670" i="1"/>
  <x:c r="B671" i="1"/>
  <x:c r="C671" i="1"/>
  <x:c r="B672" i="1"/>
  <x:c r="C672" i="1"/>
  <x:c r="B673" i="1"/>
  <x:c r="C673" i="1"/>
  <x:c r="B674" i="1"/>
  <x:c r="C674" i="1"/>
  <x:c r="B675" i="1"/>
  <x:c r="C675" i="1"/>
  <x:c r="B676" i="1"/>
  <x:c r="C676" i="1"/>
  <x:c r="B677" i="1"/>
  <x:c r="C677" i="1"/>
  <x:c r="B678" i="1"/>
  <x:c r="C678" i="1"/>
  <x:c r="B679" i="1"/>
  <x:c r="C679" i="1"/>
  <x:c r="B680" i="1"/>
  <x:c r="C680" i="1"/>
  <x:c r="B681" i="1"/>
  <x:c r="C681" i="1"/>
  <x:c r="B682" i="1"/>
  <x:c r="C682" i="1"/>
  <x:c r="B683" i="1"/>
  <x:c r="C683" i="1"/>
  <x:c r="B684" i="1"/>
  <x:c r="C684" i="1"/>
  <x:c r="B685" i="1"/>
  <x:c r="C685" i="1"/>
  <x:c r="B686" i="1"/>
  <x:c r="C686" i="1"/>
  <x:c r="B687" i="1"/>
  <x:c r="C687" i="1"/>
  <x:c r="B688" i="1"/>
  <x:c r="C688" i="1"/>
  <x:c r="B689" i="1"/>
  <x:c r="C689" i="1"/>
  <x:c r="B690" i="1"/>
  <x:c r="C690" i="1"/>
  <x:c r="B691" i="1"/>
  <x:c r="C691" i="1"/>
  <x:c r="B692" i="1"/>
  <x:c r="C692" i="1"/>
  <x:c r="B693" i="1"/>
  <x:c r="C693" i="1"/>
  <x:c r="B694" i="1"/>
  <x:c r="C694" i="1"/>
  <x:c r="B695" i="1"/>
  <x:c r="C695" i="1"/>
  <x:c r="B696" i="1"/>
  <x:c r="C696" i="1"/>
  <x:c r="B697" i="1"/>
  <x:c r="C697" i="1"/>
  <x:c r="B698" i="1"/>
  <x:c r="C698" i="1"/>
  <x:c r="B699" i="1"/>
  <x:c r="C699" i="1"/>
  <x:c r="B700" i="1"/>
  <x:c r="C700" i="1"/>
  <x:c r="B701" i="1"/>
  <x:c r="C701" i="1"/>
  <x:c r="B702" i="1"/>
  <x:c r="C702" i="1"/>
  <x:c r="B703" i="1"/>
  <x:c r="C703" i="1"/>
  <x:c r="B704" i="1"/>
  <x:c r="C704" i="1"/>
  <x:c r="B705" i="1"/>
  <x:c r="C705" i="1"/>
  <x:c r="B706" i="1"/>
  <x:c r="C706" i="1"/>
  <x:c r="B707" i="1"/>
  <x:c r="C707" i="1"/>
  <x:c r="B708" i="1"/>
  <x:c r="C708" i="1"/>
  <x:c r="B709" i="1"/>
  <x:c r="C709" i="1"/>
  <x:c r="B710" i="1"/>
  <x:c r="C710" i="1"/>
  <x:c r="B711" i="1"/>
  <x:c r="C711" i="1"/>
  <x:c r="B712" i="1"/>
  <x:c r="C712" i="1"/>
  <x:c r="B713" i="1"/>
  <x:c r="C713" i="1"/>
  <x:c r="B714" i="1"/>
  <x:c r="C714" i="1"/>
  <x:c r="B715" i="1"/>
  <x:c r="C715" i="1"/>
  <x:c r="B716" i="1"/>
  <x:c r="C716" i="1"/>
  <x:c r="B717" i="1"/>
  <x:c r="C717" i="1"/>
  <x:c r="B718" i="1"/>
  <x:c r="C718" i="1"/>
  <x:c r="B719" i="1"/>
  <x:c r="C719" i="1"/>
  <x:c r="B720" i="1"/>
  <x:c r="C720" i="1"/>
  <x:c r="B721" i="1"/>
  <x:c r="C721" i="1"/>
  <x:c r="B722" i="1"/>
  <x:c r="C722" i="1"/>
  <x:c r="B723" i="1"/>
  <x:c r="C723" i="1"/>
  <x:c r="B724" i="1"/>
  <x:c r="C724" i="1"/>
  <x:c r="B725" i="1"/>
  <x:c r="C725" i="1"/>
  <x:c r="B726" i="1"/>
  <x:c r="C726" i="1"/>
  <x:c r="B727" i="1"/>
  <x:c r="C727" i="1"/>
  <x:c r="B728" i="1"/>
  <x:c r="C728" i="1"/>
  <x:c r="B729" i="1"/>
  <x:c r="C729" i="1"/>
  <x:c r="B730" i="1"/>
  <x:c r="C730" i="1"/>
  <x:c r="B731" i="1"/>
  <x:c r="C731" i="1"/>
  <x:c r="B732" i="1"/>
  <x:c r="C732" i="1"/>
  <x:c r="B733" i="1"/>
  <x:c r="C733" i="1"/>
  <x:c r="B734" i="1"/>
  <x:c r="C734" i="1"/>
  <x:c r="B735" i="1"/>
  <x:c r="C735" i="1"/>
  <x:c r="B736" i="1"/>
  <x:c r="C736" i="1"/>
  <x:c r="B737" i="1"/>
  <x:c r="C737" i="1"/>
  <x:c r="B738" i="1"/>
  <x:c r="C738" i="1"/>
  <x:c r="B739" i="1"/>
  <x:c r="C739" i="1"/>
  <x:c r="B740" i="1"/>
  <x:c r="C740" i="1"/>
  <x:c r="B741" i="1"/>
  <x:c r="C741" i="1"/>
  <x:c r="B742" i="1"/>
  <x:c r="C742" i="1"/>
  <x:c r="B743" i="1"/>
  <x:c r="C743" i="1"/>
  <x:c r="B744" i="1"/>
  <x:c r="C744" i="1"/>
  <x:c r="B745" i="1"/>
  <x:c r="C745" i="1"/>
  <x:c r="B746" i="1"/>
  <x:c r="C746" i="1"/>
  <x:c r="B747" i="1"/>
  <x:c r="C747" i="1"/>
  <x:c r="B748" i="1"/>
  <x:c r="C748" i="1"/>
  <x:c r="B749" i="1"/>
  <x:c r="C749" i="1"/>
  <x:c r="B750" i="1"/>
  <x:c r="C750" i="1"/>
  <x:c r="B751" i="1"/>
  <x:c r="C751" i="1"/>
  <x:c r="B752" i="1"/>
  <x:c r="C752" i="1"/>
  <x:c r="B753" i="1"/>
  <x:c r="C753" i="1"/>
  <x:c r="B754" i="1"/>
  <x:c r="C754" i="1"/>
  <x:c r="B755" i="1"/>
  <x:c r="C755" i="1"/>
  <x:c r="B756" i="1"/>
  <x:c r="C756" i="1"/>
  <x:c r="B757" i="1"/>
  <x:c r="C757" i="1"/>
  <x:c r="B758" i="1"/>
  <x:c r="C758" i="1"/>
  <x:c r="B759" i="1"/>
  <x:c r="C759" i="1"/>
  <x:c r="B760" i="1"/>
  <x:c r="C760" i="1"/>
  <x:c r="B761" i="1"/>
  <x:c r="C761" i="1"/>
  <x:c r="B762" i="1"/>
  <x:c r="C762" i="1"/>
  <x:c r="B763" i="1"/>
  <x:c r="C763" i="1"/>
  <x:c r="B764" i="1"/>
  <x:c r="C764" i="1"/>
  <x:c r="B765" i="1"/>
  <x:c r="C765" i="1"/>
  <x:c r="B766" i="1"/>
  <x:c r="C766" i="1"/>
  <x:c r="B767" i="1"/>
  <x:c r="C767" i="1"/>
  <x:c r="B768" i="1"/>
  <x:c r="C768" i="1"/>
  <x:c r="B769" i="1"/>
  <x:c r="C769" i="1"/>
  <x:c r="B770" i="1"/>
  <x:c r="C770" i="1"/>
  <x:c r="B771" i="1"/>
  <x:c r="C771" i="1"/>
  <x:c r="B772" i="1"/>
  <x:c r="C772" i="1"/>
  <x:c r="B773" i="1"/>
  <x:c r="C773" i="1"/>
  <x:c r="B774" i="1"/>
  <x:c r="C774" i="1"/>
  <x:c r="B775" i="1"/>
  <x:c r="C775" i="1"/>
  <x:c r="B776" i="1"/>
  <x:c r="C776" i="1"/>
  <x:c r="B777" i="1"/>
  <x:c r="C777" i="1"/>
  <x:c r="B778" i="1"/>
  <x:c r="C778" i="1"/>
  <x:c r="B779" i="1"/>
  <x:c r="C779" i="1"/>
  <x:c r="B780" i="1"/>
  <x:c r="C780" i="1"/>
  <x:c r="B781" i="1"/>
  <x:c r="C781" i="1"/>
  <x:c r="B782" i="1"/>
  <x:c r="C782" i="1"/>
  <x:c r="B783" i="1"/>
  <x:c r="C783" i="1"/>
  <x:c r="B784" i="1"/>
  <x:c r="C784" i="1"/>
  <x:c r="B785" i="1"/>
  <x:c r="C785" i="1"/>
  <x:c r="B786" i="1"/>
  <x:c r="C786" i="1"/>
  <x:c r="B787" i="1"/>
  <x:c r="C787" i="1"/>
  <x:c r="B788" i="1"/>
  <x:c r="C788" i="1"/>
  <x:c r="B789" i="1"/>
  <x:c r="C789" i="1"/>
  <x:c r="B790" i="1"/>
  <x:c r="C790" i="1"/>
  <x:c r="B791" i="1"/>
  <x:c r="C791" i="1"/>
  <x:c r="B792" i="1"/>
  <x:c r="C792" i="1"/>
  <x:c r="B793" i="1"/>
  <x:c r="C793" i="1"/>
  <x:c r="B794" i="1"/>
  <x:c r="C794" i="1"/>
  <x:c r="B795" i="1"/>
  <x:c r="C795" i="1"/>
  <x:c r="B796" i="1"/>
  <x:c r="C796" i="1"/>
  <x:c r="B797" i="1"/>
  <x:c r="C797" i="1"/>
  <x:c r="B798" i="1"/>
  <x:c r="C798" i="1"/>
  <x:c r="B799" i="1"/>
  <x:c r="C799" i="1"/>
  <x:c r="B800" i="1"/>
  <x:c r="C800" i="1"/>
  <x:c r="B801" i="1"/>
  <x:c r="C801" i="1"/>
  <x:c r="B802" i="1"/>
  <x:c r="C802" i="1"/>
  <x:c r="B803" i="1"/>
  <x:c r="C803" i="1"/>
  <x:c r="B804" i="1"/>
  <x:c r="C804" i="1"/>
  <x:c r="B805" i="1"/>
  <x:c r="C805" i="1"/>
  <x:c r="B806" i="1"/>
  <x:c r="C806" i="1"/>
  <x:c r="B807" i="1"/>
  <x:c r="C807" i="1"/>
  <x:c r="B808" i="1"/>
  <x:c r="C808" i="1"/>
  <x:c r="B809" i="1"/>
  <x:c r="C809" i="1"/>
  <x:c r="B810" i="1"/>
  <x:c r="C810" i="1"/>
  <x:c r="B811" i="1"/>
  <x:c r="C811" i="1"/>
  <x:c r="B812" i="1"/>
  <x:c r="C812" i="1"/>
  <x:c r="B813" i="1"/>
  <x:c r="C813" i="1"/>
  <x:c r="B814" i="1"/>
  <x:c r="C814" i="1"/>
  <x:c r="B815" i="1"/>
  <x:c r="C815" i="1"/>
  <x:c r="B816" i="1"/>
  <x:c r="C816" i="1"/>
  <x:c r="B817" i="1"/>
  <x:c r="C817" i="1"/>
  <x:c r="B818" i="1"/>
  <x:c r="C818" i="1"/>
  <x:c r="B819" i="1"/>
  <x:c r="C819" i="1"/>
  <x:c r="B820" i="1"/>
  <x:c r="C820" i="1"/>
  <x:c r="B821" i="1"/>
  <x:c r="C821" i="1"/>
  <x:c r="B822" i="1"/>
  <x:c r="C822" i="1"/>
  <x:c r="B823" i="1"/>
  <x:c r="C823" i="1"/>
  <x:c r="B824" i="1"/>
  <x:c r="C824" i="1"/>
  <x:c r="B825" i="1"/>
  <x:c r="C825" i="1"/>
  <x:c r="B826" i="1"/>
  <x:c r="C826" i="1"/>
  <x:c r="B827" i="1"/>
  <x:c r="C827" i="1"/>
  <x:c r="B828" i="1"/>
  <x:c r="C828" i="1"/>
  <x:c r="B829" i="1"/>
  <x:c r="C829" i="1"/>
  <x:c r="B830" i="1"/>
  <x:c r="C830" i="1"/>
  <x:c r="B831" i="1"/>
  <x:c r="C831" i="1"/>
  <x:c r="B832" i="1"/>
  <x:c r="C832" i="1"/>
  <x:c r="B833" i="1"/>
  <x:c r="C833" i="1"/>
  <x:c r="B834" i="1"/>
  <x:c r="C834" i="1"/>
  <x:c r="B835" i="1"/>
  <x:c r="C835" i="1"/>
  <x:c r="B836" i="1"/>
  <x:c r="C836" i="1"/>
  <x:c r="B837" i="1"/>
  <x:c r="C837" i="1"/>
  <x:c r="B838" i="1"/>
  <x:c r="C838" i="1"/>
  <x:c r="B839" i="1"/>
  <x:c r="C839" i="1"/>
  <x:c r="B840" i="1"/>
  <x:c r="C840" i="1"/>
  <x:c r="B841" i="1"/>
  <x:c r="C841" i="1"/>
  <x:c r="B842" i="1"/>
  <x:c r="C842" i="1"/>
  <x:c r="B843" i="1"/>
  <x:c r="C843" i="1"/>
  <x:c r="B844" i="1"/>
  <x:c r="C844" i="1"/>
  <x:c r="B845" i="1"/>
  <x:c r="C845" i="1"/>
  <x:c r="B846" i="1"/>
  <x:c r="C846" i="1"/>
  <x:c r="B847" i="1"/>
  <x:c r="C847" i="1"/>
  <x:c r="B848" i="1"/>
  <x:c r="C848" i="1"/>
  <x:c r="B849" i="1"/>
  <x:c r="C849" i="1"/>
  <x:c r="B850" i="1"/>
  <x:c r="C850" i="1"/>
  <x:c r="B851" i="1"/>
  <x:c r="C851" i="1"/>
  <x:c r="B852" i="1"/>
  <x:c r="C852" i="1"/>
  <x:c r="B853" i="1"/>
  <x:c r="C853" i="1"/>
  <x:c r="B854" i="1"/>
  <x:c r="C854" i="1"/>
  <x:c r="B855" i="1"/>
  <x:c r="C855" i="1"/>
  <x:c r="B856" i="1"/>
  <x:c r="C856" i="1"/>
  <x:c r="B857" i="1"/>
  <x:c r="C857" i="1"/>
  <x:c r="B858" i="1"/>
  <x:c r="C858" i="1"/>
  <x:c r="B859" i="1"/>
  <x:c r="C859" i="1"/>
  <x:c r="B860" i="1"/>
  <x:c r="C860" i="1"/>
  <x:c r="B861" i="1"/>
  <x:c r="C861" i="1"/>
  <x:c r="B862" i="1"/>
  <x:c r="C862" i="1"/>
  <x:c r="B863" i="1"/>
  <x:c r="C863" i="1"/>
  <x:c r="B864" i="1"/>
  <x:c r="C864" i="1"/>
  <x:c r="B865" i="1"/>
  <x:c r="C865" i="1"/>
  <x:c r="B866" i="1"/>
  <x:c r="C866" i="1"/>
  <x:c r="B867" i="1"/>
  <x:c r="C867" i="1"/>
  <x:c r="B868" i="1"/>
  <x:c r="C868" i="1"/>
  <x:c r="B869" i="1"/>
  <x:c r="C869" i="1"/>
  <x:c r="B870" i="1"/>
  <x:c r="C870" i="1"/>
  <x:c r="B871" i="1"/>
  <x:c r="C871" i="1"/>
  <x:c r="B872" i="1"/>
  <x:c r="C872" i="1"/>
  <x:c r="B873" i="1"/>
  <x:c r="C873" i="1"/>
  <x:c r="B874" i="1"/>
  <x:c r="C874" i="1"/>
  <x:c r="B875" i="1"/>
  <x:c r="C875" i="1"/>
  <x:c r="B876" i="1"/>
  <x:c r="C876" i="1"/>
  <x:c r="B877" i="1"/>
  <x:c r="C877" i="1"/>
  <x:c r="B878" i="1"/>
  <x:c r="C878" i="1"/>
  <x:c r="B879" i="1"/>
  <x:c r="C879" i="1"/>
  <x:c r="B880" i="1"/>
  <x:c r="C880" i="1"/>
  <x:c r="B881" i="1"/>
  <x:c r="C881" i="1"/>
  <x:c r="B882" i="1"/>
  <x:c r="C882" i="1"/>
  <x:c r="B883" i="1"/>
  <x:c r="C883" i="1"/>
  <x:c r="B884" i="1"/>
  <x:c r="C884" i="1"/>
  <x:c r="B885" i="1"/>
  <x:c r="C885" i="1"/>
  <x:c r="B886" i="1"/>
  <x:c r="C886" i="1"/>
  <x:c r="B887" i="1"/>
  <x:c r="C887" i="1"/>
  <x:c r="B888" i="1"/>
  <x:c r="C888" i="1"/>
  <x:c r="B889" i="1"/>
  <x:c r="C889" i="1"/>
  <x:c r="B890" i="1"/>
  <x:c r="C890" i="1"/>
  <x:c r="B891" i="1"/>
  <x:c r="C891" i="1"/>
  <x:c r="B892" i="1"/>
  <x:c r="C892" i="1"/>
  <x:c r="B893" i="1"/>
  <x:c r="C893" i="1"/>
  <x:c r="B894" i="1"/>
  <x:c r="C894" i="1"/>
  <x:c r="B895" i="1"/>
  <x:c r="C895" i="1"/>
  <x:c r="B896" i="1"/>
  <x:c r="C896" i="1"/>
  <x:c r="B897" i="1"/>
  <x:c r="C897" i="1"/>
  <x:c r="B898" i="1"/>
  <x:c r="C898" i="1"/>
  <x:c r="B899" i="1"/>
  <x:c r="C899" i="1"/>
  <x:c r="B900" i="1"/>
  <x:c r="C900" i="1"/>
  <x:c r="B901" i="1"/>
  <x:c r="C901" i="1"/>
  <x:c r="B902" i="1"/>
  <x:c r="C902" i="1"/>
  <x:c r="B903" i="1"/>
  <x:c r="C903" i="1"/>
  <x:c r="B904" i="1"/>
  <x:c r="C904" i="1"/>
  <x:c r="B905" i="1"/>
  <x:c r="C905" i="1"/>
  <x:c r="B906" i="1"/>
  <x:c r="C906" i="1"/>
  <x:c r="B907" i="1"/>
  <x:c r="C907" i="1"/>
  <x:c r="B908" i="1"/>
  <x:c r="C908" i="1"/>
  <x:c r="B909" i="1"/>
  <x:c r="C909" i="1"/>
  <x:c r="B910" i="1"/>
  <x:c r="C910" i="1"/>
  <x:c r="B911" i="1"/>
  <x:c r="C911" i="1"/>
  <x:c r="B912" i="1"/>
  <x:c r="C912" i="1"/>
  <x:c r="B913" i="1"/>
  <x:c r="C913" i="1"/>
  <x:c r="B914" i="1"/>
  <x:c r="C914" i="1"/>
  <x:c r="B915" i="1"/>
  <x:c r="C915" i="1"/>
  <x:c r="B916" i="1"/>
  <x:c r="C916" i="1"/>
  <x:c r="B917" i="1"/>
  <x:c r="C917" i="1"/>
  <x:c r="B918" i="1"/>
  <x:c r="C918" i="1"/>
  <x:c r="B919" i="1"/>
  <x:c r="C919" i="1"/>
  <x:c r="B920" i="1"/>
  <x:c r="C920" i="1"/>
  <x:c r="B921" i="1"/>
  <x:c r="C921" i="1"/>
  <x:c r="B922" i="1"/>
  <x:c r="C922" i="1"/>
  <x:c r="B923" i="1"/>
  <x:c r="C923" i="1"/>
  <x:c r="B924" i="1"/>
  <x:c r="C924" i="1"/>
  <x:c r="B925" i="1"/>
  <x:c r="C925" i="1"/>
  <x:c r="B926" i="1"/>
  <x:c r="C926" i="1"/>
  <x:c r="B927" i="1"/>
  <x:c r="C927" i="1"/>
  <x:c r="B928" i="1"/>
  <x:c r="C928" i="1"/>
  <x:c r="B929" i="1"/>
  <x:c r="C929" i="1"/>
  <x:c r="B930" i="1"/>
  <x:c r="C930" i="1"/>
  <x:c r="B931" i="1"/>
  <x:c r="C931" i="1"/>
  <x:c r="B932" i="1"/>
  <x:c r="C932" i="1"/>
  <x:c r="B933" i="1"/>
  <x:c r="C933" i="1"/>
  <x:c r="B934" i="1"/>
  <x:c r="C934" i="1"/>
  <x:c r="B935" i="1"/>
  <x:c r="C935" i="1"/>
  <x:c r="B936" i="1"/>
  <x:c r="C936" i="1"/>
  <x:c r="B937" i="1"/>
  <x:c r="C937" i="1"/>
  <x:c r="B938" i="1"/>
  <x:c r="C938" i="1"/>
  <x:c r="B939" i="1"/>
  <x:c r="C939" i="1"/>
  <x:c r="B940" i="1"/>
  <x:c r="C940" i="1"/>
  <x:c r="B941" i="1"/>
  <x:c r="C941" i="1"/>
  <x:c r="B942" i="1"/>
  <x:c r="C942" i="1"/>
  <x:c r="B943" i="1"/>
  <x:c r="C943" i="1"/>
  <x:c r="B944" i="1"/>
  <x:c r="C944" i="1"/>
  <x:c r="B945" i="1"/>
  <x:c r="C945" i="1"/>
  <x:c r="B946" i="1"/>
  <x:c r="C946" i="1"/>
  <x:c r="B947" i="1"/>
  <x:c r="C947" i="1"/>
  <x:c r="B948" i="1"/>
  <x:c r="C948" i="1"/>
  <x:c r="B949" i="1"/>
  <x:c r="C949" i="1"/>
  <x:c r="B950" i="1"/>
  <x:c r="C950" i="1"/>
  <x:c r="B951" i="1"/>
  <x:c r="C951" i="1"/>
  <x:c r="B952" i="1"/>
  <x:c r="C952" i="1"/>
  <x:c r="B953" i="1"/>
  <x:c r="C953" i="1"/>
  <x:c r="B954" i="1"/>
  <x:c r="C954" i="1"/>
  <x:c r="B955" i="1"/>
  <x:c r="C955" i="1"/>
  <x:c r="B956" i="1"/>
  <x:c r="C956" i="1"/>
  <x:c r="B957" i="1"/>
  <x:c r="C957" i="1"/>
  <x:c r="B958" i="1"/>
  <x:c r="C958" i="1"/>
  <x:c r="B959" i="1"/>
  <x:c r="C959" i="1"/>
  <x:c r="B960" i="1"/>
  <x:c r="C960" i="1"/>
  <x:c r="B961" i="1"/>
  <x:c r="C961" i="1"/>
  <x:c r="B962" i="1"/>
  <x:c r="C962" i="1"/>
  <x:c r="B963" i="1"/>
  <x:c r="C963" i="1"/>
  <x:c r="B964" i="1"/>
  <x:c r="C964" i="1"/>
  <x:c r="B965" i="1"/>
  <x:c r="C965" i="1"/>
  <x:c r="B966" i="1"/>
  <x:c r="C966" i="1"/>
  <x:c r="B967" i="1"/>
  <x:c r="C967" i="1"/>
  <x:c r="B968" i="1"/>
  <x:c r="C968" i="1"/>
  <x:c r="B969" i="1"/>
  <x:c r="C969" i="1"/>
  <x:c r="B970" i="1"/>
  <x:c r="C970" i="1"/>
  <x:c r="B971" i="1"/>
  <x:c r="C971" i="1"/>
  <x:c r="B972" i="1"/>
  <x:c r="C972" i="1"/>
  <x:c r="B973" i="1"/>
  <x:c r="C973" i="1"/>
  <x:c r="B974" i="1"/>
  <x:c r="C974" i="1"/>
  <x:c r="B975" i="1"/>
  <x:c r="C975" i="1"/>
  <x:c r="B976" i="1"/>
  <x:c r="C976" i="1"/>
  <x:c r="B977" i="1"/>
  <x:c r="C977" i="1"/>
  <x:c r="B978" i="1"/>
  <x:c r="C978" i="1"/>
  <x:c r="B979" i="1"/>
  <x:c r="C979" i="1"/>
  <x:c r="B980" i="1"/>
  <x:c r="C980" i="1"/>
  <x:c r="B981" i="1"/>
  <x:c r="C981" i="1"/>
  <x:c r="B982" i="1"/>
  <x:c r="C982" i="1"/>
  <x:c r="B983" i="1"/>
  <x:c r="C983" i="1"/>
  <x:c r="B984" i="1"/>
  <x:c r="C984" i="1"/>
  <x:c r="B985" i="1"/>
  <x:c r="C985" i="1"/>
  <x:c r="B986" i="1"/>
  <x:c r="C986" i="1"/>
  <x:c r="B987" i="1"/>
  <x:c r="C987" i="1"/>
  <x:c r="B988" i="1"/>
  <x:c r="C988" i="1"/>
  <x:c r="B989" i="1"/>
  <x:c r="C989" i="1"/>
  <x:c r="B990" i="1"/>
  <x:c r="C990" i="1"/>
  <x:c r="B991" i="1"/>
  <x:c r="C991" i="1"/>
  <x:c r="B992" i="1"/>
  <x:c r="C992" i="1"/>
  <x:c r="B993" i="1"/>
  <x:c r="C993" i="1"/>
  <x:c r="B994" i="1"/>
  <x:c r="C994" i="1"/>
  <x:c r="B995" i="1"/>
  <x:c r="C995" i="1"/>
  <x:c r="B996" i="1"/>
  <x:c r="C996" i="1"/>
  <x:c r="B997" i="1"/>
  <x:c r="C997" i="1"/>
  <x:c r="B998" i="1"/>
  <x:c r="C998" i="1"/>
  <x:c r="B999" i="1"/>
  <x:c r="C999" i="1"/>
  <x:c r="B1000" i="1"/>
  <x:c r="C1000" i="1"/>
  <x:c r="B1001" i="1"/>
  <x:c r="C1001" i="1"/>
  <x:c r="B1002" i="1"/>
  <x:c r="C1002" i="1"/>
  <x:c r="B1003" i="1"/>
  <x:c r="C1003" i="1"/>
  <x:c r="B1004" i="1"/>
  <x:c r="C1004" i="1"/>
  <x:c r="B1005" i="1"/>
  <x:c r="C1005" i="1"/>
  <x:c r="B1006" i="1"/>
  <x:c r="C1006" i="1"/>
  <x:c r="B1007" i="1"/>
  <x:c r="C1007" i="1"/>
  <x:c r="B1008" i="1"/>
  <x:c r="C1008" i="1"/>
  <x:c r="B1009" i="1"/>
  <x:c r="C1009" i="1"/>
  <x:c r="B1010" i="1"/>
  <x:c r="C1010" i="1"/>
  <x:c r="B1011" i="1"/>
  <x:c r="C1011" i="1"/>
  <x:c r="B1012" i="1"/>
  <x:c r="C1012" i="1"/>
  <x:c r="B1013" i="1"/>
  <x:c r="C1013" i="1"/>
  <x:c r="B1014" i="1"/>
  <x:c r="C1014" i="1"/>
  <x:c r="B1015" i="1"/>
  <x:c r="C1015" i="1"/>
  <x:c r="B1016" i="1"/>
  <x:c r="C1016" i="1"/>
  <x:c r="B1017" i="1"/>
  <x:c r="C1017" i="1"/>
  <x:c r="B1018" i="1"/>
  <x:c r="C1018" i="1"/>
  <x:c r="B1019" i="1"/>
  <x:c r="C1019" i="1"/>
  <x:c r="B1020" i="1"/>
  <x:c r="C1020" i="1"/>
  <x:c r="B1021" i="1"/>
  <x:c r="C1021" i="1"/>
  <x:c r="B1022" i="1"/>
  <x:c r="C1022" i="1"/>
  <x:c r="B1023" i="1"/>
  <x:c r="C1023" i="1"/>
  <x:c r="B1024" i="1"/>
  <x:c r="C1024" i="1"/>
  <x:c r="B1025" i="1"/>
  <x:c r="C1025" i="1"/>
  <x:c r="B1026" i="1"/>
  <x:c r="C1026" i="1"/>
  <x:c r="B1027" i="1"/>
  <x:c r="C1027" i="1"/>
  <x:c r="B1028" i="1"/>
  <x:c r="C1028" i="1"/>
  <x:c r="B1029" i="1"/>
  <x:c r="C1029" i="1"/>
  <x:c r="B1030" i="1"/>
  <x:c r="C1030" i="1"/>
  <x:c r="B1031" i="1"/>
  <x:c r="C1031" i="1"/>
  <x:c r="B1032" i="1"/>
  <x:c r="C1032" i="1"/>
  <x:c r="B1033" i="1"/>
  <x:c r="C1033" i="1"/>
  <x:c r="B1034" i="1"/>
  <x:c r="C1034" i="1"/>
  <x:c r="B1035" i="1"/>
  <x:c r="C1035" i="1"/>
  <x:c r="B1036" i="1"/>
  <x:c r="C1036" i="1"/>
  <x:c r="B1037" i="1"/>
  <x:c r="C1037" i="1"/>
  <x:c r="B1038" i="1"/>
  <x:c r="C1038" i="1"/>
  <x:c r="B1039" i="1"/>
  <x:c r="C1039" i="1"/>
  <x:c r="B1040" i="1"/>
  <x:c r="C1040" i="1"/>
  <x:c r="B1041" i="1"/>
  <x:c r="C1041" i="1"/>
  <x:c r="B1042" i="1"/>
  <x:c r="C1042" i="1"/>
  <x:c r="B1043" i="1"/>
  <x:c r="C1043" i="1"/>
  <x:c r="B1044" i="1"/>
  <x:c r="C1044" i="1"/>
  <x:c r="B1045" i="1"/>
  <x:c r="C1045" i="1"/>
  <x:c r="B1046" i="1"/>
  <x:c r="C1046" i="1"/>
  <x:c r="B1047" i="1"/>
  <x:c r="C1047" i="1"/>
  <x:c r="B1048" i="1"/>
  <x:c r="C1048" i="1"/>
  <x:c r="B1049" i="1"/>
  <x:c r="C1049" i="1"/>
  <x:c r="B1050" i="1"/>
  <x:c r="C1050" i="1"/>
  <x:c r="B1051" i="1"/>
  <x:c r="C1051" i="1"/>
  <x:c r="B1052" i="1"/>
  <x:c r="C1052" i="1"/>
  <x:c r="B1053" i="1"/>
  <x:c r="C1053" i="1"/>
  <x:c r="B1054" i="1"/>
  <x:c r="C1054" i="1"/>
  <x:c r="B1055" i="1"/>
  <x:c r="C1055" i="1"/>
  <x:c r="B1056" i="1"/>
  <x:c r="C1056" i="1"/>
  <x:c r="B1057" i="1"/>
  <x:c r="C1057" i="1"/>
  <x:c r="B1058" i="1"/>
  <x:c r="C1058" i="1"/>
  <x:c r="B1059" i="1"/>
  <x:c r="C1059" i="1"/>
  <x:c r="B1060" i="1"/>
  <x:c r="C1060" i="1"/>
  <x:c r="B1061" i="1"/>
  <x:c r="C1061" i="1"/>
  <x:c r="B1062" i="1"/>
  <x:c r="C1062" i="1"/>
  <x:c r="B1063" i="1"/>
  <x:c r="C1063" i="1"/>
  <x:c r="B1064" i="1"/>
  <x:c r="C1064" i="1"/>
  <x:c r="B1065" i="1"/>
  <x:c r="C1065" i="1"/>
  <x:c r="B1066" i="1"/>
  <x:c r="C1066" i="1"/>
  <x:c r="B1067" i="1"/>
  <x:c r="C1067" i="1"/>
  <x:c r="B1068" i="1"/>
  <x:c r="C1068" i="1"/>
  <x:c r="B1069" i="1"/>
  <x:c r="C1069" i="1"/>
  <x:c r="B1070" i="1"/>
  <x:c r="C1070" i="1"/>
  <x:c r="B1071" i="1"/>
  <x:c r="C1071" i="1"/>
  <x:c r="B1072" i="1"/>
  <x:c r="C1072" i="1"/>
  <x:c r="B1073" i="1"/>
  <x:c r="C1073" i="1"/>
  <x:c r="B1074" i="1"/>
  <x:c r="C1074" i="1"/>
  <x:c r="B1075" i="1"/>
  <x:c r="C1075" i="1"/>
  <x:c r="B1076" i="1"/>
  <x:c r="C1076" i="1"/>
  <x:c r="B1077" i="1"/>
  <x:c r="C1077" i="1"/>
  <x:c r="B1078" i="1"/>
  <x:c r="C1078" i="1"/>
  <x:c r="B1079" i="1"/>
  <x:c r="C1079" i="1"/>
  <x:c r="B1080" i="1"/>
  <x:c r="C1080" i="1"/>
  <x:c r="B1081" i="1"/>
  <x:c r="C1081" i="1"/>
  <x:c r="B1082" i="1"/>
  <x:c r="C1082" i="1"/>
  <x:c r="B1083" i="1"/>
  <x:c r="C1083" i="1"/>
  <x:c r="B1084" i="1"/>
  <x:c r="C1084" i="1"/>
  <x:c r="B1085" i="1"/>
  <x:c r="C1085" i="1"/>
  <x:c r="B1086" i="1"/>
  <x:c r="C1086" i="1"/>
  <x:c r="B1087" i="1"/>
  <x:c r="C1087" i="1"/>
  <x:c r="B1088" i="1"/>
  <x:c r="C1088" i="1"/>
  <x:c r="B1089" i="1"/>
  <x:c r="C1089" i="1"/>
  <x:c r="B1090" i="1"/>
  <x:c r="C1090" i="1"/>
  <x:c r="B1091" i="1"/>
  <x:c r="C1091" i="1"/>
  <x:c r="B1092" i="1"/>
  <x:c r="C1092" i="1"/>
  <x:c r="B1093" i="1"/>
  <x:c r="C1093" i="1"/>
  <x:c r="B1094" i="1"/>
  <x:c r="C1094" i="1"/>
  <x:c r="B1095" i="1"/>
  <x:c r="C1095" i="1"/>
  <x:c r="B1096" i="1"/>
  <x:c r="C1096" i="1"/>
  <x:c r="B1097" i="1"/>
  <x:c r="C1097" i="1"/>
  <x:c r="B1098" i="1"/>
  <x:c r="C1098" i="1"/>
  <x:c r="B1099" i="1"/>
  <x:c r="C1099" i="1"/>
  <x:c r="B1100" i="1"/>
  <x:c r="C1100" i="1"/>
  <x:c r="B1101" i="1"/>
  <x:c r="C1101" i="1"/>
  <x:c r="B1102" i="1"/>
  <x:c r="C1102" i="1"/>
  <x:c r="B1103" i="1"/>
  <x:c r="C1103" i="1"/>
  <x:c r="B1104" i="1"/>
  <x:c r="C1104" i="1"/>
  <x:c r="B1105" i="1"/>
  <x:c r="C1105" i="1"/>
  <x:c r="B1106" i="1"/>
  <x:c r="C1106" i="1"/>
  <x:c r="B1107" i="1"/>
  <x:c r="C1107" i="1"/>
  <x:c r="B1108" i="1"/>
  <x:c r="C1108" i="1"/>
  <x:c r="B1109" i="1"/>
  <x:c r="C1109" i="1"/>
  <x:c r="B1110" i="1"/>
  <x:c r="C1110" i="1"/>
  <x:c r="B1111" i="1"/>
  <x:c r="C1111" i="1"/>
  <x:c r="B1112" i="1"/>
  <x:c r="C1112" i="1"/>
  <x:c r="B1113" i="1"/>
  <x:c r="C1113" i="1"/>
  <x:c r="B1114" i="1"/>
  <x:c r="C1114" i="1"/>
  <x:c r="B1115" i="1"/>
  <x:c r="C1115" i="1"/>
  <x:c r="B1116" i="1"/>
  <x:c r="C1116" i="1"/>
  <x:c r="B1117" i="1"/>
  <x:c r="C1117" i="1"/>
  <x:c r="B1118" i="1"/>
  <x:c r="C1118" i="1"/>
  <x:c r="B1119" i="1"/>
  <x:c r="C1119" i="1"/>
  <x:c r="B1120" i="1"/>
  <x:c r="C1120" i="1"/>
  <x:c r="B1121" i="1"/>
  <x:c r="C1121" i="1"/>
  <x:c r="B1122" i="1"/>
  <x:c r="C1122" i="1"/>
  <x:c r="B1123" i="1"/>
  <x:c r="C1123" i="1"/>
  <x:c r="B1124" i="1"/>
  <x:c r="C1124" i="1"/>
  <x:c r="B1125" i="1"/>
  <x:c r="C1125" i="1"/>
  <x:c r="B1126" i="1"/>
  <x:c r="C1126" i="1"/>
  <x:c r="B1127" i="1"/>
  <x:c r="C1127" i="1"/>
  <x:c r="B1128" i="1"/>
  <x:c r="C1128" i="1"/>
  <x:c r="B1129" i="1"/>
  <x:c r="C1129" i="1"/>
  <x:c r="B1130" i="1"/>
  <x:c r="C1130" i="1"/>
  <x:c r="B1131" i="1"/>
  <x:c r="C1131" i="1"/>
  <x:c r="B1132" i="1"/>
  <x:c r="C1132" i="1"/>
  <x:c r="B1133" i="1"/>
  <x:c r="C1133" i="1"/>
  <x:c r="B1134" i="1"/>
  <x:c r="C1134" i="1"/>
  <x:c r="B1135" i="1"/>
  <x:c r="C1135" i="1"/>
  <x:c r="B1136" i="1"/>
  <x:c r="C1136" i="1"/>
  <x:c r="B1137" i="1"/>
  <x:c r="C1137" i="1"/>
  <x:c r="B1138" i="1"/>
  <x:c r="C1138" i="1"/>
  <x:c r="B1139" i="1"/>
  <x:c r="C1139" i="1"/>
  <x:c r="B1140" i="1"/>
  <x:c r="C1140" i="1"/>
  <x:c r="B1141" i="1"/>
  <x:c r="C1141" i="1"/>
  <x:c r="B1142" i="1"/>
  <x:c r="C1142" i="1"/>
  <x:c r="B1143" i="1"/>
  <x:c r="C1143" i="1"/>
  <x:c r="B1144" i="1"/>
  <x:c r="C1144" i="1"/>
  <x:c r="B1145" i="1"/>
  <x:c r="C1145" i="1"/>
  <x:c r="B1146" i="1"/>
  <x:c r="C1146" i="1"/>
  <x:c r="B1147" i="1"/>
  <x:c r="C1147" i="1"/>
  <x:c r="B1148" i="1"/>
  <x:c r="C1148" i="1"/>
  <x:c r="B1149" i="1"/>
  <x:c r="C1149" i="1"/>
  <x:c r="B1150" i="1"/>
  <x:c r="C1150" i="1"/>
  <x:c r="B1151" i="1"/>
  <x:c r="C1151" i="1"/>
  <x:c r="B1152" i="1"/>
  <x:c r="C1152" i="1"/>
  <x:c r="B1153" i="1"/>
  <x:c r="C1153" i="1"/>
  <x:c r="B1154" i="1"/>
  <x:c r="C1154" i="1"/>
  <x:c r="B1155" i="1"/>
  <x:c r="C1155" i="1"/>
  <x:c r="B1156" i="1"/>
  <x:c r="C1156" i="1"/>
  <x:c r="B1157" i="1"/>
  <x:c r="C1157" i="1"/>
  <x:c r="B1158" i="1"/>
  <x:c r="C1158" i="1"/>
  <x:c r="B1159" i="1"/>
  <x:c r="C1159" i="1"/>
  <x:c r="B1160" i="1"/>
  <x:c r="C1160" i="1"/>
  <x:c r="B1161" i="1"/>
  <x:c r="C1161" i="1"/>
  <x:c r="B1162" i="1"/>
  <x:c r="C1162" i="1"/>
  <x:c r="B1163" i="1"/>
  <x:c r="C1163" i="1"/>
  <x:c r="B1164" i="1"/>
  <x:c r="C1164" i="1"/>
  <x:c r="B1165" i="1"/>
  <x:c r="C1165" i="1"/>
  <x:c r="B1166" i="1"/>
  <x:c r="C1166" i="1"/>
  <x:c r="B1167" i="1"/>
  <x:c r="C1167" i="1"/>
  <x:c r="B1168" i="1"/>
  <x:c r="C1168" i="1"/>
  <x:c r="B1169" i="1"/>
  <x:c r="C1169" i="1"/>
  <x:c r="B1170" i="1"/>
  <x:c r="C1170" i="1"/>
  <x:c r="B1171" i="1"/>
  <x:c r="C1171" i="1"/>
  <x:c r="B1172" i="1"/>
  <x:c r="C1172" i="1"/>
  <x:c r="B1173" i="1"/>
  <x:c r="C1173" i="1"/>
  <x:c r="B1174" i="1"/>
  <x:c r="C1174" i="1"/>
  <x:c r="B1175" i="1"/>
  <x:c r="C1175" i="1"/>
  <x:c r="B1176" i="1"/>
  <x:c r="C1176" i="1"/>
  <x:c r="B1177" i="1"/>
  <x:c r="C1177" i="1"/>
  <x:c r="B1178" i="1"/>
  <x:c r="C1178" i="1"/>
  <x:c r="B1179" i="1"/>
  <x:c r="C1179" i="1"/>
  <x:c r="B1180" i="1"/>
  <x:c r="C1180" i="1"/>
  <x:c r="B1181" i="1"/>
  <x:c r="C1181" i="1"/>
  <x:c r="B1182" i="1"/>
  <x:c r="C1182" i="1"/>
  <x:c r="B1183" i="1"/>
  <x:c r="C1183" i="1"/>
  <x:c r="B1184" i="1"/>
  <x:c r="C1184" i="1"/>
  <x:c r="B1185" i="1"/>
  <x:c r="C1185" i="1"/>
  <x:c r="B1186" i="1"/>
  <x:c r="C1186" i="1"/>
  <x:c r="B1187" i="1"/>
  <x:c r="C1187" i="1"/>
  <x:c r="B1188" i="1"/>
  <x:c r="C1188" i="1"/>
  <x:c r="B1189" i="1"/>
  <x:c r="C1189" i="1"/>
  <x:c r="B1190" i="1"/>
  <x:c r="C1190" i="1"/>
  <x:c r="B1191" i="1"/>
  <x:c r="C1191" i="1"/>
  <x:c r="B1192" i="1"/>
  <x:c r="C1192" i="1"/>
  <x:c r="B1193" i="1"/>
  <x:c r="C1193" i="1"/>
  <x:c r="B1194" i="1"/>
  <x:c r="C1194" i="1"/>
  <x:c r="B1195" i="1"/>
  <x:c r="C1195" i="1"/>
  <x:c r="B1196" i="1"/>
  <x:c r="C1196" i="1"/>
  <x:c r="B1197" i="1"/>
  <x:c r="C1197" i="1"/>
  <x:c r="B1198" i="1"/>
  <x:c r="C1198" i="1"/>
  <x:c r="B1199" i="1"/>
  <x:c r="C1199" i="1"/>
  <x:c r="B1200" i="1"/>
  <x:c r="C1200" i="1"/>
  <x:c r="B1201" i="1"/>
  <x:c r="C1201" i="1"/>
  <x:c r="B1202" i="1"/>
  <x:c r="C1202" i="1"/>
  <x:c r="B1203" i="1"/>
  <x:c r="C1203" i="1"/>
  <x:c r="B1204" i="1"/>
  <x:c r="C1204" i="1"/>
  <x:c r="B1205" i="1"/>
  <x:c r="C1205" i="1"/>
  <x:c r="B1206" i="1"/>
  <x:c r="C1206" i="1"/>
  <x:c r="B1207" i="1"/>
  <x:c r="C1207" i="1"/>
  <x:c r="B1208" i="1"/>
  <x:c r="C1208" i="1"/>
  <x:c r="B1209" i="1"/>
  <x:c r="C1209" i="1"/>
  <x:c r="B1210" i="1"/>
  <x:c r="C1210" i="1"/>
  <x:c r="B1211" i="1"/>
  <x:c r="C1211" i="1"/>
  <x:c r="B1212" i="1"/>
  <x:c r="C1212" i="1"/>
  <x:c r="B1213" i="1"/>
  <x:c r="C1213" i="1"/>
  <x:c r="B1214" i="1"/>
  <x:c r="C1214" i="1"/>
  <x:c r="B1215" i="1"/>
  <x:c r="C1215" i="1"/>
  <x:c r="B1216" i="1"/>
  <x:c r="C1216" i="1"/>
  <x:c r="B1217" i="1"/>
  <x:c r="C1217" i="1"/>
  <x:c r="B1218" i="1"/>
  <x:c r="C1218" i="1"/>
  <x:c r="B1219" i="1"/>
  <x:c r="C1219" i="1"/>
  <x:c r="B1220" i="1"/>
  <x:c r="C1220" i="1"/>
  <x:c r="B1221" i="1"/>
  <x:c r="C1221" i="1"/>
  <x:c r="B1222" i="1"/>
  <x:c r="C1222" i="1"/>
  <x:c r="B1223" i="1"/>
  <x:c r="C1223" i="1"/>
  <x:c r="B1224" i="1"/>
  <x:c r="C1224" i="1"/>
  <x:c r="B1225" i="1"/>
  <x:c r="C1225" i="1"/>
  <x:c r="B1226" i="1"/>
  <x:c r="C1226" i="1"/>
  <x:c r="B1227" i="1"/>
  <x:c r="C1227" i="1"/>
  <x:c r="B1228" i="1"/>
  <x:c r="C1228" i="1"/>
  <x:c r="B1229" i="1"/>
  <x:c r="C1229" i="1"/>
  <x:c r="B1230" i="1"/>
  <x:c r="C1230" i="1"/>
  <x:c r="B1231" i="1"/>
  <x:c r="C1231" i="1"/>
  <x:c r="B1232" i="1"/>
  <x:c r="C1232" i="1"/>
  <x:c r="B1233" i="1"/>
  <x:c r="C1233" i="1"/>
  <x:c r="B1234" i="1"/>
  <x:c r="C1234" i="1"/>
  <x:c r="B1235" i="1"/>
  <x:c r="C1235" i="1"/>
  <x:c r="B1236" i="1"/>
  <x:c r="C1236" i="1"/>
  <x:c r="B1237" i="1"/>
  <x:c r="C1237" i="1"/>
  <x:c r="B1238" i="1"/>
  <x:c r="C1238" i="1"/>
  <x:c r="B1239" i="1"/>
  <x:c r="C1239" i="1"/>
  <x:c r="B1240" i="1"/>
  <x:c r="C1240" i="1"/>
  <x:c r="B1241" i="1"/>
  <x:c r="C1241" i="1"/>
  <x:c r="B1242" i="1"/>
  <x:c r="C1242" i="1"/>
  <x:c r="B1243" i="1"/>
  <x:c r="C1243" i="1"/>
  <x:c r="B1244" i="1"/>
  <x:c r="C1244" i="1"/>
  <x:c r="B1245" i="1"/>
  <x:c r="C1245" i="1"/>
  <x:c r="B1246" i="1"/>
  <x:c r="C1246" i="1"/>
  <x:c r="B1247" i="1"/>
  <x:c r="C1247" i="1"/>
  <x:c r="B1248" i="1"/>
  <x:c r="C1248" i="1"/>
  <x:c r="B1249" i="1"/>
  <x:c r="C1249" i="1"/>
  <x:c r="B1250" i="1"/>
  <x:c r="C1250" i="1"/>
  <x:c r="B1251" i="1"/>
  <x:c r="C1251" i="1"/>
  <x:c r="B1252" i="1"/>
  <x:c r="C1252" i="1"/>
  <x:c r="B1253" i="1"/>
  <x:c r="C1253" i="1"/>
  <x:c r="B1254" i="1"/>
  <x:c r="C1254" i="1"/>
  <x:c r="B1255" i="1"/>
  <x:c r="C1255" i="1"/>
  <x:c r="B1256" i="1"/>
  <x:c r="C1256" i="1"/>
  <x:c r="B1257" i="1"/>
  <x:c r="C1257" i="1"/>
  <x:c r="B1258" i="1"/>
  <x:c r="C1258" i="1"/>
  <x:c r="B1259" i="1"/>
  <x:c r="C1259" i="1"/>
  <x:c r="B1260" i="1"/>
  <x:c r="C1260" i="1"/>
  <x:c r="B1261" i="1"/>
  <x:c r="C1261" i="1"/>
  <x:c r="B1262" i="1"/>
  <x:c r="C1262" i="1"/>
  <x:c r="B1263" i="1"/>
  <x:c r="C1263" i="1"/>
  <x:c r="B1264" i="1"/>
  <x:c r="C1264" i="1"/>
  <x:c r="B1265" i="1"/>
  <x:c r="C1265" i="1"/>
  <x:c r="B1266" i="1"/>
  <x:c r="C1266" i="1"/>
  <x:c r="B1267" i="1"/>
  <x:c r="C1267" i="1"/>
  <x:c r="B1268" i="1"/>
  <x:c r="C1268" i="1"/>
  <x:c r="B1269" i="1"/>
  <x:c r="C1269" i="1"/>
  <x:c r="B1270" i="1"/>
  <x:c r="C1270" i="1"/>
  <x:c r="B1271" i="1"/>
  <x:c r="C1271" i="1"/>
  <x:c r="B1272" i="1"/>
  <x:c r="C1272" i="1"/>
  <x:c r="B1273" i="1"/>
  <x:c r="C1273" i="1"/>
  <x:c r="B1274" i="1"/>
  <x:c r="C1274" i="1"/>
  <x:c r="B1275" i="1"/>
  <x:c r="C1275" i="1"/>
  <x:c r="B1276" i="1"/>
  <x:c r="C1276" i="1"/>
  <x:c r="B1277" i="1"/>
  <x:c r="C1277" i="1"/>
  <x:c r="B1278" i="1"/>
  <x:c r="C1278" i="1"/>
  <x:c r="B1279" i="1"/>
  <x:c r="C1279" i="1"/>
  <x:c r="B1280" i="1"/>
  <x:c r="C1280" i="1"/>
  <x:c r="B1281" i="1"/>
  <x:c r="C1281" i="1"/>
  <x:c r="B1282" i="1"/>
  <x:c r="C1282" i="1"/>
  <x:c r="B1283" i="1"/>
  <x:c r="C1283" i="1"/>
  <x:c r="B1284" i="1"/>
  <x:c r="C1284" i="1"/>
  <x:c r="B1285" i="1"/>
  <x:c r="C1285" i="1"/>
  <x:c r="B1286" i="1"/>
  <x:c r="C1286" i="1"/>
  <x:c r="B1287" i="1"/>
  <x:c r="C1287" i="1"/>
  <x:c r="B1288" i="1"/>
  <x:c r="C1288" i="1"/>
  <x:c r="B1289" i="1"/>
  <x:c r="C1289" i="1"/>
  <x:c r="B1290" i="1"/>
  <x:c r="C1290" i="1"/>
  <x:c r="B1291" i="1"/>
  <x:c r="C1291" i="1"/>
  <x:c r="B1292" i="1"/>
  <x:c r="C1292" i="1"/>
  <x:c r="B1293" i="1"/>
  <x:c r="C1293" i="1"/>
  <x:c r="B1294" i="1"/>
  <x:c r="C1294" i="1"/>
  <x:c r="B1295" i="1"/>
  <x:c r="C1295" i="1"/>
  <x:c r="B1296" i="1"/>
  <x:c r="C1296" i="1"/>
  <x:c r="B1297" i="1"/>
  <x:c r="C1297" i="1"/>
  <x:c r="B1298" i="1"/>
  <x:c r="C1298" i="1"/>
  <x:c r="B1299" i="1"/>
  <x:c r="C1299" i="1"/>
  <x:c r="B1300" i="1"/>
  <x:c r="C1300" i="1"/>
  <x:c r="B1301" i="1"/>
  <x:c r="C1301" i="1"/>
  <x:c r="B1302" i="1"/>
  <x:c r="C1302" i="1"/>
  <x:c r="B1303" i="1"/>
  <x:c r="C1303" i="1"/>
  <x:c r="B1304" i="1"/>
  <x:c r="C1304" i="1"/>
  <x:c r="B1305" i="1"/>
  <x:c r="C1305" i="1"/>
  <x:c r="B1306" i="1"/>
  <x:c r="C1306" i="1"/>
  <x:c r="B1307" i="1"/>
  <x:c r="C1307" i="1"/>
  <x:c r="B1308" i="1"/>
  <x:c r="C1308" i="1"/>
  <x:c r="B1309" i="1"/>
  <x:c r="C1309" i="1"/>
  <x:c r="B1310" i="1"/>
  <x:c r="C1310" i="1"/>
  <x:c r="B1311" i="1"/>
  <x:c r="C1311" i="1"/>
  <x:c r="B1312" i="1"/>
  <x:c r="C1312" i="1"/>
  <x:c r="B1313" i="1"/>
  <x:c r="C1313" i="1"/>
  <x:c r="B1314" i="1"/>
  <x:c r="C1314" i="1"/>
  <x:c r="B1315" i="1"/>
  <x:c r="C1315" i="1"/>
  <x:c r="B1316" i="1"/>
  <x:c r="C1316" i="1"/>
  <x:c r="B1317" i="1"/>
  <x:c r="C1317" i="1"/>
  <x:c r="B1318" i="1"/>
  <x:c r="C1318" i="1"/>
  <x:c r="B1319" i="1"/>
  <x:c r="C1319" i="1"/>
  <x:c r="B1320" i="1"/>
  <x:c r="C1320" i="1"/>
  <x:c r="B1321" i="1"/>
  <x:c r="C1321" i="1"/>
  <x:c r="B1322" i="1"/>
  <x:c r="C1322" i="1"/>
  <x:c r="B1323" i="1"/>
  <x:c r="C1323" i="1"/>
  <x:c r="B1324" i="1"/>
  <x:c r="C1324" i="1"/>
  <x:c r="B1325" i="1"/>
  <x:c r="C1325" i="1"/>
  <x:c r="B1326" i="1"/>
  <x:c r="C1326" i="1"/>
  <x:c r="B1327" i="1"/>
  <x:c r="C1327" i="1"/>
  <x:c r="B1328" i="1"/>
  <x:c r="C1328" i="1"/>
  <x:c r="B1329" i="1"/>
  <x:c r="C1329" i="1"/>
  <x:c r="B1330" i="1"/>
  <x:c r="C1330" i="1"/>
  <x:c r="B1331" i="1"/>
  <x:c r="C1331" i="1"/>
  <x:c r="B1332" i="1"/>
  <x:c r="C1332" i="1"/>
  <x:c r="B1333" i="1"/>
  <x:c r="C1333" i="1"/>
  <x:c r="B1334" i="1"/>
  <x:c r="C1334" i="1"/>
  <x:c r="B1335" i="1"/>
  <x:c r="C1335" i="1"/>
  <x:c r="B1336" i="1"/>
  <x:c r="C1336" i="1"/>
  <x:c r="B1337" i="1"/>
  <x:c r="C1337" i="1"/>
  <x:c r="B1338" i="1"/>
  <x:c r="C1338" i="1"/>
  <x:c r="B1339" i="1"/>
  <x:c r="C1339" i="1"/>
  <x:c r="B1340" i="1"/>
  <x:c r="C1340" i="1"/>
  <x:c r="B1341" i="1"/>
  <x:c r="C1341" i="1"/>
  <x:c r="B1342" i="1"/>
  <x:c r="C1342" i="1"/>
  <x:c r="B1343" i="1"/>
  <x:c r="C1343" i="1"/>
  <x:c r="B1344" i="1"/>
  <x:c r="C1344" i="1"/>
  <x:c r="B1345" i="1"/>
  <x:c r="C1345" i="1"/>
  <x:c r="B1346" i="1"/>
  <x:c r="C1346" i="1"/>
  <x:c r="B1347" i="1"/>
  <x:c r="C1347" i="1"/>
  <x:c r="B1348" i="1"/>
  <x:c r="C1348" i="1"/>
  <x:c r="B1349" i="1"/>
  <x:c r="C1349" i="1"/>
  <x:c r="B1350" i="1"/>
  <x:c r="C1350" i="1"/>
  <x:c r="B1351" i="1"/>
  <x:c r="C1351" i="1"/>
  <x:c r="B1352" i="1"/>
  <x:c r="C1352" i="1"/>
  <x:c r="B1353" i="1"/>
  <x:c r="C1353" i="1"/>
  <x:c r="B1354" i="1"/>
  <x:c r="C1354" i="1"/>
  <x:c r="B1355" i="1"/>
  <x:c r="C1355" i="1"/>
  <x:c r="B1356" i="1"/>
  <x:c r="C1356" i="1"/>
  <x:c r="B1357" i="1"/>
  <x:c r="C1357" i="1"/>
  <x:c r="B1358" i="1"/>
  <x:c r="C1358" i="1"/>
  <x:c r="B1359" i="1"/>
  <x:c r="C1359" i="1"/>
  <x:c r="B1360" i="1"/>
  <x:c r="C1360" i="1"/>
  <x:c r="B1361" i="1"/>
  <x:c r="C1361" i="1"/>
  <x:c r="B1362" i="1"/>
  <x:c r="C1362" i="1"/>
  <x:c r="B1363" i="1"/>
  <x:c r="C1363" i="1"/>
  <x:c r="B1364" i="1"/>
  <x:c r="C1364" i="1"/>
  <x:c r="B1365" i="1"/>
  <x:c r="C1365" i="1"/>
  <x:c r="B1366" i="1"/>
  <x:c r="C1366" i="1"/>
  <x:c r="B1367" i="1"/>
  <x:c r="C1367" i="1"/>
  <x:c r="B1368" i="1"/>
  <x:c r="C1368" i="1"/>
  <x:c r="B1369" i="1"/>
  <x:c r="C1369" i="1"/>
  <x:c r="B1370" i="1"/>
  <x:c r="C1370" i="1"/>
  <x:c r="B1371" i="1"/>
  <x:c r="C1371" i="1"/>
  <x:c r="B1372" i="1"/>
  <x:c r="C1372" i="1"/>
  <x:c r="B1373" i="1"/>
  <x:c r="C1373" i="1"/>
  <x:c r="B1374" i="1"/>
  <x:c r="C1374" i="1"/>
  <x:c r="B1375" i="1"/>
  <x:c r="C1375" i="1"/>
  <x:c r="B1376" i="1"/>
  <x:c r="C1376" i="1"/>
  <x:c r="B1377" i="1"/>
  <x:c r="C1377" i="1"/>
  <x:c r="B1378" i="1"/>
  <x:c r="C1378" i="1"/>
  <x:c r="B1379" i="1"/>
  <x:c r="C1379" i="1"/>
  <x:c r="B1380" i="1"/>
  <x:c r="C1380" i="1"/>
  <x:c r="B1381" i="1"/>
  <x:c r="C1381" i="1"/>
  <x:c r="B1382" i="1"/>
  <x:c r="C1382" i="1"/>
  <x:c r="B1383" i="1"/>
  <x:c r="C1383" i="1"/>
  <x:c r="B1384" i="1"/>
  <x:c r="C1384" i="1"/>
  <x:c r="B1385" i="1"/>
  <x:c r="C1385" i="1"/>
  <x:c r="B1386" i="1"/>
  <x:c r="C1386" i="1"/>
  <x:c r="B1387" i="1"/>
  <x:c r="C1387" i="1"/>
  <x:c r="B1388" i="1"/>
  <x:c r="C1388" i="1"/>
  <x:c r="B1389" i="1"/>
  <x:c r="C1389" i="1"/>
  <x:c r="B1390" i="1"/>
  <x:c r="C1390" i="1"/>
  <x:c r="B1391" i="1"/>
  <x:c r="C1391" i="1"/>
  <x:c r="B1392" i="1"/>
  <x:c r="C1392" i="1"/>
  <x:c r="B1393" i="1"/>
  <x:c r="C1393" i="1"/>
  <x:c r="B1394" i="1"/>
  <x:c r="C1394" i="1"/>
  <x:c r="B1395" i="1"/>
  <x:c r="C1395" i="1"/>
  <x:c r="B1396" i="1"/>
  <x:c r="C1396" i="1"/>
  <x:c r="B1397" i="1"/>
  <x:c r="C1397" i="1"/>
  <x:c r="B1398" i="1"/>
  <x:c r="C1398" i="1"/>
  <x:c r="B1399" i="1"/>
  <x:c r="C1399" i="1"/>
  <x:c r="B1400" i="1"/>
  <x:c r="C1400" i="1"/>
  <x:c r="B1401" i="1"/>
  <x:c r="C1401" i="1"/>
  <x:c r="B1402" i="1"/>
  <x:c r="C1402" i="1"/>
  <x:c r="B1403" i="1"/>
  <x:c r="C1403" i="1"/>
  <x:c r="B1404" i="1"/>
  <x:c r="C1404" i="1"/>
  <x:c r="B1405" i="1"/>
  <x:c r="C1405" i="1"/>
  <x:c r="B1406" i="1"/>
  <x:c r="C1406" i="1"/>
  <x:c r="B1407" i="1"/>
  <x:c r="C1407" i="1"/>
  <x:c r="B1408" i="1"/>
  <x:c r="C1408" i="1"/>
  <x:c r="B1409" i="1"/>
  <x:c r="C1409" i="1"/>
  <x:c r="B1410" i="1"/>
  <x:c r="C1410" i="1"/>
  <x:c r="B1411" i="1"/>
  <x:c r="C1411" i="1"/>
  <x:c r="B1412" i="1"/>
  <x:c r="C1412" i="1"/>
  <x:c r="B1413" i="1"/>
  <x:c r="C1413" i="1"/>
  <x:c r="B1414" i="1"/>
  <x:c r="C1414" i="1"/>
  <x:c r="B1415" i="1"/>
  <x:c r="C1415" i="1"/>
  <x:c r="B1416" i="1"/>
  <x:c r="C1416" i="1"/>
  <x:c r="B1417" i="1"/>
  <x:c r="C1417" i="1"/>
  <x:c r="B1418" i="1"/>
  <x:c r="C1418" i="1"/>
  <x:c r="B1419" i="1"/>
  <x:c r="C1419" i="1"/>
  <x:c r="B1420" i="1"/>
  <x:c r="C1420" i="1"/>
  <x:c r="B1421" i="1"/>
  <x:c r="C1421" i="1"/>
  <x:c r="B1422" i="1"/>
  <x:c r="C1422" i="1"/>
  <x:c r="B1423" i="1"/>
  <x:c r="C1423" i="1"/>
  <x:c r="B1424" i="1"/>
  <x:c r="C1424" i="1"/>
  <x:c r="B1425" i="1"/>
  <x:c r="C1425" i="1"/>
  <x:c r="B1426" i="1"/>
  <x:c r="C1426" i="1"/>
  <x:c r="B1427" i="1"/>
  <x:c r="C1427" i="1"/>
  <x:c r="B1428" i="1"/>
  <x:c r="C1428" i="1"/>
  <x:c r="B1429" i="1"/>
  <x:c r="C1429" i="1"/>
  <x:c r="B1430" i="1"/>
  <x:c r="C1430" i="1"/>
  <x:c r="B1431" i="1"/>
  <x:c r="C1431" i="1"/>
  <x:c r="B1432" i="1"/>
  <x:c r="C1432" i="1"/>
  <x:c r="B1433" i="1"/>
  <x:c r="C1433" i="1"/>
  <x:c r="B1434" i="1"/>
  <x:c r="C1434" i="1"/>
  <x:c r="B1435" i="1"/>
  <x:c r="C1435" i="1"/>
  <x:c r="B1436" i="1"/>
  <x:c r="C1436" i="1"/>
  <x:c r="B1437" i="1"/>
  <x:c r="C1437" i="1"/>
  <x:c r="B1438" i="1"/>
  <x:c r="C1438" i="1"/>
  <x:c r="B1439" i="1"/>
  <x:c r="C1439" i="1"/>
  <x:c r="B1440" i="1"/>
  <x:c r="C1440" i="1"/>
  <x:c r="B1441" i="1"/>
  <x:c r="C1441" i="1"/>
  <x:c r="B1442" i="1"/>
  <x:c r="C1442" i="1"/>
  <x:c r="B1443" i="1"/>
  <x:c r="C1443" i="1"/>
  <x:c r="B1444" i="1"/>
  <x:c r="C1444" i="1"/>
  <x:c r="B1445" i="1"/>
  <x:c r="C1445" i="1"/>
  <x:c r="B1446" i="1"/>
  <x:c r="C1446" i="1"/>
  <x:c r="B1447" i="1"/>
  <x:c r="C1447" i="1"/>
  <x:c r="B1448" i="1"/>
  <x:c r="C1448" i="1"/>
  <x:c r="B1449" i="1"/>
  <x:c r="C1449" i="1"/>
  <x:c r="B1450" i="1"/>
  <x:c r="C1450" i="1"/>
  <x:c r="B1451" i="1"/>
  <x:c r="C1451" i="1"/>
  <x:c r="B1452" i="1"/>
  <x:c r="C1452" i="1"/>
  <x:c r="B1453" i="1"/>
  <x:c r="C1453" i="1"/>
  <x:c r="B1454" i="1"/>
  <x:c r="C1454" i="1"/>
  <x:c r="B1455" i="1"/>
  <x:c r="C1455" i="1"/>
  <x:c r="B1456" i="1"/>
  <x:c r="C1456" i="1"/>
  <x:c r="B1457" i="1"/>
  <x:c r="C1457" i="1"/>
  <x:c r="B1458" i="1"/>
  <x:c r="C1458" i="1"/>
  <x:c r="B1459" i="1"/>
  <x:c r="C1459" i="1"/>
  <x:c r="B1460" i="1"/>
  <x:c r="C1460" i="1"/>
  <x:c r="B1461" i="1"/>
  <x:c r="C1461" i="1"/>
  <x:c r="B1462" i="1"/>
  <x:c r="C1462" i="1"/>
  <x:c r="B1463" i="1"/>
  <x:c r="C1463" i="1"/>
  <x:c r="B1464" i="1"/>
  <x:c r="C1464" i="1"/>
  <x:c r="B1465" i="1"/>
  <x:c r="C1465" i="1"/>
  <x:c r="B1466" i="1"/>
  <x:c r="C1466" i="1"/>
  <x:c r="B1467" i="1"/>
  <x:c r="C1467" i="1"/>
  <x:c r="B1468" i="1"/>
  <x:c r="C1468" i="1"/>
  <x:c r="B1469" i="1"/>
  <x:c r="C1469" i="1"/>
  <x:c r="B1470" i="1"/>
  <x:c r="C1470" i="1"/>
  <x:c r="B1471" i="1"/>
  <x:c r="C1471" i="1"/>
  <x:c r="B1472" i="1"/>
  <x:c r="C1472" i="1"/>
  <x:c r="B1473" i="1"/>
  <x:c r="C1473" i="1"/>
  <x:c r="B1474" i="1"/>
  <x:c r="C1474" i="1"/>
  <x:c r="B1475" i="1"/>
  <x:c r="C1475" i="1"/>
  <x:c r="B1476" i="1"/>
  <x:c r="C1476" i="1"/>
  <x:c r="B1477" i="1"/>
  <x:c r="C1477" i="1"/>
  <x:c r="B1478" i="1"/>
  <x:c r="C1478" i="1"/>
  <x:c r="B1479" i="1"/>
  <x:c r="C1479" i="1"/>
  <x:c r="B1480" i="1"/>
  <x:c r="C1480" i="1"/>
  <x:c r="B1481" i="1"/>
  <x:c r="C1481" i="1"/>
  <x:c r="B1482" i="1"/>
  <x:c r="C1482" i="1"/>
  <x:c r="B1483" i="1"/>
  <x:c r="C1483" i="1"/>
  <x:c r="B1484" i="1"/>
  <x:c r="C1484" i="1"/>
  <x:c r="B1485" i="1"/>
  <x:c r="C1485" i="1"/>
  <x:c r="B1486" i="1"/>
  <x:c r="C1486" i="1"/>
  <x:c r="B1487" i="1"/>
  <x:c r="C1487" i="1"/>
  <x:c r="B1488" i="1"/>
  <x:c r="C1488" i="1"/>
  <x:c r="B1489" i="1"/>
  <x:c r="C1489" i="1"/>
  <x:c r="B1490" i="1"/>
  <x:c r="C1490" i="1"/>
  <x:c r="B1491" i="1"/>
  <x:c r="C1491" i="1"/>
  <x:c r="B1492" i="1"/>
  <x:c r="C1492" i="1"/>
  <x:c r="B1493" i="1"/>
  <x:c r="C1493" i="1"/>
  <x:c r="B1494" i="1"/>
  <x:c r="C1494" i="1"/>
  <x:c r="B1495" i="1"/>
  <x:c r="C1495" i="1"/>
  <x:c r="B1496" i="1"/>
  <x:c r="C1496" i="1"/>
  <x:c r="B1497" i="1"/>
  <x:c r="C1497" i="1"/>
  <x:c r="B1498" i="1"/>
  <x:c r="C1498" i="1"/>
  <x:c r="B1499" i="1"/>
  <x:c r="C1499" i="1"/>
  <x:c r="B1500" i="1"/>
  <x:c r="C1500" i="1"/>
  <x:c r="B1501" i="1"/>
  <x:c r="C1501" i="1"/>
  <x:c r="B1502" i="1"/>
  <x:c r="C1502" i="1"/>
  <x:c r="B1503" i="1"/>
  <x:c r="C1503" i="1"/>
  <x:c r="B1504" i="1"/>
  <x:c r="C1504" i="1"/>
  <x:c r="B1505" i="1"/>
  <x:c r="C1505" i="1"/>
  <x:c r="B1506" i="1"/>
  <x:c r="C1506" i="1"/>
  <x:c r="B1507" i="1"/>
  <x:c r="C1507" i="1"/>
  <x:c r="B1508" i="1"/>
  <x:c r="C1508" i="1"/>
  <x:c r="B1509" i="1"/>
  <x:c r="C1509" i="1"/>
  <x:c r="B1510" i="1"/>
  <x:c r="C1510" i="1"/>
  <x:c r="B1511" i="1"/>
  <x:c r="C1511" i="1"/>
  <x:c r="B1512" i="1"/>
  <x:c r="C1512" i="1"/>
  <x:c r="B1513" i="1"/>
  <x:c r="C1513" i="1"/>
  <x:c r="B1514" i="1"/>
  <x:c r="C1514" i="1"/>
  <x:c r="B1515" i="1"/>
  <x:c r="C1515" i="1"/>
  <x:c r="B1516" i="1"/>
  <x:c r="C1516" i="1"/>
  <x:c r="B1517" i="1"/>
  <x:c r="C1517" i="1"/>
  <x:c r="B1518" i="1"/>
  <x:c r="C1518" i="1"/>
  <x:c r="B1519" i="1"/>
  <x:c r="C1519" i="1"/>
  <x:c r="B1520" i="1"/>
  <x:c r="C1520" i="1"/>
  <x:c r="B1521" i="1"/>
  <x:c r="C1521" i="1"/>
  <x:c r="B1522" i="1"/>
  <x:c r="C1522" i="1"/>
  <x:c r="B1523" i="1"/>
  <x:c r="C1523" i="1"/>
  <x:c r="B1524" i="1"/>
  <x:c r="C1524" i="1"/>
  <x:c r="B1525" i="1"/>
  <x:c r="C1525" i="1"/>
  <x:c r="B1526" i="1"/>
  <x:c r="C1526" i="1"/>
  <x:c r="B1527" i="1"/>
  <x:c r="C1527" i="1"/>
  <x:c r="B1528" i="1"/>
  <x:c r="C1528" i="1"/>
  <x:c r="B1529" i="1"/>
  <x:c r="C1529" i="1"/>
  <x:c r="B1530" i="1"/>
  <x:c r="C1530" i="1"/>
  <x:c r="B1531" i="1"/>
  <x:c r="C1531" i="1"/>
  <x:c r="B1532" i="1"/>
  <x:c r="C1532" i="1"/>
  <x:c r="B1533" i="1"/>
  <x:c r="C1533" i="1"/>
  <x:c r="B1534" i="1"/>
  <x:c r="C1534" i="1"/>
  <x:c r="B1535" i="1"/>
  <x:c r="C1535" i="1"/>
  <x:c r="B1536" i="1"/>
  <x:c r="C1536" i="1"/>
  <x:c r="B1537" i="1"/>
  <x:c r="C1537" i="1"/>
  <x:c r="B1538" i="1"/>
  <x:c r="C1538" i="1"/>
  <x:c r="B1539" i="1"/>
  <x:c r="C1539" i="1"/>
  <x:c r="B1540" i="1"/>
  <x:c r="C1540" i="1"/>
  <x:c r="B1541" i="1"/>
  <x:c r="C1541" i="1"/>
  <x:c r="B1542" i="1"/>
  <x:c r="C1542" i="1"/>
  <x:c r="B1543" i="1"/>
  <x:c r="C1543" i="1"/>
  <x:c r="B1544" i="1"/>
  <x:c r="C1544" i="1"/>
  <x:c r="B1545" i="1"/>
  <x:c r="C1545" i="1"/>
  <x:c r="B1546" i="1"/>
  <x:c r="C1546" i="1"/>
  <x:c r="B1547" i="1"/>
  <x:c r="C1547" i="1"/>
  <x:c r="B1548" i="1"/>
  <x:c r="C1548" i="1"/>
  <x:c r="B1549" i="1"/>
  <x:c r="C1549" i="1"/>
  <x:c r="B1550" i="1"/>
  <x:c r="C1550" i="1"/>
  <x:c r="B1551" i="1"/>
  <x:c r="C1551" i="1"/>
  <x:c r="B1552" i="1"/>
  <x:c r="C1552" i="1"/>
  <x:c r="B1553" i="1"/>
  <x:c r="C1553" i="1"/>
  <x:c r="B1554" i="1"/>
  <x:c r="C1554" i="1"/>
  <x:c r="B1555" i="1"/>
  <x:c r="C1555" i="1"/>
  <x:c r="B1556" i="1"/>
  <x:c r="C1556" i="1"/>
  <x:c r="B1557" i="1"/>
  <x:c r="C1557" i="1"/>
  <x:c r="B1558" i="1"/>
  <x:c r="C1558" i="1"/>
  <x:c r="B1559" i="1"/>
  <x:c r="C1559" i="1"/>
  <x:c r="B1560" i="1"/>
  <x:c r="C1560" i="1"/>
  <x:c r="B1561" i="1"/>
  <x:c r="C1561" i="1"/>
  <x:c r="B1562" i="1"/>
  <x:c r="C1562" i="1"/>
  <x:c r="B1563" i="1"/>
  <x:c r="C1563" i="1"/>
  <x:c r="B1564" i="1"/>
  <x:c r="C1564" i="1"/>
  <x:c r="B1565" i="1"/>
  <x:c r="C1565" i="1"/>
  <x:c r="B1566" i="1"/>
  <x:c r="C1566" i="1"/>
  <x:c r="B1567" i="1"/>
  <x:c r="C1567" i="1"/>
  <x:c r="B1568" i="1"/>
  <x:c r="C1568" i="1"/>
  <x:c r="B1569" i="1"/>
  <x:c r="C1569" i="1"/>
  <x:c r="B1570" i="1"/>
  <x:c r="C1570" i="1"/>
  <x:c r="B1571" i="1"/>
  <x:c r="C1571" i="1"/>
  <x:c r="B1572" i="1"/>
  <x:c r="C1572" i="1"/>
  <x:c r="B1573" i="1"/>
  <x:c r="C1573" i="1"/>
  <x:c r="B1574" i="1"/>
  <x:c r="C1574" i="1"/>
  <x:c r="B1575" i="1"/>
  <x:c r="C1575" i="1"/>
  <x:c r="B1576" i="1"/>
  <x:c r="C1576" i="1"/>
  <x:c r="B1577" i="1"/>
  <x:c r="C1577" i="1"/>
  <x:c r="B1578" i="1"/>
  <x:c r="C1578" i="1"/>
  <x:c r="B1579" i="1"/>
  <x:c r="C1579" i="1"/>
  <x:c r="B1580" i="1"/>
  <x:c r="C1580" i="1"/>
  <x:c r="B1581" i="1"/>
  <x:c r="C1581" i="1"/>
  <x:c r="B1582" i="1"/>
  <x:c r="C1582" i="1"/>
  <x:c r="B1583" i="1"/>
  <x:c r="C1583" i="1"/>
  <x:c r="B1584" i="1"/>
  <x:c r="C1584" i="1"/>
  <x:c r="B1585" i="1"/>
  <x:c r="C1585" i="1"/>
  <x:c r="B1586" i="1"/>
  <x:c r="C1586" i="1"/>
  <x:c r="B1587" i="1"/>
  <x:c r="C1587" i="1"/>
  <x:c r="B1588" i="1"/>
  <x:c r="C1588" i="1"/>
  <x:c r="B1589" i="1"/>
  <x:c r="C1589" i="1"/>
  <x:c r="B1590" i="1"/>
  <x:c r="C1590" i="1"/>
  <x:c r="B1591" i="1"/>
  <x:c r="C1591" i="1"/>
  <x:c r="B1592" i="1"/>
  <x:c r="C1592" i="1"/>
  <x:c r="B1593" i="1"/>
  <x:c r="C1593" i="1"/>
  <x:c r="B1594" i="1"/>
  <x:c r="C1594" i="1"/>
  <x:c r="B1595" i="1"/>
  <x:c r="C1595" i="1"/>
  <x:c r="B1596" i="1"/>
  <x:c r="C1596" i="1"/>
  <x:c r="B1597" i="1"/>
  <x:c r="C1597" i="1"/>
  <x:c r="B1598" i="1"/>
  <x:c r="C1598" i="1"/>
  <x:c r="B1599" i="1"/>
  <x:c r="C1599" i="1"/>
  <x:c r="B1600" i="1"/>
  <x:c r="C1600" i="1"/>
  <x:c r="B1601" i="1"/>
  <x:c r="C1601" i="1"/>
  <x:c r="B1602" i="1"/>
  <x:c r="C1602" i="1"/>
  <x:c r="B1603" i="1"/>
  <x:c r="C1603" i="1"/>
  <x:c r="B1604" i="1"/>
  <x:c r="C1604" i="1"/>
  <x:c r="B1605" i="1"/>
  <x:c r="C1605" i="1"/>
  <x:c r="B1606" i="1"/>
  <x:c r="C1606" i="1"/>
  <x:c r="B1607" i="1"/>
  <x:c r="C1607" i="1"/>
  <x:c r="B1608" i="1"/>
  <x:c r="C1608" i="1"/>
  <x:c r="B1609" i="1"/>
  <x:c r="C1609" i="1"/>
  <x:c r="B1610" i="1"/>
  <x:c r="C1610" i="1"/>
  <x:c r="B1611" i="1"/>
  <x:c r="C1611" i="1"/>
  <x:c r="B1612" i="1"/>
  <x:c r="C1612" i="1"/>
  <x:c r="B1613" i="1"/>
  <x:c r="C1613" i="1"/>
  <x:c r="B1614" i="1"/>
  <x:c r="C1614" i="1"/>
  <x:c r="B1615" i="1"/>
  <x:c r="C1615" i="1"/>
  <x:c r="B1616" i="1"/>
  <x:c r="C1616" i="1"/>
  <x:c r="B1617" i="1"/>
  <x:c r="C1617" i="1"/>
  <x:c r="B1618" i="1"/>
  <x:c r="C1618" i="1"/>
  <x:c r="B1619" i="1"/>
  <x:c r="C1619" i="1"/>
  <x:c r="B1620" i="1"/>
  <x:c r="C1620" i="1"/>
  <x:c r="B1621" i="1"/>
  <x:c r="C1621" i="1"/>
  <x:c r="B1622" i="1"/>
  <x:c r="C1622" i="1"/>
  <x:c r="B1623" i="1"/>
  <x:c r="C1623" i="1"/>
  <x:c r="B1624" i="1"/>
  <x:c r="C1624" i="1"/>
  <x:c r="B1625" i="1"/>
  <x:c r="C1625" i="1"/>
  <x:c r="B1626" i="1"/>
  <x:c r="C1626" i="1"/>
  <x:c r="B1627" i="1"/>
  <x:c r="C1627" i="1"/>
  <x:c r="B1628" i="1"/>
  <x:c r="C1628" i="1"/>
  <x:c r="B1629" i="1"/>
  <x:c r="C1629" i="1"/>
  <x:c r="B1630" i="1"/>
  <x:c r="C1630" i="1"/>
  <x:c r="B1631" i="1"/>
  <x:c r="C1631" i="1"/>
  <x:c r="B1632" i="1"/>
  <x:c r="C1632" i="1"/>
  <x:c r="B1633" i="1"/>
  <x:c r="C1633" i="1"/>
  <x:c r="B1634" i="1"/>
  <x:c r="C1634" i="1"/>
  <x:c r="B1635" i="1"/>
  <x:c r="C1635" i="1"/>
  <x:c r="B1636" i="1"/>
  <x:c r="C1636" i="1"/>
  <x:c r="B1637" i="1"/>
  <x:c r="C1637" i="1"/>
  <x:c r="B1638" i="1"/>
  <x:c r="C1638" i="1"/>
  <x:c r="B1639" i="1"/>
  <x:c r="C1639" i="1"/>
  <x:c r="B1640" i="1"/>
  <x:c r="C1640" i="1"/>
  <x:c r="B1641" i="1"/>
  <x:c r="C1641" i="1"/>
  <x:c r="B1642" i="1"/>
  <x:c r="C1642" i="1"/>
  <x:c r="B1643" i="1"/>
  <x:c r="C1643" i="1"/>
  <x:c r="B1644" i="1"/>
  <x:c r="C1644" i="1"/>
  <x:c r="B1645" i="1"/>
  <x:c r="C1645" i="1"/>
  <x:c r="B1646" i="1"/>
  <x:c r="C1646" i="1"/>
  <x:c r="B1647" i="1"/>
  <x:c r="C1647" i="1"/>
  <x:c r="B1648" i="1"/>
  <x:c r="C1648" i="1"/>
  <x:c r="B1649" i="1"/>
  <x:c r="C1649" i="1"/>
  <x:c r="B1650" i="1"/>
  <x:c r="C1650" i="1"/>
  <x:c r="B1651" i="1"/>
  <x:c r="C1651" i="1"/>
  <x:c r="B1652" i="1"/>
  <x:c r="C1652" i="1"/>
  <x:c r="B1653" i="1"/>
  <x:c r="C1653" i="1"/>
  <x:c r="B1654" i="1"/>
  <x:c r="C1654" i="1"/>
  <x:c r="B1655" i="1"/>
  <x:c r="C1655" i="1"/>
  <x:c r="B1656" i="1"/>
  <x:c r="C1656" i="1"/>
  <x:c r="B1657" i="1"/>
  <x:c r="C1657" i="1"/>
  <x:c r="B1658" i="1"/>
  <x:c r="C1658" i="1"/>
  <x:c r="B1659" i="1"/>
  <x:c r="C1659" i="1"/>
  <x:c r="B1660" i="1"/>
  <x:c r="C1660" i="1"/>
  <x:c r="B1661" i="1"/>
  <x:c r="C1661" i="1"/>
  <x:c r="B1662" i="1"/>
  <x:c r="C1662" i="1"/>
  <x:c r="B1663" i="1"/>
  <x:c r="C1663" i="1"/>
  <x:c r="B1664" i="1"/>
  <x:c r="C1664" i="1"/>
  <x:c r="B1665" i="1"/>
  <x:c r="C1665" i="1"/>
  <x:c r="B1666" i="1"/>
  <x:c r="C1666" i="1"/>
  <x:c r="B1667" i="1"/>
  <x:c r="C1667" i="1"/>
  <x:c r="B1668" i="1"/>
  <x:c r="C1668" i="1"/>
  <x:c r="B1669" i="1"/>
  <x:c r="C1669" i="1"/>
  <x:c r="B1670" i="1"/>
  <x:c r="C1670" i="1"/>
  <x:c r="B1671" i="1"/>
  <x:c r="C1671" i="1"/>
  <x:c r="B1672" i="1"/>
  <x:c r="C1672" i="1"/>
  <x:c r="B1673" i="1"/>
  <x:c r="C1673" i="1"/>
  <x:c r="B1674" i="1"/>
  <x:c r="C1674" i="1"/>
  <x:c r="B1675" i="1"/>
  <x:c r="C1675" i="1"/>
  <x:c r="B1676" i="1"/>
  <x:c r="C1676" i="1"/>
  <x:c r="B1677" i="1"/>
  <x:c r="C1677" i="1"/>
  <x:c r="B1678" i="1"/>
  <x:c r="C1678" i="1"/>
  <x:c r="B1679" i="1"/>
  <x:c r="C1679" i="1"/>
  <x:c r="B1680" i="1"/>
  <x:c r="C1680" i="1"/>
  <x:c r="B1681" i="1"/>
  <x:c r="C1681" i="1"/>
  <x:c r="B1682" i="1"/>
  <x:c r="C1682" i="1"/>
  <x:c r="B1683" i="1"/>
  <x:c r="C1683" i="1"/>
  <x:c r="B1684" i="1"/>
  <x:c r="C1684" i="1"/>
  <x:c r="B1685" i="1"/>
  <x:c r="C1685" i="1"/>
  <x:c r="B1686" i="1"/>
  <x:c r="C1686" i="1"/>
  <x:c r="B1687" i="1"/>
  <x:c r="C1687" i="1"/>
  <x:c r="B1688" i="1"/>
  <x:c r="C1688" i="1"/>
  <x:c r="B1689" i="1"/>
  <x:c r="C1689" i="1"/>
  <x:c r="B1690" i="1"/>
  <x:c r="C1690" i="1"/>
  <x:c r="B1691" i="1"/>
  <x:c r="C1691" i="1"/>
  <x:c r="B1692" i="1"/>
  <x:c r="C1692" i="1"/>
  <x:c r="B1693" i="1"/>
  <x:c r="C1693" i="1"/>
  <x:c r="B1694" i="1"/>
  <x:c r="C1694" i="1"/>
  <x:c r="B1695" i="1"/>
  <x:c r="C1695" i="1"/>
  <x:c r="B1696" i="1"/>
  <x:c r="C1696" i="1"/>
  <x:c r="B1697" i="1"/>
  <x:c r="C1697" i="1"/>
  <x:c r="B1698" i="1"/>
  <x:c r="C1698" i="1"/>
  <x:c r="B1699" i="1"/>
  <x:c r="C1699" i="1"/>
  <x:c r="B1700" i="1"/>
  <x:c r="C1700" i="1"/>
  <x:c r="B1701" i="1"/>
  <x:c r="C1701" i="1"/>
  <x:c r="B1702" i="1"/>
  <x:c r="C1702" i="1"/>
  <x:c r="B1703" i="1"/>
  <x:c r="C1703" i="1"/>
  <x:c r="B1704" i="1"/>
  <x:c r="C1704" i="1"/>
  <x:c r="B1705" i="1"/>
  <x:c r="C1705" i="1"/>
  <x:c r="B1706" i="1"/>
  <x:c r="C1706" i="1"/>
  <x:c r="B1707" i="1"/>
  <x:c r="C1707" i="1"/>
  <x:c r="B1708" i="1"/>
  <x:c r="C1708" i="1"/>
  <x:c r="B1709" i="1"/>
  <x:c r="C1709" i="1"/>
  <x:c r="B1710" i="1"/>
  <x:c r="C1710" i="1"/>
  <x:c r="B1711" i="1"/>
  <x:c r="C1711" i="1"/>
  <x:c r="B1712" i="1"/>
  <x:c r="C1712" i="1"/>
  <x:c r="B1713" i="1"/>
  <x:c r="C1713" i="1"/>
  <x:c r="B1714" i="1"/>
  <x:c r="C1714" i="1"/>
  <x:c r="B1715" i="1"/>
  <x:c r="C1715" i="1"/>
  <x:c r="B1716" i="1"/>
  <x:c r="C1716" i="1"/>
  <x:c r="B1717" i="1"/>
  <x:c r="C1717" i="1"/>
  <x:c r="B1718" i="1"/>
  <x:c r="C1718" i="1"/>
  <x:c r="B1719" i="1"/>
  <x:c r="C1719" i="1"/>
  <x:c r="B1720" i="1"/>
  <x:c r="C1720" i="1"/>
  <x:c r="B1721" i="1"/>
  <x:c r="C1721" i="1"/>
  <x:c r="B1722" i="1"/>
  <x:c r="C1722" i="1"/>
  <x:c r="B1723" i="1"/>
  <x:c r="C1723" i="1"/>
  <x:c r="B1724" i="1"/>
  <x:c r="C1724" i="1"/>
  <x:c r="B1725" i="1"/>
  <x:c r="C1725" i="1"/>
  <x:c r="B1726" i="1"/>
  <x:c r="C1726" i="1"/>
  <x:c r="B1727" i="1"/>
  <x:c r="C1727" i="1"/>
  <x:c r="B1728" i="1"/>
  <x:c r="C1728" i="1"/>
  <x:c r="B1729" i="1"/>
  <x:c r="C1729" i="1"/>
  <x:c r="B1730" i="1"/>
  <x:c r="C1730" i="1"/>
  <x:c r="B1731" i="1"/>
  <x:c r="C1731" i="1"/>
  <x:c r="B1732" i="1"/>
  <x:c r="C1732" i="1"/>
  <x:c r="B1733" i="1"/>
  <x:c r="C1733" i="1"/>
  <x:c r="B1734" i="1"/>
  <x:c r="C1734" i="1"/>
  <x:c r="B1735" i="1"/>
  <x:c r="C1735" i="1"/>
  <x:c r="B1736" i="1"/>
  <x:c r="C1736" i="1"/>
  <x:c r="B1737" i="1"/>
  <x:c r="C1737" i="1"/>
  <x:c r="B1738" i="1"/>
  <x:c r="C1738" i="1"/>
  <x:c r="B1739" i="1"/>
  <x:c r="C1739" i="1"/>
  <x:c r="B1740" i="1"/>
  <x:c r="C1740" i="1"/>
  <x:c r="B1741" i="1"/>
  <x:c r="C1741" i="1"/>
  <x:c r="B1742" i="1"/>
  <x:c r="C1742" i="1"/>
  <x:c r="B1743" i="1"/>
  <x:c r="C1743" i="1"/>
  <x:c r="B1744" i="1"/>
  <x:c r="C1744" i="1"/>
  <x:c r="B1745" i="1"/>
  <x:c r="C1745" i="1"/>
  <x:c r="B1746" i="1"/>
  <x:c r="C1746" i="1"/>
  <x:c r="B1747" i="1"/>
  <x:c r="C1747" i="1"/>
  <x:c r="B1748" i="1"/>
  <x:c r="C1748" i="1"/>
  <x:c r="B1749" i="1"/>
  <x:c r="C1749" i="1"/>
  <x:c r="B1750" i="1"/>
  <x:c r="C1750" i="1"/>
  <x:c r="B1751" i="1"/>
  <x:c r="C1751" i="1"/>
  <x:c r="B1752" i="1"/>
  <x:c r="C1752" i="1"/>
  <x:c r="B1753" i="1"/>
  <x:c r="C1753" i="1"/>
  <x:c r="B1754" i="1"/>
  <x:c r="C1754" i="1"/>
  <x:c r="B1755" i="1"/>
  <x:c r="C1755" i="1"/>
  <x:c r="B1756" i="1"/>
  <x:c r="C1756" i="1"/>
  <x:c r="B1757" i="1"/>
  <x:c r="C1757" i="1"/>
  <x:c r="B1758" i="1"/>
  <x:c r="C1758" i="1"/>
  <x:c r="B1759" i="1"/>
  <x:c r="C1759" i="1"/>
  <x:c r="B1760" i="1"/>
  <x:c r="C1760" i="1"/>
  <x:c r="B1761" i="1"/>
  <x:c r="C1761" i="1"/>
  <x:c r="B1762" i="1"/>
  <x:c r="C1762" i="1"/>
  <x:c r="B1763" i="1"/>
  <x:c r="C1763" i="1"/>
  <x:c r="B1764" i="1"/>
  <x:c r="C1764" i="1"/>
  <x:c r="B1765" i="1"/>
  <x:c r="C1765" i="1"/>
  <x:c r="B1766" i="1"/>
  <x:c r="C1766" i="1"/>
  <x:c r="B1767" i="1"/>
  <x:c r="C1767" i="1"/>
  <x:c r="B1768" i="1"/>
  <x:c r="C1768" i="1"/>
  <x:c r="B1769" i="1"/>
  <x:c r="C1769" i="1"/>
  <x:c r="B1770" i="1"/>
  <x:c r="C1770" i="1"/>
  <x:c r="B1771" i="1"/>
  <x:c r="C1771" i="1"/>
  <x:c r="B1772" i="1"/>
  <x:c r="C1772" i="1"/>
  <x:c r="B1773" i="1"/>
  <x:c r="C1773" i="1"/>
  <x:c r="B1774" i="1"/>
  <x:c r="C1774" i="1"/>
  <x:c r="B1775" i="1"/>
  <x:c r="C1775" i="1"/>
  <x:c r="B1776" i="1"/>
  <x:c r="C1776" i="1"/>
  <x:c r="B1777" i="1"/>
  <x:c r="C1777" i="1"/>
  <x:c r="B1778" i="1"/>
  <x:c r="C1778" i="1"/>
  <x:c r="B1779" i="1"/>
  <x:c r="C1779" i="1"/>
  <x:c r="B1780" i="1"/>
  <x:c r="C1780" i="1"/>
  <x:c r="B1781" i="1"/>
  <x:c r="C1781" i="1"/>
  <x:c r="B1782" i="1"/>
  <x:c r="C1782" i="1"/>
  <x:c r="B1783" i="1"/>
  <x:c r="C1783" i="1"/>
  <x:c r="B1784" i="1"/>
  <x:c r="C1784" i="1"/>
  <x:c r="B1785" i="1"/>
  <x:c r="C1785" i="1"/>
  <x:c r="B1786" i="1"/>
  <x:c r="C1786" i="1"/>
  <x:c r="B1787" i="1"/>
  <x:c r="C1787" i="1"/>
  <x:c r="B1788" i="1"/>
  <x:c r="C1788" i="1"/>
  <x:c r="B1789" i="1"/>
  <x:c r="C1789" i="1"/>
  <x:c r="B1790" i="1"/>
  <x:c r="C1790" i="1"/>
  <x:c r="B1791" i="1"/>
  <x:c r="C1791" i="1"/>
  <x:c r="B1792" i="1"/>
  <x:c r="C1792" i="1"/>
  <x:c r="B1793" i="1"/>
  <x:c r="C1793" i="1"/>
  <x:c r="B1794" i="1"/>
  <x:c r="C1794" i="1"/>
  <x:c r="B1795" i="1"/>
  <x:c r="C1795" i="1"/>
  <x:c r="B1796" i="1"/>
  <x:c r="C1796" i="1"/>
  <x:c r="B1797" i="1"/>
  <x:c r="C1797" i="1"/>
  <x:c r="B1798" i="1"/>
  <x:c r="C1798" i="1"/>
  <x:c r="B1799" i="1"/>
  <x:c r="C1799" i="1"/>
  <x:c r="B1800" i="1"/>
  <x:c r="C1800" i="1"/>
  <x:c r="B1801" i="1"/>
  <x:c r="C1801" i="1"/>
  <x:c r="B1802" i="1"/>
  <x:c r="C1802" i="1"/>
  <x:c r="B1803" i="1"/>
  <x:c r="C1803" i="1"/>
  <x:c r="B1804" i="1"/>
  <x:c r="C1804" i="1"/>
  <x:c r="B1805" i="1"/>
  <x:c r="C1805" i="1"/>
  <x:c r="B1806" i="1"/>
  <x:c r="C1806" i="1"/>
  <x:c r="B1807" i="1"/>
  <x:c r="C1807" i="1"/>
  <x:c r="B1808" i="1"/>
  <x:c r="C1808" i="1"/>
  <x:c r="B1809" i="1"/>
  <x:c r="C1809" i="1"/>
  <x:c r="B1810" i="1"/>
  <x:c r="C1810" i="1"/>
  <x:c r="B1811" i="1"/>
  <x:c r="C1811" i="1"/>
  <x:c r="B1812" i="1"/>
  <x:c r="C1812" i="1"/>
  <x:c r="B1813" i="1"/>
  <x:c r="C1813" i="1"/>
  <x:c r="B1814" i="1"/>
  <x:c r="C1814" i="1"/>
  <x:c r="B1815" i="1"/>
  <x:c r="C1815" i="1"/>
  <x:c r="B1816" i="1"/>
  <x:c r="C1816" i="1"/>
  <x:c r="B1817" i="1"/>
  <x:c r="C1817" i="1"/>
  <x:c r="B1818" i="1"/>
  <x:c r="C1818" i="1"/>
  <x:c r="B1819" i="1"/>
  <x:c r="C1819" i="1"/>
  <x:c r="B1820" i="1"/>
  <x:c r="C1820" i="1"/>
  <x:c r="B1821" i="1"/>
  <x:c r="C1821" i="1"/>
  <x:c r="B1822" i="1"/>
  <x:c r="C1822" i="1"/>
  <x:c r="B1823" i="1"/>
  <x:c r="C1823" i="1"/>
  <x:c r="B1824" i="1"/>
  <x:c r="C1824" i="1"/>
  <x:c r="B1825" i="1"/>
  <x:c r="C1825" i="1"/>
  <x:c r="B1826" i="1"/>
  <x:c r="C1826" i="1"/>
  <x:c r="B1827" i="1"/>
  <x:c r="C1827" i="1"/>
  <x:c r="B1828" i="1"/>
  <x:c r="C1828" i="1"/>
  <x:c r="B1829" i="1"/>
  <x:c r="C1829" i="1"/>
  <x:c r="B1830" i="1"/>
  <x:c r="C1830" i="1"/>
  <x:c r="B1831" i="1"/>
  <x:c r="C1831" i="1"/>
  <x:c r="B1832" i="1"/>
  <x:c r="C1832" i="1"/>
  <x:c r="B1833" i="1"/>
  <x:c r="C1833" i="1"/>
  <x:c r="B1834" i="1"/>
  <x:c r="C1834" i="1"/>
  <x:c r="B1835" i="1"/>
  <x:c r="C1835" i="1"/>
  <x:c r="B1836" i="1"/>
  <x:c r="C1836" i="1"/>
  <x:c r="B1837" i="1"/>
  <x:c r="C1837" i="1"/>
  <x:c r="B1838" i="1"/>
  <x:c r="C1838" i="1"/>
  <x:c r="B1839" i="1"/>
  <x:c r="C1839" i="1"/>
  <x:c r="B1840" i="1"/>
  <x:c r="C1840" i="1"/>
  <x:c r="B1841" i="1"/>
  <x:c r="C1841" i="1"/>
  <x:c r="B1842" i="1"/>
  <x:c r="C1842" i="1"/>
  <x:c r="B1843" i="1"/>
  <x:c r="C1843" i="1"/>
  <x:c r="B1844" i="1"/>
  <x:c r="C1844" i="1"/>
  <x:c r="B1845" i="1"/>
  <x:c r="C1845" i="1"/>
  <x:c r="B1846" i="1"/>
  <x:c r="C1846" i="1"/>
  <x:c r="B1847" i="1"/>
  <x:c r="C1847" i="1"/>
  <x:c r="B1848" i="1"/>
  <x:c r="B1849" i="1"/>
  <x:c r="C1849" i="1"/>
  <x:c r="B1850" i="1"/>
  <x:c r="C1850" i="1"/>
  <x:c r="B1851" i="1"/>
  <x:c r="C1851" i="1"/>
  <x:c r="B1852" i="1"/>
  <x:c r="C1852" i="1"/>
  <x:c r="B1853" i="1"/>
  <x:c r="C1853" i="1"/>
  <x:c r="B1854" i="1"/>
  <x:c r="C1854" i="1"/>
  <x:c r="B1855" i="1"/>
  <x:c r="C1855" i="1"/>
  <x:c r="B1856" i="1"/>
  <x:c r="C1856" i="1"/>
  <x:c r="B1857" i="1"/>
  <x:c r="C1857" i="1"/>
  <x:c r="B1858" i="1"/>
  <x:c r="C1858" i="1"/>
  <x:c r="B1859" i="1"/>
  <x:c r="C1859" i="1"/>
  <x:c r="B1860" i="1"/>
  <x:c r="C1860" i="1"/>
  <x:c r="B1861" i="1"/>
  <x:c r="C1861" i="1"/>
  <x:c r="B1862" i="1"/>
  <x:c r="C1862" i="1"/>
  <x:c r="B1863" i="1"/>
  <x:c r="C1863" i="1"/>
  <x:c r="B1864" i="1"/>
  <x:c r="C1864" i="1"/>
  <x:c r="B1865" i="1"/>
  <x:c r="C1865" i="1"/>
  <x:c r="B1866" i="1"/>
  <x:c r="C1866" i="1"/>
  <x:c r="B1867" i="1"/>
  <x:c r="C1867" i="1"/>
  <x:c r="B1868" i="1"/>
  <x:c r="C1868" i="1"/>
  <x:c r="B1869" i="1"/>
  <x:c r="C1869" i="1"/>
  <x:c r="B1870" i="1"/>
  <x:c r="C1870" i="1"/>
  <x:c r="B1871" i="1"/>
  <x:c r="C1871" i="1"/>
  <x:c r="B1872" i="1"/>
  <x:c r="C1872" i="1"/>
  <x:c r="B1873" i="1"/>
  <x:c r="C1873" i="1"/>
  <x:c r="B1874" i="1"/>
  <x:c r="C1874" i="1"/>
  <x:c r="B1875" i="1"/>
  <x:c r="C1875" i="1"/>
  <x:c r="B1876" i="1"/>
  <x:c r="C1876" i="1"/>
  <x:c r="B1877" i="1"/>
  <x:c r="C1877" i="1"/>
  <x:c r="B1878" i="1"/>
  <x:c r="C1878" i="1"/>
  <x:c r="B1879" i="1"/>
  <x:c r="C1879" i="1"/>
  <x:c r="B1880" i="1"/>
  <x:c r="C1880" i="1"/>
  <x:c r="B1881" i="1"/>
  <x:c r="C1881" i="1"/>
  <x:c r="B1882" i="1"/>
  <x:c r="C1882" i="1"/>
  <x:c r="B1883" i="1"/>
  <x:c r="C1883" i="1"/>
  <x:c r="B1884" i="1"/>
  <x:c r="C1884" i="1"/>
  <x:c r="B1885" i="1"/>
  <x:c r="C1885" i="1"/>
  <x:c r="B1886" i="1"/>
  <x:c r="C1886" i="1"/>
  <x:c r="B1887" i="1"/>
  <x:c r="C1887" i="1"/>
  <x:c r="B1888" i="1"/>
  <x:c r="C1888" i="1"/>
  <x:c r="B1889" i="1"/>
  <x:c r="C1889" i="1"/>
  <x:c r="B1890" i="1"/>
  <x:c r="C1890" i="1"/>
  <x:c r="B1891" i="1"/>
  <x:c r="C1891" i="1"/>
  <x:c r="B1892" i="1"/>
  <x:c r="C1892" i="1"/>
  <x:c r="B1893" i="1"/>
  <x:c r="C1893" i="1"/>
  <x:c r="B1894" i="1"/>
  <x:c r="C1894" i="1"/>
  <x:c r="B1895" i="1"/>
  <x:c r="C1895" i="1"/>
  <x:c r="B1896" i="1"/>
  <x:c r="C1896" i="1"/>
  <x:c r="B1897" i="1"/>
  <x:c r="C1897" i="1"/>
  <x:c r="B1898" i="1"/>
  <x:c r="C1898" i="1"/>
  <x:c r="B1899" i="1"/>
  <x:c r="C1899" i="1"/>
  <x:c r="B1900" i="1"/>
  <x:c r="C1900" i="1"/>
  <x:c r="B1901" i="1"/>
  <x:c r="C1901" i="1"/>
  <x:c r="B1902" i="1"/>
  <x:c r="C1902" i="1"/>
  <x:c r="B1903" i="1"/>
  <x:c r="C1903" i="1"/>
  <x:c r="B1904" i="1"/>
  <x:c r="C1904" i="1"/>
  <x:c r="B1905" i="1"/>
  <x:c r="C1905" i="1"/>
  <x:c r="B1906" i="1"/>
  <x:c r="C1906" i="1"/>
  <x:c r="B1907" i="1"/>
  <x:c r="C1907" i="1"/>
  <x:c r="B1908" i="1"/>
  <x:c r="C1908" i="1"/>
  <x:c r="B1909" i="1"/>
  <x:c r="C1909" i="1"/>
  <x:c r="B1910" i="1"/>
  <x:c r="C1910" i="1"/>
  <x:c r="B1911" i="1"/>
  <x:c r="C1911" i="1"/>
  <x:c r="B1912" i="1"/>
  <x:c r="C1912" i="1"/>
  <x:c r="B1913" i="1"/>
  <x:c r="C1913" i="1"/>
  <x:c r="B1914" i="1"/>
  <x:c r="C1914" i="1"/>
  <x:c r="B1915" i="1"/>
  <x:c r="C1915" i="1"/>
  <x:c r="B1916" i="1"/>
  <x:c r="C1916" i="1"/>
  <x:c r="B1917" i="1"/>
  <x:c r="C1917" i="1"/>
  <x:c r="B1918" i="1"/>
  <x:c r="C1918" i="1"/>
  <x:c r="B1919" i="1"/>
  <x:c r="C1919" i="1"/>
  <x:c r="B1920" i="1"/>
  <x:c r="C1920" i="1"/>
  <x:c r="B1921" i="1"/>
  <x:c r="C1921" i="1"/>
  <x:c r="B1922" i="1"/>
  <x:c r="C1922" i="1"/>
  <x:c r="B1923" i="1"/>
  <x:c r="C1923" i="1"/>
  <x:c r="B1924" i="1"/>
  <x:c r="C1924" i="1"/>
  <x:c r="B1925" i="1"/>
  <x:c r="C1925" i="1"/>
  <x:c r="B1926" i="1"/>
  <x:c r="C1926" i="1"/>
  <x:c r="B1927" i="1"/>
  <x:c r="C1927" i="1"/>
  <x:c r="B1928" i="1"/>
  <x:c r="C1928" i="1"/>
  <x:c r="B1929" i="1"/>
  <x:c r="C1929" i="1"/>
  <x:c r="B1930" i="1"/>
  <x:c r="C1930" i="1"/>
  <x:c r="B1931" i="1"/>
  <x:c r="C1931" i="1"/>
  <x:c r="B1932" i="1"/>
  <x:c r="C1932" i="1"/>
  <x:c r="B1933" i="1"/>
  <x:c r="C1933" i="1"/>
  <x:c r="B1934" i="1"/>
  <x:c r="C1934" i="1"/>
  <x:c r="B1935" i="1"/>
  <x:c r="C1935" i="1"/>
  <x:c r="B1936" i="1"/>
  <x:c r="C1936" i="1"/>
  <x:c r="B1937" i="1"/>
  <x:c r="C1937" i="1"/>
  <x:c r="B1938" i="1"/>
  <x:c r="C1938" i="1"/>
  <x:c r="B1939" i="1"/>
  <x:c r="C1939" i="1"/>
  <x:c r="B1940" i="1"/>
  <x:c r="C1940" i="1"/>
  <x:c r="B1941" i="1"/>
  <x:c r="C1941" i="1"/>
  <x:c r="B1942" i="1"/>
  <x:c r="C1942" i="1"/>
  <x:c r="B1943" i="1"/>
  <x:c r="C1943" i="1"/>
  <x:c r="B1944" i="1"/>
  <x:c r="C1944" i="1"/>
  <x:c r="B1945" i="1"/>
  <x:c r="C1945" i="1"/>
  <x:c r="B1946" i="1"/>
  <x:c r="C1946" i="1"/>
  <x:c r="B1947" i="1"/>
  <x:c r="C1947" i="1"/>
  <x:c r="B1948" i="1"/>
  <x:c r="C1948" i="1"/>
  <x:c r="B1949" i="1"/>
  <x:c r="C1949" i="1"/>
  <x:c r="B1950" i="1"/>
  <x:c r="C1950" i="1"/>
  <x:c r="B1951" i="1"/>
  <x:c r="C1951" i="1"/>
  <x:c r="B1952" i="1"/>
  <x:c r="C1952" i="1"/>
  <x:c r="B1953" i="1"/>
  <x:c r="C1953" i="1"/>
  <x:c r="B1954" i="1"/>
  <x:c r="C1954" i="1"/>
  <x:c r="B1955" i="1"/>
  <x:c r="C1955" i="1"/>
  <x:c r="B1956" i="1"/>
  <x:c r="C1956" i="1"/>
  <x:c r="B1957" i="1"/>
  <x:c r="C1957" i="1"/>
  <x:c r="B1958" i="1"/>
  <x:c r="C1958" i="1"/>
  <x:c r="B1959" i="1"/>
  <x:c r="C1959" i="1"/>
  <x:c r="B1960" i="1"/>
  <x:c r="C1960" i="1"/>
  <x:c r="B1961" i="1"/>
  <x:c r="C1961" i="1"/>
  <x:c r="B1962" i="1"/>
  <x:c r="C1962" i="1"/>
  <x:c r="B1963" i="1"/>
  <x:c r="C1963" i="1"/>
  <x:c r="B1964" i="1"/>
  <x:c r="C1964" i="1"/>
  <x:c r="B1965" i="1"/>
  <x:c r="C1965" i="1"/>
  <x:c r="B1966" i="1"/>
  <x:c r="C1966" i="1"/>
  <x:c r="B1967" i="1"/>
  <x:c r="C1967" i="1"/>
  <x:c r="B1968" i="1"/>
  <x:c r="C1968" i="1"/>
  <x:c r="B1969" i="1"/>
  <x:c r="C1969" i="1"/>
  <x:c r="B1970" i="1"/>
  <x:c r="C1970" i="1"/>
  <x:c r="B1971" i="1"/>
  <x:c r="C1971" i="1"/>
  <x:c r="B1972" i="1"/>
  <x:c r="C1972" i="1"/>
  <x:c r="B1973" i="1"/>
  <x:c r="C1973" i="1"/>
  <x:c r="B1974" i="1"/>
  <x:c r="C1974" i="1"/>
  <x:c r="B1975" i="1"/>
  <x:c r="C1975" i="1"/>
  <x:c r="B1976" i="1"/>
  <x:c r="C1976" i="1"/>
  <x:c r="B1977" i="1"/>
  <x:c r="C1977" i="1"/>
  <x:c r="B1978" i="1"/>
  <x:c r="C1978" i="1"/>
  <x:c r="B1979" i="1"/>
  <x:c r="C1979" i="1"/>
  <x:c r="B1980" i="1"/>
  <x:c r="C1980" i="1"/>
  <x:c r="B1981" i="1"/>
  <x:c r="C1981" i="1"/>
  <x:c r="B1982" i="1"/>
  <x:c r="C1982" i="1"/>
  <x:c r="B1983" i="1"/>
  <x:c r="C1983" i="1"/>
  <x:c r="B1984" i="1"/>
  <x:c r="C1984" i="1"/>
  <x:c r="B1985" i="1"/>
  <x:c r="C1985" i="1"/>
  <x:c r="B1986" i="1"/>
  <x:c r="C1986" i="1"/>
  <x:c r="B1987" i="1"/>
  <x:c r="C1987" i="1"/>
  <x:c r="B1988" i="1"/>
  <x:c r="C1988" i="1"/>
  <x:c r="B1989" i="1"/>
  <x:c r="C1989" i="1"/>
  <x:c r="B1990" i="1"/>
  <x:c r="C1990" i="1"/>
  <x:c r="B1991" i="1"/>
  <x:c r="C1991" i="1"/>
  <x:c r="B1992" i="1"/>
  <x:c r="C1992" i="1"/>
  <x:c r="B1993" i="1"/>
  <x:c r="C1993" i="1"/>
  <x:c r="B1994" i="1"/>
  <x:c r="C1994" i="1"/>
  <x:c r="B1995" i="1"/>
  <x:c r="C1995" i="1"/>
  <x:c r="B1996" i="1"/>
  <x:c r="C1996" i="1"/>
  <x:c r="B1997" i="1"/>
  <x:c r="C1997" i="1"/>
  <x:c r="B1998" i="1"/>
  <x:c r="C1998" i="1"/>
  <x:c r="B1999" i="1"/>
  <x:c r="C1999" i="1"/>
  <x:c r="B2000" i="1"/>
  <x:c r="C2000" i="1"/>
  <x:c r="B2001" i="1"/>
  <x:c r="C2001" i="1"/>
  <x:c r="B2002" i="1"/>
  <x:c r="C2002" i="1"/>
  <x:c r="B2003" i="1"/>
  <x:c r="C2003" i="1"/>
  <x:c r="B2004" i="1"/>
  <x:c r="C2004" i="1"/>
  <x:c r="B2005" i="1"/>
  <x:c r="C2005" i="1"/>
  <x:c r="B2006" i="1"/>
  <x:c r="C2006" i="1"/>
  <x:c r="B2007" i="1"/>
  <x:c r="C2007" i="1"/>
  <x:c r="B2008" i="1"/>
  <x:c r="C2008" i="1"/>
  <x:c r="B2009" i="1"/>
  <x:c r="C2009" i="1"/>
  <x:c r="B2010" i="1"/>
  <x:c r="C2010" i="1"/>
  <x:c r="B2011" i="1"/>
  <x:c r="C2011" i="1"/>
  <x:c r="B2012" i="1"/>
  <x:c r="C2012" i="1"/>
  <x:c r="B2013" i="1"/>
  <x:c r="C2013" i="1"/>
  <x:c r="B2014" i="1"/>
  <x:c r="C2014" i="1"/>
  <x:c r="B2015" i="1"/>
  <x:c r="C2015" i="1"/>
  <x:c r="B2016" i="1"/>
  <x:c r="C2016" i="1"/>
  <x:c r="B2017" i="1"/>
  <x:c r="C2017" i="1"/>
  <x:c r="B2018" i="1"/>
  <x:c r="C2018" i="1"/>
  <x:c r="B2019" i="1"/>
  <x:c r="C2019" i="1"/>
  <x:c r="B2020" i="1"/>
  <x:c r="C2020" i="1"/>
  <x:c r="B2021" i="1"/>
  <x:c r="C2021" i="1"/>
  <x:c r="B2022" i="1"/>
  <x:c r="C2022" i="1"/>
  <x:c r="B2023" i="1"/>
  <x:c r="C2023" i="1"/>
  <x:c r="B2024" i="1"/>
  <x:c r="C2024" i="1"/>
  <x:c r="B2025" i="1"/>
  <x:c r="C2025" i="1"/>
  <x:c r="B2026" i="1"/>
  <x:c r="C2026" i="1"/>
  <x:c r="B2027" i="1"/>
  <x:c r="C2027" i="1"/>
  <x:c r="B2028" i="1"/>
  <x:c r="C2028" i="1"/>
  <x:c r="B2029" i="1"/>
  <x:c r="C2029" i="1"/>
  <x:c r="B2030" i="1"/>
  <x:c r="C2030" i="1"/>
  <x:c r="B2031" i="1"/>
  <x:c r="C2031" i="1"/>
  <x:c r="B2032" i="1"/>
  <x:c r="C2032" i="1"/>
  <x:c r="B2033" i="1"/>
  <x:c r="C2033" i="1"/>
  <x:c r="B2034" i="1"/>
  <x:c r="C2034" i="1"/>
  <x:c r="B2035" i="1"/>
  <x:c r="C2035" i="1"/>
  <x:c r="B2036" i="1"/>
  <x:c r="C2036" i="1"/>
  <x:c r="B2037" i="1"/>
  <x:c r="C2037" i="1"/>
  <x:c r="B2038" i="1"/>
  <x:c r="C2038" i="1"/>
  <x:c r="B2039" i="1"/>
  <x:c r="C2039" i="1"/>
  <x:c r="B2040" i="1"/>
  <x:c r="C2040" i="1"/>
  <x:c r="B2041" i="1"/>
  <x:c r="C2041" i="1"/>
  <x:c r="B2042" i="1"/>
  <x:c r="C2042" i="1"/>
  <x:c r="B2043" i="1"/>
  <x:c r="C2043" i="1"/>
  <x:c r="B2044" i="1"/>
  <x:c r="C2044" i="1"/>
  <x:c r="B2045" i="1"/>
  <x:c r="C2045" i="1"/>
  <x:c r="B2046" i="1"/>
  <x:c r="C2046" i="1"/>
  <x:c r="B2047" i="1"/>
  <x:c r="C2047" i="1"/>
  <x:c r="B2048" i="1"/>
  <x:c r="C2048" i="1"/>
  <x:c r="B2049" i="1"/>
  <x:c r="C2049" i="1"/>
  <x:c r="B2050" i="1"/>
  <x:c r="C2050" i="1"/>
  <x:c r="B2051" i="1"/>
  <x:c r="C2051" i="1"/>
  <x:c r="B2052" i="1"/>
  <x:c r="C2052" i="1"/>
  <x:c r="B2053" i="1"/>
  <x:c r="C2053" i="1"/>
  <x:c r="B2054" i="1"/>
  <x:c r="C2054" i="1"/>
  <x:c r="B2055" i="1"/>
  <x:c r="C2055" i="1"/>
  <x:c r="B2056" i="1"/>
  <x:c r="C2056" i="1"/>
  <x:c r="B2057" i="1"/>
  <x:c r="C2057" i="1"/>
  <x:c r="B2058" i="1"/>
  <x:c r="C2058" i="1"/>
  <x:c r="B2059" i="1"/>
  <x:c r="C2059" i="1"/>
  <x:c r="B2060" i="1"/>
  <x:c r="C2060" i="1"/>
  <x:c r="B2061" i="1"/>
  <x:c r="C2061" i="1"/>
  <x:c r="B2062" i="1"/>
  <x:c r="C2062" i="1"/>
  <x:c r="B2063" i="1"/>
  <x:c r="C2063" i="1"/>
  <x:c r="B2064" i="1"/>
  <x:c r="C2064" i="1"/>
  <x:c r="B2065" i="1"/>
  <x:c r="C2065" i="1"/>
  <x:c r="B2066" i="1"/>
  <x:c r="C2066" i="1"/>
  <x:c r="B2067" i="1"/>
  <x:c r="C2067" i="1"/>
  <x:c r="B2068" i="1"/>
  <x:c r="C2068" i="1"/>
  <x:c r="B2069" i="1"/>
  <x:c r="C2069" i="1"/>
  <x:c r="B2070" i="1"/>
  <x:c r="C2070" i="1"/>
  <x:c r="B2071" i="1"/>
  <x:c r="C2071" i="1"/>
  <x:c r="B2072" i="1"/>
  <x:c r="C2072" i="1"/>
  <x:c r="B2073" i="1"/>
  <x:c r="C2073" i="1"/>
  <x:c r="B2074" i="1"/>
  <x:c r="C2074" i="1"/>
  <x:c r="B2075" i="1"/>
  <x:c r="C2075" i="1"/>
  <x:c r="B2076" i="1"/>
  <x:c r="C2076" i="1"/>
  <x:c r="B2077" i="1"/>
  <x:c r="C2077" i="1"/>
  <x:c r="B2078" i="1"/>
  <x:c r="C2078" i="1"/>
  <x:c r="B2079" i="1"/>
  <x:c r="C2079" i="1"/>
  <x:c r="B2080" i="1"/>
  <x:c r="C2080" i="1"/>
  <x:c r="B2081" i="1"/>
  <x:c r="C2081" i="1"/>
  <x:c r="B2082" i="1"/>
  <x:c r="C2082" i="1"/>
  <x:c r="B2083" i="1"/>
  <x:c r="C2083" i="1"/>
  <x:c r="B2084" i="1"/>
  <x:c r="C2084" i="1"/>
  <x:c r="B2085" i="1"/>
  <x:c r="C2085" i="1"/>
  <x:c r="B2086" i="1"/>
  <x:c r="C2086" i="1"/>
  <x:c r="B2087" i="1"/>
  <x:c r="C2087" i="1"/>
  <x:c r="B2088" i="1"/>
  <x:c r="C2088" i="1"/>
  <x:c r="B2089" i="1"/>
  <x:c r="C2089" i="1"/>
  <x:c r="B2090" i="1"/>
  <x:c r="C2090" i="1"/>
  <x:c r="B2091" i="1"/>
  <x:c r="C2091" i="1"/>
  <x:c r="B2092" i="1"/>
  <x:c r="C2092" i="1"/>
  <x:c r="B2093" i="1"/>
  <x:c r="C2093" i="1"/>
  <x:c r="B2094" i="1"/>
  <x:c r="C2094" i="1"/>
  <x:c r="B2095" i="1"/>
  <x:c r="C2095" i="1"/>
  <x:c r="B2096" i="1"/>
  <x:c r="C2096" i="1"/>
  <x:c r="B2097" i="1"/>
  <x:c r="C2097" i="1"/>
  <x:c r="B2098" i="1"/>
  <x:c r="C2098" i="1"/>
  <x:c r="B2099" i="1"/>
  <x:c r="C2099" i="1"/>
  <x:c r="B2100" i="1"/>
  <x:c r="C2100" i="1"/>
  <x:c r="B2101" i="1"/>
  <x:c r="C2101" i="1"/>
  <x:c r="B2102" i="1"/>
  <x:c r="C2102" i="1"/>
  <x:c r="B2103" i="1"/>
  <x:c r="C2103" i="1"/>
  <x:c r="B2104" i="1"/>
  <x:c r="C2104" i="1"/>
  <x:c r="B2105" i="1"/>
  <x:c r="C2105" i="1"/>
  <x:c r="B2106" i="1"/>
  <x:c r="C2106" i="1"/>
  <x:c r="B2107" i="1"/>
  <x:c r="C2107" i="1"/>
  <x:c r="B2108" i="1"/>
  <x:c r="C2108" i="1"/>
  <x:c r="B2109" i="1"/>
  <x:c r="C2109" i="1"/>
  <x:c r="B2110" i="1"/>
  <x:c r="C2110" i="1"/>
  <x:c r="B2111" i="1"/>
  <x:c r="C2111" i="1"/>
  <x:c r="B2112" i="1"/>
  <x:c r="C2112" i="1"/>
  <x:c r="B2113" i="1"/>
  <x:c r="C2113" i="1"/>
  <x:c r="B2114" i="1"/>
  <x:c r="C2114" i="1"/>
  <x:c r="B2115" i="1"/>
  <x:c r="C2115" i="1"/>
  <x:c r="B2116" i="1"/>
  <x:c r="C2116" i="1"/>
  <x:c r="B2117" i="1"/>
  <x:c r="C2117" i="1"/>
  <x:c r="B2118" i="1"/>
  <x:c r="C2118" i="1"/>
  <x:c r="B2119" i="1"/>
  <x:c r="C2119" i="1"/>
  <x:c r="B2120" i="1"/>
  <x:c r="C2120" i="1"/>
  <x:c r="B2121" i="1"/>
  <x:c r="C2121" i="1"/>
  <x:c r="B2122" i="1"/>
  <x:c r="C2122" i="1"/>
  <x:c r="B2123" i="1"/>
  <x:c r="C2123" i="1"/>
  <x:c r="B2124" i="1"/>
  <x:c r="C2124" i="1"/>
  <x:c r="B2125" i="1"/>
  <x:c r="C2125" i="1"/>
  <x:c r="B2126" i="1"/>
  <x:c r="C2126" i="1"/>
  <x:c r="B2127" i="1"/>
  <x:c r="C2127" i="1"/>
  <x:c r="B2128" i="1"/>
  <x:c r="C2128" i="1"/>
  <x:c r="B2129" i="1"/>
  <x:c r="C2129" i="1"/>
  <x:c r="B2130" i="1"/>
  <x:c r="C2130" i="1"/>
  <x:c r="B2131" i="1"/>
  <x:c r="C2131" i="1"/>
  <x:c r="B2132" i="1"/>
  <x:c r="C2132" i="1"/>
  <x:c r="B2133" i="1"/>
  <x:c r="C2133" i="1"/>
  <x:c r="B2134" i="1"/>
  <x:c r="C2134" i="1"/>
  <x:c r="B2135" i="1"/>
  <x:c r="C2135" i="1"/>
  <x:c r="B2136" i="1"/>
  <x:c r="C2136" i="1"/>
  <x:c r="B2137" i="1"/>
  <x:c r="C2137" i="1"/>
  <x:c r="B2138" i="1"/>
  <x:c r="C2138" i="1"/>
  <x:c r="B2139" i="1"/>
  <x:c r="C2139" i="1"/>
  <x:c r="B2140" i="1"/>
  <x:c r="C2140" i="1"/>
  <x:c r="B2141" i="1"/>
  <x:c r="C2141" i="1"/>
  <x:c r="B2142" i="1"/>
  <x:c r="C2142" i="1"/>
  <x:c r="B2143" i="1"/>
  <x:c r="C2143" i="1"/>
  <x:c r="B2144" i="1"/>
  <x:c r="C2144" i="1"/>
  <x:c r="B2145" i="1"/>
  <x:c r="C2145" i="1"/>
  <x:c r="B2146" i="1"/>
  <x:c r="C2146" i="1"/>
  <x:c r="B2147" i="1"/>
  <x:c r="C2147" i="1"/>
  <x:c r="B2148" i="1"/>
  <x:c r="C2148" i="1"/>
  <x:c r="B2149" i="1"/>
  <x:c r="C2149" i="1"/>
  <x:c r="B2150" i="1"/>
  <x:c r="C2150" i="1"/>
  <x:c r="B2151" i="1"/>
  <x:c r="C2151" i="1"/>
  <x:c r="B2152" i="1"/>
  <x:c r="C2152" i="1"/>
  <x:c r="B2153" i="1"/>
  <x:c r="C2153" i="1"/>
  <x:c r="B2154" i="1"/>
  <x:c r="C2154" i="1"/>
  <x:c r="B2155" i="1"/>
  <x:c r="C2155" i="1"/>
  <x:c r="B2156" i="1"/>
  <x:c r="C2156" i="1"/>
  <x:c r="B2157" i="1"/>
  <x:c r="C2157" i="1"/>
  <x:c r="B2158" i="1"/>
  <x:c r="C2158" i="1"/>
  <x:c r="B2159" i="1"/>
  <x:c r="C2159" i="1"/>
  <x:c r="B2160" i="1"/>
  <x:c r="C2160" i="1"/>
  <x:c r="B2161" i="1"/>
  <x:c r="C2161" i="1"/>
  <x:c r="B2162" i="1"/>
  <x:c r="C2162" i="1"/>
  <x:c r="B2163" i="1"/>
  <x:c r="C2163" i="1"/>
  <x:c r="B2164" i="1"/>
  <x:c r="C2164" i="1"/>
  <x:c r="B2165" i="1"/>
  <x:c r="C2165" i="1"/>
  <x:c r="B2166" i="1"/>
  <x:c r="C2166" i="1"/>
  <x:c r="B2167" i="1"/>
  <x:c r="C2167" i="1"/>
  <x:c r="B2168" i="1"/>
  <x:c r="C2168" i="1"/>
  <x:c r="B2169" i="1"/>
  <x:c r="C2169" i="1"/>
  <x:c r="B2170" i="1"/>
  <x:c r="C2170" i="1"/>
  <x:c r="B2171" i="1"/>
  <x:c r="C2171" i="1"/>
  <x:c r="B2172" i="1"/>
  <x:c r="C2172" i="1"/>
  <x:c r="B2173" i="1"/>
  <x:c r="C2173" i="1"/>
  <x:c r="B2174" i="1"/>
  <x:c r="C2174" i="1"/>
  <x:c r="B2175" i="1"/>
  <x:c r="C2175" i="1"/>
  <x:c r="B2176" i="1"/>
  <x:c r="C2176" i="1"/>
  <x:c r="B2177" i="1"/>
  <x:c r="C2177" i="1"/>
  <x:c r="B2178" i="1"/>
  <x:c r="C2178" i="1"/>
  <x:c r="B2179" i="1"/>
  <x:c r="C2179" i="1"/>
  <x:c r="B2180" i="1"/>
  <x:c r="C2180" i="1"/>
  <x:c r="B2181" i="1"/>
  <x:c r="C2181" i="1"/>
  <x:c r="B2182" i="1"/>
  <x:c r="C2182" i="1"/>
  <x:c r="B2183" i="1"/>
  <x:c r="C2183" i="1"/>
  <x:c r="B2184" i="1"/>
  <x:c r="C2184" i="1"/>
  <x:c r="B2185" i="1"/>
  <x:c r="C2185" i="1"/>
  <x:c r="B2186" i="1"/>
  <x:c r="C2186" i="1"/>
  <x:c r="B2187" i="1"/>
  <x:c r="C2187" i="1"/>
  <x:c r="B2188" i="1"/>
  <x:c r="C2188" i="1"/>
  <x:c r="B2189" i="1"/>
  <x:c r="C2189" i="1"/>
  <x:c r="B2190" i="1"/>
  <x:c r="C2190" i="1"/>
  <x:c r="B2191" i="1"/>
  <x:c r="C2191" i="1"/>
  <x:c r="B2192" i="1"/>
  <x:c r="C2192" i="1"/>
  <x:c r="B2193" i="1"/>
  <x:c r="C2193" i="1"/>
  <x:c r="B2194" i="1"/>
  <x:c r="C2194" i="1"/>
  <x:c r="B2195" i="1"/>
  <x:c r="C2195" i="1"/>
  <x:c r="B2196" i="1"/>
  <x:c r="C2196" i="1"/>
  <x:c r="B2197" i="1"/>
  <x:c r="C2197" i="1"/>
  <x:c r="B2198" i="1"/>
  <x:c r="C2198" i="1"/>
  <x:c r="B2199" i="1"/>
  <x:c r="C2199" i="1"/>
  <x:c r="B2200" i="1"/>
  <x:c r="C2200" i="1"/>
  <x:c r="B2201" i="1"/>
  <x:c r="C2201" i="1"/>
  <x:c r="B2202" i="1"/>
  <x:c r="C2202" i="1"/>
  <x:c r="B2203" i="1"/>
  <x:c r="C2203" i="1"/>
  <x:c r="B2204" i="1"/>
  <x:c r="C2204" i="1"/>
  <x:c r="B2205" i="1"/>
  <x:c r="C2205" i="1"/>
  <x:c r="B2206" i="1"/>
  <x:c r="C2206" i="1"/>
  <x:c r="B2207" i="1"/>
  <x:c r="C2207" i="1"/>
  <x:c r="B2208" i="1"/>
  <x:c r="C2208" i="1"/>
  <x:c r="B2209" i="1"/>
  <x:c r="C2209" i="1"/>
  <x:c r="B2210" i="1"/>
  <x:c r="C2210" i="1"/>
  <x:c r="B2211" i="1"/>
  <x:c r="C2211" i="1"/>
  <x:c r="B2212" i="1"/>
  <x:c r="C2212" i="1"/>
  <x:c r="B2213" i="1"/>
  <x:c r="C2213" i="1"/>
  <x:c r="B2214" i="1"/>
  <x:c r="C2214" i="1"/>
  <x:c r="B2215" i="1"/>
  <x:c r="C2215" i="1"/>
  <x:c r="B2216" i="1"/>
  <x:c r="C2216" i="1"/>
  <x:c r="B2217" i="1"/>
  <x:c r="C2217" i="1"/>
  <x:c r="B2218" i="1"/>
  <x:c r="C2218" i="1"/>
  <x:c r="B2219" i="1"/>
  <x:c r="C2219" i="1"/>
  <x:c r="B2220" i="1"/>
  <x:c r="C2220" i="1"/>
  <x:c r="B2221" i="1"/>
  <x:c r="C2221" i="1"/>
  <x:c r="B2222" i="1"/>
  <x:c r="C2222" i="1"/>
  <x:c r="B2223" i="1"/>
  <x:c r="C2223" i="1"/>
  <x:c r="B2224" i="1"/>
  <x:c r="C2224" i="1"/>
  <x:c r="B2225" i="1"/>
  <x:c r="C2225" i="1"/>
  <x:c r="B2226" i="1"/>
  <x:c r="C2226" i="1"/>
  <x:c r="B2227" i="1"/>
  <x:c r="C2227" i="1"/>
  <x:c r="B2228" i="1"/>
  <x:c r="C2228" i="1"/>
  <x:c r="B2229" i="1"/>
  <x:c r="C2229" i="1"/>
  <x:c r="B2230" i="1"/>
  <x:c r="C2230" i="1"/>
  <x:c r="B2231" i="1"/>
  <x:c r="C2231" i="1"/>
  <x:c r="B2232" i="1"/>
  <x:c r="C2232" i="1"/>
  <x:c r="B2233" i="1"/>
  <x:c r="C2233" i="1"/>
  <x:c r="B2234" i="1"/>
  <x:c r="C2234" i="1"/>
  <x:c r="B2235" i="1"/>
  <x:c r="C2235" i="1"/>
  <x:c r="B2236" i="1"/>
  <x:c r="C2236" i="1"/>
  <x:c r="B2237" i="1"/>
  <x:c r="C2237" i="1"/>
  <x:c r="B2238" i="1"/>
  <x:c r="C2238" i="1"/>
  <x:c r="B2239" i="1"/>
  <x:c r="C2239" i="1"/>
  <x:c r="B2240" i="1"/>
  <x:c r="C2240" i="1"/>
  <x:c r="B2241" i="1"/>
  <x:c r="C2241" i="1"/>
  <x:c r="B2242" i="1"/>
  <x:c r="C2242" i="1"/>
  <x:c r="B2243" i="1"/>
  <x:c r="C2243" i="1"/>
  <x:c r="B2244" i="1"/>
  <x:c r="C2244" i="1"/>
  <x:c r="B2245" i="1"/>
  <x:c r="C2245" i="1"/>
  <x:c r="B2246" i="1"/>
  <x:c r="C2246" i="1"/>
  <x:c r="B2247" i="1"/>
  <x:c r="C2247" i="1"/>
  <x:c r="B2248" i="1"/>
  <x:c r="C2248" i="1"/>
  <x:c r="B2249" i="1"/>
  <x:c r="C2249" i="1"/>
  <x:c r="B2250" i="1"/>
  <x:c r="C2250" i="1"/>
  <x:c r="B2251" i="1"/>
  <x:c r="C2251" i="1"/>
  <x:c r="B2252" i="1"/>
  <x:c r="C2252" i="1"/>
  <x:c r="B2253" i="1"/>
  <x:c r="C2253" i="1"/>
  <x:c r="B2254" i="1"/>
  <x:c r="C2254" i="1"/>
  <x:c r="B2255" i="1"/>
  <x:c r="C2255" i="1"/>
  <x:c r="B2256" i="1"/>
  <x:c r="C2256" i="1"/>
  <x:c r="B2257" i="1"/>
  <x:c r="C2257" i="1"/>
  <x:c r="B2258" i="1"/>
  <x:c r="C2258" i="1"/>
  <x:c r="B2259" i="1"/>
  <x:c r="C2259" i="1"/>
  <x:c r="B2260" i="1"/>
  <x:c r="C2260" i="1"/>
  <x:c r="B2261" i="1"/>
  <x:c r="C2261" i="1"/>
  <x:c r="B2262" i="1"/>
  <x:c r="C2262" i="1"/>
  <x:c r="B2263" i="1"/>
  <x:c r="C2263" i="1"/>
  <x:c r="B2264" i="1"/>
  <x:c r="C2264" i="1"/>
  <x:c r="B2265" i="1"/>
  <x:c r="C2265" i="1"/>
  <x:c r="B2266" i="1"/>
  <x:c r="C2266" i="1"/>
  <x:c r="B2267" i="1"/>
  <x:c r="C2267" i="1"/>
  <x:c r="B2268" i="1"/>
  <x:c r="C2268" i="1"/>
  <x:c r="B2269" i="1"/>
  <x:c r="C2269" i="1"/>
  <x:c r="B2270" i="1"/>
  <x:c r="C2270" i="1"/>
  <x:c r="B2271" i="1"/>
  <x:c r="C2271" i="1"/>
  <x:c r="B2272" i="1"/>
  <x:c r="C2272" i="1"/>
  <x:c r="B2273" i="1"/>
  <x:c r="C2273" i="1"/>
  <x:c r="B2274" i="1"/>
  <x:c r="C2274" i="1"/>
  <x:c r="B2275" i="1"/>
  <x:c r="C2275" i="1"/>
  <x:c r="B2276" i="1"/>
  <x:c r="C2276" i="1"/>
  <x:c r="B2277" i="1"/>
  <x:c r="C2277" i="1"/>
  <x:c r="B2278" i="1"/>
  <x:c r="C2278" i="1"/>
  <x:c r="B2279" i="1"/>
  <x:c r="C2279" i="1"/>
  <x:c r="B2280" i="1"/>
  <x:c r="C2280" i="1"/>
  <x:c r="B2281" i="1"/>
  <x:c r="C2281" i="1"/>
  <x:c r="B2282" i="1"/>
  <x:c r="C2282" i="1"/>
  <x:c r="B2283" i="1"/>
  <x:c r="C2283" i="1"/>
  <x:c r="B2284" i="1"/>
  <x:c r="C2284" i="1"/>
  <x:c r="B2285" i="1"/>
  <x:c r="C2285" i="1"/>
  <x:c r="B2286" i="1"/>
  <x:c r="C2286" i="1"/>
  <x:c r="B2287" i="1"/>
  <x:c r="C2287" i="1"/>
  <x:c r="B2288" i="1"/>
  <x:c r="C2288" i="1"/>
  <x:c r="B2289" i="1"/>
  <x:c r="C2289" i="1"/>
  <x:c r="B2290" i="1"/>
  <x:c r="C2290" i="1"/>
  <x:c r="B2291" i="1"/>
  <x:c r="C2291" i="1"/>
  <x:c r="B2292" i="1"/>
  <x:c r="C2292" i="1"/>
  <x:c r="B2293" i="1"/>
  <x:c r="C2293" i="1"/>
  <x:c r="B2294" i="1"/>
  <x:c r="C2294" i="1"/>
  <x:c r="B2295" i="1"/>
  <x:c r="C2295" i="1"/>
  <x:c r="B2296" i="1"/>
  <x:c r="C2296" i="1"/>
  <x:c r="B2297" i="1"/>
  <x:c r="C2297" i="1"/>
  <x:c r="B2298" i="1"/>
  <x:c r="C2298" i="1"/>
  <x:c r="B2299" i="1"/>
  <x:c r="C2299" i="1"/>
  <x:c r="B2300" i="1"/>
  <x:c r="C2300" i="1"/>
  <x:c r="B2301" i="1"/>
  <x:c r="C2301" i="1"/>
  <x:c r="B2302" i="1"/>
  <x:c r="C2302" i="1"/>
  <x:c r="B2303" i="1"/>
  <x:c r="C2303" i="1"/>
  <x:c r="B2304" i="1"/>
  <x:c r="C2304" i="1"/>
  <x:c r="B2305" i="1"/>
  <x:c r="C2305" i="1"/>
  <x:c r="B2306" i="1"/>
  <x:c r="C2306" i="1"/>
  <x:c r="B2307" i="1"/>
  <x:c r="C2307" i="1"/>
  <x:c r="B2308" i="1"/>
  <x:c r="C2308" i="1"/>
  <x:c r="B2309" i="1"/>
  <x:c r="C2309" i="1"/>
  <x:c r="B2310" i="1"/>
  <x:c r="C2310" i="1"/>
  <x:c r="B2311" i="1"/>
  <x:c r="C2311" i="1"/>
  <x:c r="B2312" i="1"/>
  <x:c r="C2312" i="1"/>
  <x:c r="B2313" i="1"/>
  <x:c r="C2313" i="1"/>
  <x:c r="B2314" i="1"/>
  <x:c r="C2314" i="1"/>
  <x:c r="B2315" i="1"/>
  <x:c r="C2315" i="1"/>
  <x:c r="B2316" i="1"/>
  <x:c r="C2316" i="1"/>
  <x:c r="B2317" i="1"/>
  <x:c r="C2317" i="1"/>
  <x:c r="B2318" i="1"/>
  <x:c r="C2318" i="1"/>
  <x:c r="B2319" i="1"/>
  <x:c r="C2319" i="1"/>
  <x:c r="B2320" i="1"/>
  <x:c r="C2320" i="1"/>
  <x:c r="B2321" i="1"/>
  <x:c r="C2321" i="1"/>
  <x:c r="B2322" i="1"/>
  <x:c r="C2322" i="1"/>
  <x:c r="B2323" i="1"/>
  <x:c r="C2323" i="1"/>
  <x:c r="B2324" i="1"/>
  <x:c r="C2324" i="1"/>
  <x:c r="B2325" i="1"/>
  <x:c r="C2325" i="1"/>
  <x:c r="B2326" i="1"/>
  <x:c r="C2326" i="1"/>
  <x:c r="B2327" i="1"/>
  <x:c r="C2327" i="1"/>
  <x:c r="B2328" i="1"/>
  <x:c r="C2328" i="1"/>
  <x:c r="B2329" i="1"/>
  <x:c r="C2329" i="1"/>
  <x:c r="B2330" i="1"/>
  <x:c r="C2330" i="1"/>
  <x:c r="B2331" i="1"/>
  <x:c r="C2331" i="1"/>
  <x:c r="B2332" i="1"/>
  <x:c r="C2332" i="1"/>
  <x:c r="B2333" i="1"/>
  <x:c r="C2333" i="1"/>
  <x:c r="B2334" i="1"/>
  <x:c r="C2334" i="1"/>
  <x:c r="B2335" i="1"/>
  <x:c r="C2335" i="1"/>
  <x:c r="B2336" i="1"/>
  <x:c r="C2336" i="1"/>
  <x:c r="B2337" i="1"/>
  <x:c r="C2337" i="1"/>
  <x:c r="B2338" i="1"/>
  <x:c r="C2338" i="1"/>
  <x:c r="B2339" i="1"/>
  <x:c r="C2339" i="1"/>
  <x:c r="B2340" i="1"/>
  <x:c r="C2340" i="1"/>
  <x:c r="B2341" i="1"/>
  <x:c r="C2341" i="1"/>
  <x:c r="B2342" i="1"/>
  <x:c r="C2342" i="1"/>
  <x:c r="B2343" i="1"/>
  <x:c r="C2343" i="1"/>
  <x:c r="B2344" i="1"/>
  <x:c r="C2344" i="1"/>
  <x:c r="B2345" i="1"/>
  <x:c r="C2345" i="1"/>
  <x:c r="B2346" i="1"/>
  <x:c r="C2346" i="1"/>
  <x:c r="B2347" i="1"/>
  <x:c r="C2347" i="1"/>
  <x:c r="B2348" i="1"/>
  <x:c r="C2348" i="1"/>
  <x:c r="B2349" i="1"/>
  <x:c r="C2349" i="1"/>
  <x:c r="B2350" i="1"/>
  <x:c r="C2350" i="1"/>
  <x:c r="B2351" i="1"/>
  <x:c r="C2351" i="1"/>
  <x:c r="B2352" i="1"/>
  <x:c r="C2352" i="1"/>
  <x:c r="B2353" i="1"/>
  <x:c r="C2353" i="1"/>
  <x:c r="B2354" i="1"/>
  <x:c r="C2354" i="1"/>
  <x:c r="B2355" i="1"/>
  <x:c r="C2355" i="1"/>
  <x:c r="B2356" i="1"/>
  <x:c r="C2356" i="1"/>
  <x:c r="B2357" i="1"/>
  <x:c r="C2357" i="1"/>
  <x:c r="B2358" i="1"/>
  <x:c r="C2358" i="1"/>
  <x:c r="B2359" i="1"/>
  <x:c r="C2359" i="1"/>
  <x:c r="B2360" i="1"/>
  <x:c r="C2360" i="1"/>
  <x:c r="B2361" i="1"/>
  <x:c r="C2361" i="1"/>
  <x:c r="B2362" i="1"/>
  <x:c r="C2362" i="1"/>
  <x:c r="B2363" i="1"/>
  <x:c r="C2363" i="1"/>
  <x:c r="B2364" i="1"/>
  <x:c r="C2364" i="1"/>
  <x:c r="B2365" i="1"/>
  <x:c r="C2365" i="1"/>
  <x:c r="B2366" i="1"/>
  <x:c r="C2366" i="1"/>
  <x:c r="B2367" i="1"/>
  <x:c r="C2367" i="1"/>
  <x:c r="B2368" i="1"/>
  <x:c r="C2368" i="1"/>
  <x:c r="B2369" i="1"/>
  <x:c r="C2369" i="1"/>
  <x:c r="B2370" i="1"/>
  <x:c r="C2370" i="1"/>
  <x:c r="B2371" i="1"/>
  <x:c r="C2371" i="1"/>
  <x:c r="B2372" i="1"/>
  <x:c r="C2372" i="1"/>
  <x:c r="B2373" i="1"/>
  <x:c r="C2373" i="1"/>
  <x:c r="B2374" i="1"/>
  <x:c r="C2374" i="1"/>
  <x:c r="B2375" i="1"/>
  <x:c r="C2375" i="1"/>
  <x:c r="B2376" i="1"/>
  <x:c r="C2376" i="1"/>
  <x:c r="B2377" i="1"/>
  <x:c r="C2377" i="1"/>
  <x:c r="B2378" i="1"/>
  <x:c r="C2378" i="1"/>
  <x:c r="B2379" i="1"/>
  <x:c r="C2379" i="1"/>
  <x:c r="B2380" i="1"/>
  <x:c r="C2380" i="1"/>
  <x:c r="B2381" i="1"/>
  <x:c r="C2381" i="1"/>
  <x:c r="B2382" i="1"/>
  <x:c r="C2382" i="1"/>
  <x:c r="B2383" i="1"/>
  <x:c r="C2383" i="1"/>
  <x:c r="B2384" i="1"/>
  <x:c r="C2384" i="1"/>
  <x:c r="B2385" i="1"/>
  <x:c r="C2385" i="1"/>
  <x:c r="B2386" i="1"/>
  <x:c r="C2386" i="1"/>
  <x:c r="B2387" i="1"/>
  <x:c r="C2387" i="1"/>
  <x:c r="B2388" i="1"/>
  <x:c r="C2388" i="1"/>
  <x:c r="B2389" i="1"/>
  <x:c r="C2389" i="1"/>
  <x:c r="B2390" i="1"/>
  <x:c r="C2390" i="1"/>
  <x:c r="B2391" i="1"/>
  <x:c r="C2391" i="1"/>
  <x:c r="B2392" i="1"/>
  <x:c r="C2392" i="1"/>
  <x:c r="B2393" i="1"/>
  <x:c r="C2393" i="1"/>
  <x:c r="B2394" i="1"/>
  <x:c r="C2394" i="1"/>
  <x:c r="B2395" i="1"/>
  <x:c r="C2395" i="1"/>
  <x:c r="B2396" i="1"/>
  <x:c r="C2396" i="1"/>
  <x:c r="B2397" i="1"/>
  <x:c r="C2397" i="1"/>
  <x:c r="B2398" i="1"/>
  <x:c r="C2398" i="1"/>
  <x:c r="B2399" i="1"/>
  <x:c r="C2399" i="1"/>
  <x:c r="B2400" i="1"/>
  <x:c r="C2400" i="1"/>
  <x:c r="B2401" i="1"/>
  <x:c r="C2401" i="1"/>
  <x:c r="B2402" i="1"/>
  <x:c r="C2402" i="1"/>
  <x:c r="B2403" i="1"/>
  <x:c r="C2403" i="1"/>
  <x:c r="B2404" i="1"/>
  <x:c r="C2404" i="1"/>
  <x:c r="B2405" i="1"/>
  <x:c r="C2405" i="1"/>
  <x:c r="B2406" i="1"/>
  <x:c r="C2406" i="1"/>
  <x:c r="B2407" i="1"/>
  <x:c r="C2407" i="1"/>
  <x:c r="B2408" i="1"/>
  <x:c r="C2408" i="1"/>
  <x:c r="B2409" i="1"/>
  <x:c r="C2409" i="1"/>
  <x:c r="B2410" i="1"/>
  <x:c r="C2410" i="1"/>
  <x:c r="B2411" i="1"/>
  <x:c r="C2411" i="1"/>
  <x:c r="B2412" i="1"/>
  <x:c r="C2412" i="1"/>
  <x:c r="B2413" i="1"/>
  <x:c r="C2413" i="1"/>
  <x:c r="B2414" i="1"/>
  <x:c r="C2414" i="1"/>
  <x:c r="B2415" i="1"/>
  <x:c r="C2415" i="1"/>
  <x:c r="B2416" i="1"/>
  <x:c r="C2416" i="1"/>
  <x:c r="B2417" i="1"/>
  <x:c r="C2417" i="1"/>
  <x:c r="B2418" i="1"/>
  <x:c r="C2418" i="1"/>
  <x:c r="B2419" i="1"/>
  <x:c r="C2419" i="1"/>
  <x:c r="B2420" i="1"/>
  <x:c r="C2420" i="1"/>
  <x:c r="B2421" i="1"/>
  <x:c r="C2421" i="1"/>
  <x:c r="B2422" i="1"/>
  <x:c r="C2422" i="1"/>
  <x:c r="B2423" i="1"/>
  <x:c r="C2423" i="1"/>
  <x:c r="B2424" i="1"/>
  <x:c r="C2424" i="1"/>
  <x:c r="B2425" i="1"/>
  <x:c r="C2425" i="1"/>
  <x:c r="B2426" i="1"/>
  <x:c r="C2426" i="1"/>
  <x:c r="B2427" i="1"/>
  <x:c r="C2427" i="1"/>
  <x:c r="B2428" i="1"/>
  <x:c r="C2428" i="1"/>
  <x:c r="B2429" i="1"/>
  <x:c r="C2429" i="1"/>
  <x:c r="B2430" i="1"/>
  <x:c r="C2430" i="1"/>
  <x:c r="B2431" i="1"/>
  <x:c r="C2431" i="1"/>
  <x:c r="B2432" i="1"/>
  <x:c r="C2432" i="1"/>
  <x:c r="B2433" i="1"/>
  <x:c r="C2433" i="1"/>
  <x:c r="B2434" i="1"/>
  <x:c r="C2434" i="1"/>
  <x:c r="B2435" i="1"/>
  <x:c r="C2435" i="1"/>
  <x:c r="B2436" i="1"/>
  <x:c r="C2436" i="1"/>
  <x:c r="B2437" i="1"/>
  <x:c r="C2437" i="1"/>
  <x:c r="B2438" i="1"/>
  <x:c r="C2438" i="1"/>
  <x:c r="B2439" i="1"/>
  <x:c r="C2439" i="1"/>
  <x:c r="B2440" i="1"/>
  <x:c r="C2440" i="1"/>
  <x:c r="B2441" i="1"/>
  <x:c r="C2441" i="1"/>
  <x:c r="B2442" i="1"/>
  <x:c r="C2442" i="1"/>
  <x:c r="B2443" i="1"/>
  <x:c r="C2443" i="1"/>
  <x:c r="B2444" i="1"/>
  <x:c r="C2444" i="1"/>
  <x:c r="B2445" i="1"/>
  <x:c r="C2445" i="1"/>
  <x:c r="B2446" i="1"/>
  <x:c r="C2446" i="1"/>
  <x:c r="B2447" i="1"/>
  <x:c r="C2447" i="1"/>
  <x:c r="B2448" i="1"/>
  <x:c r="C2448" i="1"/>
  <x:c r="B2449" i="1"/>
  <x:c r="C2449" i="1"/>
  <x:c r="B2450" i="1"/>
  <x:c r="C2450" i="1"/>
  <x:c r="B2451" i="1"/>
  <x:c r="C2451" i="1"/>
  <x:c r="B2452" i="1"/>
  <x:c r="C2452" i="1"/>
  <x:c r="B2453" i="1"/>
  <x:c r="C2453" i="1"/>
  <x:c r="B2454" i="1"/>
  <x:c r="C2454" i="1"/>
  <x:c r="B2455" i="1"/>
  <x:c r="C2455" i="1"/>
  <x:c r="B2456" i="1"/>
  <x:c r="C2456" i="1"/>
  <x:c r="B2457" i="1"/>
  <x:c r="C2457" i="1"/>
  <x:c r="B2458" i="1"/>
  <x:c r="C2458" i="1"/>
  <x:c r="B2459" i="1"/>
  <x:c r="C2459" i="1"/>
  <x:c r="B2460" i="1"/>
  <x:c r="C2460" i="1"/>
  <x:c r="B2461" i="1"/>
  <x:c r="C2461" i="1"/>
  <x:c r="B2462" i="1"/>
  <x:c r="C2462" i="1"/>
  <x:c r="B2463" i="1"/>
  <x:c r="C2463" i="1"/>
  <x:c r="B2464" i="1"/>
  <x:c r="C2464" i="1"/>
  <x:c r="B2465" i="1"/>
  <x:c r="C2465" i="1"/>
  <x:c r="B2466" i="1"/>
  <x:c r="C2466" i="1"/>
  <x:c r="B2467" i="1"/>
  <x:c r="C2467" i="1"/>
  <x:c r="B2468" i="1"/>
  <x:c r="C2468" i="1"/>
  <x:c r="B2469" i="1"/>
  <x:c r="C2469" i="1"/>
  <x:c r="B2470" i="1"/>
  <x:c r="C2470" i="1"/>
  <x:c r="B2471" i="1"/>
  <x:c r="C2471" i="1"/>
  <x:c r="B2472" i="1"/>
  <x:c r="C2472" i="1"/>
  <x:c r="B2473" i="1"/>
  <x:c r="C2473" i="1"/>
  <x:c r="B2474" i="1"/>
  <x:c r="C2474" i="1"/>
  <x:c r="B2475" i="1"/>
  <x:c r="C2475" i="1"/>
  <x:c r="B2476" i="1"/>
  <x:c r="C2476" i="1"/>
  <x:c r="B2477" i="1"/>
  <x:c r="C2477" i="1"/>
  <x:c r="B2478" i="1"/>
  <x:c r="C2478" i="1"/>
  <x:c r="B2479" i="1"/>
  <x:c r="C2479" i="1"/>
  <x:c r="B2480" i="1"/>
  <x:c r="C2480" i="1"/>
  <x:c r="B2481" i="1"/>
  <x:c r="C2481" i="1"/>
  <x:c r="B2482" i="1"/>
  <x:c r="C2482" i="1"/>
  <x:c r="B2483" i="1"/>
  <x:c r="C2483" i="1"/>
  <x:c r="B2484" i="1"/>
  <x:c r="C2484" i="1"/>
  <x:c r="B2485" i="1"/>
  <x:c r="C2485" i="1"/>
  <x:c r="B2486" i="1"/>
  <x:c r="C2486" i="1"/>
  <x:c r="B2487" i="1"/>
  <x:c r="C2487" i="1"/>
  <x:c r="B2488" i="1"/>
  <x:c r="C2488" i="1"/>
  <x:c r="B2489" i="1"/>
  <x:c r="C2489" i="1"/>
  <x:c r="B2490" i="1"/>
  <x:c r="C2490" i="1"/>
  <x:c r="B2491" i="1"/>
  <x:c r="C2491" i="1"/>
  <x:c r="B2492" i="1"/>
  <x:c r="C2492" i="1"/>
  <x:c r="B2493" i="1"/>
  <x:c r="C2493" i="1"/>
  <x:c r="B2494" i="1"/>
  <x:c r="C2494" i="1"/>
  <x:c r="B2495" i="1"/>
  <x:c r="C2495" i="1"/>
  <x:c r="B2496" i="1"/>
  <x:c r="C2496" i="1"/>
  <x:c r="B2497" i="1"/>
  <x:c r="C2497" i="1"/>
  <x:c r="B2498" i="1"/>
  <x:c r="C2498" i="1"/>
  <x:c r="B2499" i="1"/>
  <x:c r="C2499" i="1"/>
  <x:c r="B2500" i="1"/>
  <x:c r="C2500" i="1"/>
  <x:c r="B2501" i="1"/>
  <x:c r="C2501" i="1"/>
  <x:c r="B2502" i="1"/>
  <x:c r="C2502" i="1"/>
  <x:c r="B2503" i="1"/>
  <x:c r="C2503" i="1"/>
  <x:c r="B2504" i="1"/>
  <x:c r="C2504" i="1"/>
  <x:c r="B2505" i="1"/>
  <x:c r="C2505" i="1"/>
  <x:c r="B2506" i="1"/>
  <x:c r="C2506" i="1"/>
  <x:c r="B2507" i="1"/>
  <x:c r="C2507" i="1"/>
  <x:c r="B2508" i="1"/>
  <x:c r="C2508" i="1"/>
  <x:c r="B2509" i="1"/>
  <x:c r="C2509" i="1"/>
  <x:c r="B2510" i="1"/>
  <x:c r="C2510" i="1"/>
  <x:c r="B2511" i="1"/>
  <x:c r="C2511" i="1"/>
  <x:c r="B2512" i="1"/>
  <x:c r="C2512" i="1"/>
  <x:c r="B2513" i="1"/>
  <x:c r="C2513" i="1"/>
  <x:c r="B2514" i="1"/>
  <x:c r="C2514" i="1"/>
  <x:c r="B2515" i="1"/>
  <x:c r="C2515" i="1"/>
  <x:c r="B2516" i="1"/>
  <x:c r="C2516" i="1"/>
  <x:c r="B2517" i="1"/>
  <x:c r="C2517" i="1"/>
  <x:c r="B2518" i="1"/>
  <x:c r="C2518" i="1"/>
  <x:c r="B2519" i="1"/>
  <x:c r="C2519" i="1"/>
  <x:c r="B2520" i="1"/>
  <x:c r="C2520" i="1"/>
  <x:c r="B2521" i="1"/>
  <x:c r="C2521" i="1"/>
  <x:c r="B2522" i="1"/>
  <x:c r="C2522" i="1"/>
  <x:c r="B2523" i="1"/>
  <x:c r="C2523" i="1"/>
  <x:c r="B2524" i="1"/>
  <x:c r="C2524" i="1"/>
  <x:c r="B2525" i="1"/>
  <x:c r="C2525" i="1"/>
  <x:c r="B2526" i="1"/>
  <x:c r="C2526" i="1"/>
  <x:c r="B2527" i="1"/>
  <x:c r="C2527" i="1"/>
  <x:c r="B2528" i="1"/>
  <x:c r="C2528" i="1"/>
  <x:c r="B2529" i="1"/>
  <x:c r="C2529" i="1"/>
  <x:c r="B2530" i="1"/>
  <x:c r="C2530" i="1"/>
  <x:c r="B2531" i="1"/>
  <x:c r="C2531" i="1"/>
  <x:c r="B2532" i="1"/>
  <x:c r="C2532" i="1"/>
  <x:c r="B2533" i="1"/>
  <x:c r="C2533" i="1"/>
  <x:c r="B2534" i="1"/>
  <x:c r="C2534" i="1"/>
  <x:c r="B2535" i="1"/>
  <x:c r="C2535" i="1"/>
  <x:c r="B2536" i="1"/>
  <x:c r="C2536" i="1"/>
  <x:c r="B2537" i="1"/>
  <x:c r="C2537" i="1"/>
  <x:c r="B2538" i="1"/>
  <x:c r="C2538" i="1"/>
  <x:c r="B2539" i="1"/>
  <x:c r="C2539" i="1"/>
  <x:c r="B2540" i="1"/>
  <x:c r="C2540" i="1"/>
  <x:c r="B2541" i="1"/>
  <x:c r="C2541" i="1"/>
  <x:c r="B2542" i="1"/>
  <x:c r="C2542" i="1"/>
  <x:c r="B2543" i="1"/>
  <x:c r="C2543" i="1"/>
  <x:c r="B2544" i="1"/>
  <x:c r="C2544" i="1"/>
  <x:c r="B2545" i="1"/>
  <x:c r="C2545" i="1"/>
  <x:c r="B2546" i="1"/>
  <x:c r="C2546" i="1"/>
  <x:c r="B2547" i="1"/>
  <x:c r="C2547" i="1"/>
  <x:c r="B2548" i="1"/>
  <x:c r="C2548" i="1"/>
  <x:c r="B2549" i="1"/>
  <x:c r="C2549" i="1"/>
  <x:c r="B2550" i="1"/>
  <x:c r="C2550" i="1"/>
  <x:c r="B2551" i="1"/>
  <x:c r="C2551" i="1"/>
  <x:c r="B2552" i="1"/>
  <x:c r="C2552" i="1"/>
  <x:c r="B2553" i="1"/>
  <x:c r="C2553" i="1"/>
  <x:c r="B2554" i="1"/>
  <x:c r="C2554" i="1"/>
  <x:c r="B2555" i="1"/>
  <x:c r="C2555" i="1"/>
  <x:c r="B2556" i="1"/>
  <x:c r="C2556" i="1"/>
  <x:c r="B2557" i="1"/>
  <x:c r="C2557" i="1"/>
  <x:c r="B2558" i="1"/>
  <x:c r="C2558" i="1"/>
  <x:c r="B2559" i="1"/>
  <x:c r="C2559" i="1"/>
  <x:c r="B2560" i="1"/>
  <x:c r="C2560" i="1"/>
  <x:c r="B2561" i="1"/>
  <x:c r="C2561" i="1"/>
  <x:c r="B2562" i="1"/>
  <x:c r="C2562" i="1"/>
  <x:c r="B2563" i="1"/>
  <x:c r="C2563" i="1"/>
  <x:c r="B2564" i="1"/>
  <x:c r="C2564" i="1"/>
  <x:c r="B2565" i="1"/>
  <x:c r="C2565" i="1"/>
  <x:c r="B2566" i="1"/>
  <x:c r="C2566" i="1"/>
  <x:c r="B2567" i="1"/>
  <x:c r="C2567" i="1"/>
  <x:c r="B2568" i="1"/>
  <x:c r="C2568" i="1"/>
  <x:c r="B2569" i="1"/>
  <x:c r="C2569" i="1"/>
  <x:c r="B2570" i="1"/>
  <x:c r="C2570" i="1"/>
  <x:c r="B2571" i="1"/>
  <x:c r="C2571" i="1"/>
  <x:c r="B2572" i="1"/>
  <x:c r="C2572" i="1"/>
  <x:c r="B2573" i="1"/>
  <x:c r="C2573" i="1"/>
  <x:c r="B2574" i="1"/>
  <x:c r="C2574" i="1"/>
  <x:c r="B2575" i="1"/>
  <x:c r="C2575" i="1"/>
  <x:c r="B2576" i="1"/>
  <x:c r="C2576" i="1"/>
  <x:c r="B2577" i="1"/>
  <x:c r="C2577" i="1"/>
  <x:c r="B2578" i="1"/>
  <x:c r="C2578" i="1"/>
  <x:c r="B2579" i="1"/>
  <x:c r="C2579" i="1"/>
  <x:c r="B2580" i="1"/>
  <x:c r="C2580" i="1"/>
  <x:c r="B2581" i="1"/>
  <x:c r="C2581" i="1"/>
  <x:c r="B2582" i="1"/>
  <x:c r="C2582" i="1"/>
  <x:c r="B2583" i="1"/>
  <x:c r="C2583" i="1"/>
  <x:c r="B2584" i="1"/>
  <x:c r="C2584" i="1"/>
  <x:c r="B2585" i="1"/>
  <x:c r="C2585" i="1"/>
  <x:c r="B2586" i="1"/>
  <x:c r="C2586" i="1"/>
  <x:c r="B2587" i="1"/>
  <x:c r="C2587" i="1"/>
  <x:c r="B2588" i="1"/>
  <x:c r="C2588" i="1"/>
  <x:c r="B2589" i="1"/>
  <x:c r="C2589" i="1"/>
  <x:c r="B2590" i="1"/>
  <x:c r="C2590" i="1"/>
  <x:c r="B2591" i="1"/>
  <x:c r="C2591" i="1"/>
  <x:c r="B2592" i="1"/>
  <x:c r="C2592" i="1"/>
  <x:c r="B2593" i="1"/>
  <x:c r="C2593" i="1"/>
  <x:c r="B2594" i="1"/>
  <x:c r="C2594" i="1"/>
  <x:c r="B2595" i="1"/>
  <x:c r="C2595" i="1"/>
  <x:c r="B2596" i="1"/>
  <x:c r="C2596" i="1"/>
  <x:c r="B2597" i="1"/>
  <x:c r="C2597" i="1"/>
  <x:c r="B2598" i="1"/>
  <x:c r="C2598" i="1"/>
  <x:c r="B2599" i="1"/>
  <x:c r="C2599" i="1"/>
  <x:c r="B2600" i="1"/>
  <x:c r="C2600" i="1"/>
  <x:c r="B2601" i="1"/>
  <x:c r="C2601" i="1"/>
  <x:c r="B2602" i="1"/>
  <x:c r="C2602" i="1"/>
  <x:c r="B2603" i="1"/>
  <x:c r="C2603" i="1"/>
  <x:c r="B2604" i="1"/>
  <x:c r="C2604" i="1"/>
  <x:c r="B2605" i="1"/>
  <x:c r="C2605" i="1"/>
  <x:c r="B2606" i="1"/>
  <x:c r="C2606" i="1"/>
  <x:c r="B2607" i="1"/>
  <x:c r="C2607" i="1"/>
  <x:c r="B2608" i="1"/>
  <x:c r="C2608" i="1"/>
  <x:c r="B2609" i="1"/>
  <x:c r="C2609" i="1"/>
  <x:c r="B2610" i="1"/>
  <x:c r="C2610" i="1"/>
  <x:c r="B2611" i="1"/>
  <x:c r="C2611" i="1"/>
  <x:c r="B2612" i="1"/>
  <x:c r="C2612" i="1"/>
  <x:c r="B2613" i="1"/>
  <x:c r="C2613" i="1"/>
  <x:c r="B2614" i="1"/>
  <x:c r="C2614" i="1"/>
  <x:c r="B2615" i="1"/>
  <x:c r="C2615" i="1"/>
  <x:c r="B2616" i="1"/>
  <x:c r="C2616" i="1"/>
  <x:c r="B2617" i="1"/>
  <x:c r="C2617" i="1"/>
  <x:c r="B2618" i="1"/>
  <x:c r="C2618" i="1"/>
  <x:c r="B2619" i="1"/>
  <x:c r="C2619" i="1"/>
  <x:c r="B2620" i="1"/>
  <x:c r="C2620" i="1"/>
  <x:c r="B2621" i="1"/>
  <x:c r="C2621" i="1"/>
  <x:c r="B2622" i="1"/>
  <x:c r="C2622" i="1"/>
  <x:c r="B2623" i="1"/>
  <x:c r="C2623" i="1"/>
  <x:c r="B2624" i="1"/>
  <x:c r="C2624" i="1"/>
  <x:c r="B2625" i="1"/>
  <x:c r="C2625" i="1"/>
  <x:c r="B2626" i="1"/>
  <x:c r="C2626" i="1"/>
  <x:c r="B2627" i="1"/>
  <x:c r="C2627" i="1"/>
  <x:c r="B2628" i="1"/>
  <x:c r="C2628" i="1"/>
  <x:c r="B2629" i="1"/>
  <x:c r="C2629" i="1"/>
  <x:c r="B2630" i="1"/>
  <x:c r="C2630" i="1"/>
  <x:c r="B2631" i="1"/>
  <x:c r="C2631" i="1"/>
  <x:c r="B2632" i="1"/>
  <x:c r="C2632" i="1"/>
  <x:c r="B2633" i="1"/>
  <x:c r="C2633" i="1"/>
  <x:c r="B2634" i="1"/>
  <x:c r="C2634" i="1"/>
  <x:c r="B2635" i="1"/>
  <x:c r="C2635" i="1"/>
  <x:c r="B2636" i="1"/>
  <x:c r="C2636" i="1"/>
  <x:c r="B2637" i="1"/>
  <x:c r="C2637" i="1"/>
  <x:c r="B2638" i="1"/>
  <x:c r="C2638" i="1"/>
  <x:c r="B2639" i="1"/>
  <x:c r="C2639" i="1"/>
  <x:c r="B2640" i="1"/>
  <x:c r="C2640" i="1"/>
  <x:c r="B2641" i="1"/>
  <x:c r="C2641" i="1"/>
  <x:c r="B2642" i="1"/>
  <x:c r="C2642" i="1"/>
  <x:c r="B2643" i="1"/>
  <x:c r="C2643" i="1"/>
  <x:c r="B2644" i="1"/>
  <x:c r="C2644" i="1"/>
  <x:c r="B2645" i="1"/>
  <x:c r="C2645" i="1"/>
  <x:c r="B2646" i="1"/>
  <x:c r="C2646" i="1"/>
  <x:c r="B2647" i="1"/>
  <x:c r="C2647" i="1"/>
  <x:c r="B2648" i="1"/>
  <x:c r="C2648" i="1"/>
  <x:c r="B2649" i="1"/>
  <x:c r="C2649" i="1"/>
  <x:c r="B2650" i="1"/>
  <x:c r="C2650" i="1"/>
  <x:c r="B2651" i="1"/>
  <x:c r="C2651" i="1"/>
  <x:c r="B2652" i="1"/>
  <x:c r="C2652" i="1"/>
  <x:c r="B2653" i="1"/>
  <x:c r="C2653" i="1"/>
  <x:c r="B2654" i="1"/>
  <x:c r="C2654" i="1"/>
  <x:c r="B2655" i="1"/>
  <x:c r="C2655" i="1"/>
  <x:c r="B2656" i="1"/>
  <x:c r="C2656" i="1"/>
  <x:c r="B2657" i="1"/>
  <x:c r="C2657" i="1"/>
  <x:c r="B2658" i="1"/>
  <x:c r="C2658" i="1"/>
  <x:c r="B2659" i="1"/>
  <x:c r="C2659" i="1"/>
  <x:c r="B2660" i="1"/>
  <x:c r="C2660" i="1"/>
  <x:c r="B2661" i="1"/>
  <x:c r="C2661" i="1"/>
  <x:c r="B2662" i="1"/>
  <x:c r="C2662" i="1"/>
  <x:c r="B2663" i="1"/>
  <x:c r="C2663" i="1"/>
  <x:c r="B2664" i="1"/>
  <x:c r="C2664" i="1"/>
  <x:c r="B2665" i="1"/>
  <x:c r="C2665" i="1"/>
  <x:c r="B2666" i="1"/>
  <x:c r="C2666" i="1"/>
  <x:c r="B2667" i="1"/>
  <x:c r="C2667" i="1"/>
  <x:c r="B2668" i="1"/>
  <x:c r="C2668" i="1"/>
  <x:c r="B2669" i="1"/>
  <x:c r="C2669" i="1"/>
  <x:c r="B2670" i="1"/>
  <x:c r="C2670" i="1"/>
  <x:c r="B2671" i="1"/>
  <x:c r="C2671" i="1"/>
  <x:c r="B2672" i="1"/>
  <x:c r="C2672" i="1"/>
  <x:c r="B2673" i="1"/>
  <x:c r="C2673" i="1"/>
  <x:c r="B2674" i="1"/>
  <x:c r="C2674" i="1"/>
  <x:c r="B2675" i="1"/>
  <x:c r="C2675" i="1"/>
  <x:c r="B2676" i="1"/>
  <x:c r="C2676" i="1"/>
  <x:c r="B2677" i="1"/>
  <x:c r="C2677" i="1"/>
  <x:c r="B2678" i="1"/>
  <x:c r="C2678" i="1"/>
  <x:c r="B2679" i="1"/>
  <x:c r="C2679" i="1"/>
  <x:c r="B2680" i="1"/>
  <x:c r="C2680" i="1"/>
  <x:c r="B2681" i="1"/>
  <x:c r="C2681" i="1"/>
  <x:c r="B2682" i="1"/>
  <x:c r="C2682" i="1"/>
  <x:c r="B2683" i="1"/>
  <x:c r="C2683" i="1"/>
  <x:c r="B2684" i="1"/>
  <x:c r="C2684" i="1"/>
  <x:c r="B2685" i="1"/>
  <x:c r="C2685" i="1"/>
  <x:c r="B2686" i="1"/>
  <x:c r="C2686" i="1"/>
  <x:c r="B2687" i="1"/>
  <x:c r="C2687" i="1"/>
  <x:c r="B2688" i="1"/>
  <x:c r="C2688" i="1"/>
  <x:c r="B2689" i="1"/>
  <x:c r="C2689" i="1"/>
  <x:c r="B2690" i="1"/>
  <x:c r="C2690" i="1"/>
  <x:c r="B2691" i="1"/>
  <x:c r="C2691" i="1"/>
  <x:c r="B2692" i="1"/>
  <x:c r="C2692" i="1"/>
  <x:c r="B2693" i="1"/>
  <x:c r="C2693" i="1"/>
  <x:c r="B2694" i="1"/>
  <x:c r="C2694" i="1"/>
  <x:c r="B2695" i="1"/>
  <x:c r="C2695" i="1"/>
  <x:c r="B2696" i="1"/>
  <x:c r="C2696" i="1"/>
  <x:c r="B2697" i="1"/>
  <x:c r="C2697" i="1"/>
  <x:c r="B2698" i="1"/>
  <x:c r="C2698" i="1"/>
  <x:c r="B2699" i="1"/>
  <x:c r="C2699" i="1"/>
  <x:c r="B2700" i="1"/>
  <x:c r="C2700" i="1"/>
  <x:c r="B2701" i="1"/>
  <x:c r="C2701" i="1"/>
  <x:c r="B2702" i="1"/>
  <x:c r="C2702" i="1"/>
  <x:c r="B2703" i="1"/>
  <x:c r="C2703" i="1"/>
  <x:c r="B2704" i="1"/>
  <x:c r="C2704" i="1"/>
  <x:c r="B2705" i="1"/>
  <x:c r="C2705" i="1"/>
  <x:c r="B2706" i="1"/>
  <x:c r="C2706" i="1"/>
  <x:c r="B2707" i="1"/>
  <x:c r="C2707" i="1"/>
  <x:c r="B2708" i="1"/>
  <x:c r="C2708" i="1"/>
  <x:c r="B2709" i="1"/>
  <x:c r="C2709" i="1"/>
  <x:c r="B2710" i="1"/>
  <x:c r="C2710" i="1"/>
  <x:c r="B2711" i="1"/>
  <x:c r="C2711" i="1"/>
  <x:c r="B2712" i="1"/>
  <x:c r="C2712" i="1"/>
  <x:c r="B2713" i="1"/>
  <x:c r="C2713" i="1"/>
  <x:c r="B2714" i="1"/>
  <x:c r="C2714" i="1"/>
  <x:c r="B2715" i="1"/>
  <x:c r="C2715" i="1"/>
  <x:c r="B2716" i="1"/>
  <x:c r="C2716" i="1"/>
  <x:c r="B2717" i="1"/>
  <x:c r="C2717" i="1"/>
  <x:c r="B2718" i="1"/>
  <x:c r="C2718" i="1"/>
  <x:c r="B2719" i="1"/>
  <x:c r="C2719" i="1"/>
  <x:c r="B2720" i="1"/>
  <x:c r="C2720" i="1"/>
  <x:c r="B2721" i="1"/>
  <x:c r="C2721" i="1"/>
  <x:c r="B2722" i="1"/>
  <x:c r="C2722" i="1"/>
  <x:c r="B2723" i="1"/>
  <x:c r="C2723" i="1"/>
  <x:c r="B2724" i="1"/>
  <x:c r="C2724" i="1"/>
  <x:c r="B2725" i="1"/>
  <x:c r="C2725" i="1"/>
  <x:c r="B2726" i="1"/>
  <x:c r="C2726" i="1"/>
  <x:c r="B2727" i="1"/>
  <x:c r="C2727" i="1"/>
  <x:c r="B2728" i="1"/>
  <x:c r="C2728" i="1"/>
  <x:c r="B2729" i="1"/>
  <x:c r="C2729" i="1"/>
  <x:c r="B2730" i="1"/>
  <x:c r="C2730" i="1"/>
  <x:c r="B2731" i="1"/>
  <x:c r="C2731" i="1"/>
  <x:c r="B2732" i="1"/>
  <x:c r="C2732" i="1"/>
  <x:c r="B2733" i="1"/>
  <x:c r="C2733" i="1"/>
  <x:c r="B2734" i="1"/>
  <x:c r="C2734" i="1"/>
  <x:c r="B2735" i="1"/>
  <x:c r="C2735" i="1"/>
  <x:c r="B2736" i="1"/>
  <x:c r="C2736" i="1"/>
  <x:c r="B2737" i="1"/>
  <x:c r="C2737" i="1"/>
  <x:c r="B2738" i="1"/>
  <x:c r="C2738" i="1"/>
  <x:c r="B2739" i="1"/>
  <x:c r="C2739" i="1"/>
  <x:c r="B2740" i="1"/>
  <x:c r="C2740" i="1"/>
  <x:c r="B2741" i="1"/>
  <x:c r="C2741" i="1"/>
  <x:c r="B2742" i="1"/>
  <x:c r="C2742" i="1"/>
  <x:c r="B2743" i="1"/>
  <x:c r="C2743" i="1"/>
  <x:c r="B2744" i="1"/>
  <x:c r="C2744" i="1"/>
  <x:c r="B2745" i="1"/>
  <x:c r="C2745" i="1"/>
  <x:c r="B2746" i="1"/>
  <x:c r="C2746" i="1"/>
  <x:c r="B2747" i="1"/>
  <x:c r="C2747" i="1"/>
  <x:c r="B2748" i="1"/>
  <x:c r="C2748" i="1"/>
  <x:c r="B2749" i="1"/>
  <x:c r="C2749" i="1"/>
  <x:c r="B2750" i="1"/>
  <x:c r="C2750" i="1"/>
  <x:c r="B2751" i="1"/>
  <x:c r="C2751" i="1"/>
  <x:c r="B2752" i="1"/>
  <x:c r="C2752" i="1"/>
  <x:c r="B2753" i="1"/>
  <x:c r="C2753" i="1"/>
  <x:c r="B2754" i="1"/>
  <x:c r="C2754" i="1"/>
  <x:c r="B2755" i="1"/>
  <x:c r="C2755" i="1"/>
  <x:c r="B2756" i="1"/>
  <x:c r="C2756" i="1"/>
  <x:c r="B2757" i="1"/>
  <x:c r="C2757" i="1"/>
  <x:c r="B2758" i="1"/>
  <x:c r="C2758" i="1"/>
  <x:c r="B2759" i="1"/>
  <x:c r="C2759" i="1"/>
  <x:c r="B2760" i="1"/>
  <x:c r="C2760" i="1"/>
  <x:c r="B2761" i="1"/>
  <x:c r="C2761" i="1"/>
  <x:c r="B2762" i="1"/>
  <x:c r="C2762" i="1"/>
  <x:c r="B2763" i="1"/>
  <x:c r="C2763" i="1"/>
  <x:c r="B2764" i="1"/>
  <x:c r="C2764" i="1"/>
  <x:c r="B2765" i="1"/>
  <x:c r="C2765" i="1"/>
  <x:c r="B2766" i="1"/>
  <x:c r="C2766" i="1"/>
  <x:c r="B2767" i="1"/>
  <x:c r="C2767" i="1"/>
  <x:c r="B2768" i="1"/>
  <x:c r="C2768" i="1"/>
  <x:c r="B2769" i="1"/>
  <x:c r="C2769" i="1"/>
  <x:c r="B2770" i="1"/>
  <x:c r="C2770" i="1"/>
  <x:c r="B2771" i="1"/>
  <x:c r="C2771" i="1"/>
  <x:c r="B2772" i="1"/>
  <x:c r="C2772" i="1"/>
  <x:c r="B2773" i="1"/>
  <x:c r="C2773" i="1"/>
  <x:c r="B2774" i="1"/>
  <x:c r="C2774" i="1"/>
  <x:c r="B2775" i="1"/>
  <x:c r="C2775" i="1"/>
  <x:c r="B2776" i="1"/>
  <x:c r="C2776" i="1"/>
  <x:c r="B2777" i="1"/>
  <x:c r="C2777" i="1"/>
  <x:c r="B2778" i="1"/>
  <x:c r="C2778" i="1"/>
  <x:c r="B2779" i="1"/>
  <x:c r="C2779" i="1"/>
  <x:c r="B2780" i="1"/>
  <x:c r="C2780" i="1"/>
  <x:c r="B2781" i="1"/>
  <x:c r="C2781" i="1"/>
  <x:c r="B2782" i="1"/>
  <x:c r="C2782" i="1"/>
  <x:c r="B2783" i="1"/>
  <x:c r="C2783" i="1"/>
  <x:c r="B2784" i="1"/>
  <x:c r="C2784" i="1"/>
  <x:c r="B2785" i="1"/>
  <x:c r="C2785" i="1"/>
  <x:c r="B2786" i="1"/>
  <x:c r="C2786" i="1"/>
  <x:c r="B2787" i="1"/>
  <x:c r="C2787" i="1"/>
  <x:c r="B2788" i="1"/>
  <x:c r="C2788" i="1"/>
  <x:c r="B2789" i="1"/>
  <x:c r="C2789" i="1"/>
  <x:c r="B2790" i="1"/>
  <x:c r="C2790" i="1"/>
  <x:c r="B2791" i="1"/>
  <x:c r="C2791" i="1"/>
  <x:c r="B2792" i="1"/>
  <x:c r="C2792" i="1"/>
  <x:c r="B2793" i="1"/>
  <x:c r="C2793" i="1"/>
  <x:c r="B2794" i="1"/>
  <x:c r="C2794" i="1"/>
  <x:c r="B2795" i="1"/>
  <x:c r="C2795" i="1"/>
  <x:c r="B2796" i="1"/>
  <x:c r="C2796" i="1"/>
  <x:c r="B2797" i="1"/>
  <x:c r="C2797" i="1"/>
  <x:c r="B2798" i="1"/>
  <x:c r="C2798" i="1"/>
  <x:c r="B2799" i="1"/>
  <x:c r="C2799" i="1"/>
  <x:c r="B2800" i="1"/>
  <x:c r="C2800" i="1"/>
  <x:c r="B2801" i="1"/>
  <x:c r="C2801" i="1"/>
  <x:c r="B2802" i="1"/>
  <x:c r="C2802" i="1"/>
  <x:c r="B2803" i="1"/>
  <x:c r="C2803" i="1"/>
  <x:c r="B2804" i="1"/>
  <x:c r="C2804" i="1"/>
  <x:c r="B2805" i="1"/>
  <x:c r="C2805" i="1"/>
  <x:c r="B2806" i="1"/>
  <x:c r="C2806" i="1"/>
  <x:c r="B2807" i="1"/>
  <x:c r="C2807" i="1"/>
  <x:c r="B2808" i="1"/>
  <x:c r="C2808" i="1"/>
  <x:c r="B2809" i="1"/>
  <x:c r="C2809" i="1"/>
  <x:c r="B2810" i="1"/>
  <x:c r="C2810" i="1"/>
  <x:c r="B2811" i="1"/>
  <x:c r="C2811" i="1"/>
  <x:c r="B2812" i="1"/>
  <x:c r="C2812" i="1"/>
  <x:c r="B2813" i="1"/>
  <x:c r="C2813" i="1"/>
  <x:c r="B2814" i="1"/>
  <x:c r="C2814" i="1"/>
  <x:c r="B2815" i="1"/>
  <x:c r="C2815" i="1"/>
  <x:c r="B2816" i="1"/>
  <x:c r="C2816" i="1"/>
  <x:c r="B2817" i="1"/>
  <x:c r="C2817" i="1"/>
  <x:c r="B2818" i="1"/>
  <x:c r="C2818" i="1"/>
  <x:c r="B2819" i="1"/>
  <x:c r="C2819" i="1"/>
  <x:c r="B2820" i="1"/>
  <x:c r="C2820" i="1"/>
  <x:c r="B2821" i="1"/>
  <x:c r="C2821" i="1"/>
  <x:c r="B2822" i="1"/>
  <x:c r="C2822" i="1"/>
  <x:c r="B2823" i="1"/>
  <x:c r="C2823" i="1"/>
  <x:c r="B2824" i="1"/>
  <x:c r="C2824" i="1"/>
  <x:c r="B2825" i="1"/>
  <x:c r="C2825" i="1"/>
  <x:c r="B2826" i="1"/>
  <x:c r="C2826" i="1"/>
  <x:c r="B2827" i="1"/>
  <x:c r="C2827" i="1"/>
  <x:c r="B2828" i="1"/>
  <x:c r="C2828" i="1"/>
  <x:c r="B2829" i="1"/>
  <x:c r="C2829" i="1"/>
  <x:c r="B2830" i="1"/>
  <x:c r="C2830" i="1"/>
  <x:c r="B2831" i="1"/>
  <x:c r="C2831" i="1"/>
  <x:c r="B2832" i="1"/>
  <x:c r="C2832" i="1"/>
  <x:c r="B2833" i="1"/>
  <x:c r="C2833" i="1"/>
  <x:c r="B2834" i="1"/>
  <x:c r="C2834" i="1"/>
  <x:c r="B2835" i="1"/>
  <x:c r="C2835" i="1"/>
  <x:c r="B2836" i="1"/>
  <x:c r="C2836" i="1"/>
  <x:c r="B2837" i="1"/>
  <x:c r="C2837" i="1"/>
  <x:c r="B2838" i="1"/>
  <x:c r="C2838" i="1"/>
  <x:c r="B2839" i="1"/>
  <x:c r="C2839" i="1"/>
  <x:c r="B2840" i="1"/>
  <x:c r="C2840" i="1"/>
  <x:c r="B2841" i="1"/>
  <x:c r="C2841" i="1"/>
  <x:c r="B2842" i="1"/>
  <x:c r="C2842" i="1"/>
  <x:c r="B2843" i="1"/>
  <x:c r="C2843" i="1"/>
  <x:c r="B2844" i="1"/>
  <x:c r="C2844" i="1"/>
  <x:c r="B2845" i="1"/>
  <x:c r="C2845" i="1"/>
  <x:c r="B2846" i="1"/>
  <x:c r="C2846" i="1"/>
  <x:c r="B2847" i="1"/>
  <x:c r="C2847" i="1"/>
  <x:c r="B2848" i="1"/>
  <x:c r="C2848" i="1"/>
  <x:c r="B2849" i="1"/>
  <x:c r="C2849" i="1"/>
  <x:c r="B2850" i="1"/>
  <x:c r="C2850" i="1"/>
  <x:c r="B2851" i="1"/>
  <x:c r="C2851" i="1"/>
  <x:c r="B2852" i="1"/>
  <x:c r="C2852" i="1"/>
  <x:c r="B2853" i="1"/>
  <x:c r="C2853" i="1"/>
  <x:c r="B2854" i="1"/>
  <x:c r="C2854" i="1"/>
  <x:c r="B2855" i="1"/>
  <x:c r="C2855" i="1"/>
  <x:c r="B2856" i="1"/>
  <x:c r="C2856" i="1"/>
  <x:c r="B2857" i="1"/>
  <x:c r="C2857" i="1"/>
  <x:c r="B2858" i="1"/>
  <x:c r="C2858" i="1"/>
  <x:c r="B2859" i="1"/>
  <x:c r="C2859" i="1"/>
  <x:c r="B2860" i="1"/>
  <x:c r="C2860" i="1"/>
  <x:c r="B2861" i="1"/>
  <x:c r="C2861" i="1"/>
  <x:c r="B2862" i="1"/>
  <x:c r="C2862" i="1"/>
  <x:c r="B2863" i="1"/>
  <x:c r="C2863" i="1"/>
  <x:c r="B2864" i="1"/>
  <x:c r="C2864" i="1"/>
  <x:c r="B2865" i="1"/>
  <x:c r="C2865" i="1"/>
  <x:c r="B2866" i="1"/>
  <x:c r="C2866" i="1"/>
  <x:c r="B2867" i="1"/>
  <x:c r="C2867" i="1"/>
  <x:c r="B2868" i="1"/>
  <x:c r="C2868" i="1"/>
  <x:c r="B2869" i="1"/>
  <x:c r="C2869" i="1"/>
  <x:c r="B2870" i="1"/>
  <x:c r="C2870" i="1"/>
  <x:c r="B2871" i="1"/>
  <x:c r="C2871" i="1"/>
  <x:c r="B2872" i="1"/>
  <x:c r="C2872" i="1"/>
  <x:c r="B2873" i="1"/>
  <x:c r="C2873" i="1"/>
  <x:c r="B2874" i="1"/>
  <x:c r="C2874" i="1"/>
  <x:c r="B2875" i="1"/>
  <x:c r="C2875" i="1"/>
  <x:c r="B2876" i="1"/>
  <x:c r="C2876" i="1"/>
  <x:c r="B2877" i="1"/>
  <x:c r="C2877" i="1"/>
  <x:c r="B2878" i="1"/>
  <x:c r="C2878" i="1"/>
  <x:c r="B2879" i="1"/>
  <x:c r="C2879" i="1"/>
  <x:c r="B2880" i="1"/>
  <x:c r="C2880" i="1"/>
  <x:c r="B2881" i="1"/>
  <x:c r="C2881" i="1"/>
  <x:c r="B2882" i="1"/>
  <x:c r="C2882" i="1"/>
  <x:c r="B2883" i="1"/>
  <x:c r="C2883" i="1"/>
  <x:c r="B2884" i="1"/>
  <x:c r="C2884" i="1"/>
  <x:c r="B2885" i="1"/>
  <x:c r="C2885" i="1"/>
  <x:c r="B2886" i="1"/>
  <x:c r="C2886" i="1"/>
  <x:c r="B2887" i="1"/>
  <x:c r="C2887" i="1"/>
  <x:c r="B2888" i="1"/>
  <x:c r="C2888" i="1"/>
  <x:c r="B2889" i="1"/>
  <x:c r="C2889" i="1"/>
  <x:c r="B2890" i="1"/>
  <x:c r="C2890" i="1"/>
  <x:c r="B2891" i="1"/>
  <x:c r="C2891" i="1"/>
  <x:c r="B2892" i="1"/>
  <x:c r="C2892" i="1"/>
  <x:c r="B2893" i="1"/>
  <x:c r="C2893" i="1"/>
  <x:c r="B2894" i="1"/>
  <x:c r="C2894" i="1"/>
  <x:c r="B2895" i="1"/>
  <x:c r="C2895" i="1"/>
  <x:c r="B2896" i="1"/>
  <x:c r="C2896" i="1"/>
  <x:c r="B2897" i="1"/>
  <x:c r="C2897" i="1"/>
  <x:c r="B2898" i="1"/>
  <x:c r="C2898" i="1"/>
  <x:c r="B2899" i="1"/>
  <x:c r="C2899" i="1"/>
  <x:c r="B2900" i="1"/>
  <x:c r="C2900" i="1"/>
  <x:c r="B2901" i="1"/>
  <x:c r="C2901" i="1"/>
  <x:c r="B2902" i="1"/>
  <x:c r="C2902" i="1"/>
  <x:c r="B2903" i="1"/>
  <x:c r="C2903" i="1"/>
  <x:c r="B2904" i="1"/>
  <x:c r="C2904" i="1"/>
  <x:c r="B2905" i="1"/>
  <x:c r="C2905" i="1"/>
  <x:c r="B2906" i="1"/>
  <x:c r="C2906" i="1"/>
  <x:c r="B2907" i="1"/>
  <x:c r="C2907" i="1"/>
  <x:c r="B2908" i="1"/>
  <x:c r="C2908" i="1"/>
  <x:c r="B2909" i="1"/>
  <x:c r="C2909" i="1"/>
  <x:c r="B2910" i="1"/>
  <x:c r="C2910" i="1"/>
  <x:c r="B2911" i="1"/>
  <x:c r="C2911" i="1"/>
  <x:c r="B2912" i="1"/>
  <x:c r="C2912" i="1"/>
  <x:c r="B2913" i="1"/>
  <x:c r="C2913" i="1"/>
  <x:c r="B2914" i="1"/>
  <x:c r="C2914" i="1"/>
  <x:c r="B2915" i="1"/>
  <x:c r="C2915" i="1"/>
  <x:c r="B2916" i="1"/>
  <x:c r="C2916" i="1"/>
  <x:c r="B2917" i="1"/>
  <x:c r="C2917" i="1"/>
  <x:c r="B2918" i="1"/>
  <x:c r="C2918" i="1"/>
  <x:c r="B2919" i="1"/>
  <x:c r="C2919" i="1"/>
  <x:c r="B2920" i="1"/>
  <x:c r="C2920" i="1"/>
  <x:c r="B2921" i="1"/>
  <x:c r="C2921" i="1"/>
  <x:c r="B2922" i="1"/>
  <x:c r="C2922" i="1"/>
  <x:c r="B2923" i="1"/>
  <x:c r="C2923" i="1"/>
  <x:c r="B2924" i="1"/>
  <x:c r="C2924" i="1"/>
  <x:c r="B2925" i="1"/>
  <x:c r="C2925" i="1"/>
  <x:c r="B2926" i="1"/>
  <x:c r="C2926" i="1"/>
  <x:c r="B2927" i="1"/>
  <x:c r="C2927" i="1"/>
  <x:c r="B2928" i="1"/>
  <x:c r="C2928" i="1"/>
  <x:c r="B2929" i="1"/>
  <x:c r="C2929" i="1"/>
  <x:c r="B2930" i="1"/>
  <x:c r="C2930" i="1"/>
  <x:c r="B2931" i="1"/>
  <x:c r="C2931" i="1"/>
  <x:c r="B2932" i="1"/>
  <x:c r="C2932" i="1"/>
  <x:c r="B2933" i="1"/>
  <x:c r="C2933" i="1"/>
  <x:c r="B2934" i="1"/>
  <x:c r="C2934" i="1"/>
  <x:c r="B2935" i="1"/>
  <x:c r="C2935" i="1"/>
  <x:c r="B2936" i="1"/>
  <x:c r="C2936" i="1"/>
  <x:c r="B2937" i="1"/>
  <x:c r="C2937" i="1"/>
  <x:c r="B2938" i="1"/>
  <x:c r="C2938" i="1"/>
  <x:c r="B2939" i="1"/>
  <x:c r="C2939" i="1"/>
  <x:c r="B2940" i="1"/>
  <x:c r="C2940" i="1"/>
  <x:c r="B2941" i="1"/>
  <x:c r="C2941" i="1"/>
  <x:c r="B2942" i="1"/>
  <x:c r="C2942" i="1"/>
  <x:c r="B2943" i="1"/>
  <x:c r="C2943" i="1"/>
  <x:c r="B2944" i="1"/>
  <x:c r="C2944" i="1"/>
  <x:c r="B2945" i="1"/>
  <x:c r="C2945" i="1"/>
  <x:c r="B2946" i="1"/>
  <x:c r="C2946" i="1"/>
  <x:c r="B2947" i="1"/>
  <x:c r="C2947" i="1"/>
  <x:c r="B2948" i="1"/>
  <x:c r="C2948" i="1"/>
  <x:c r="B2949" i="1"/>
  <x:c r="C2949" i="1"/>
  <x:c r="B2950" i="1"/>
  <x:c r="C2950" i="1"/>
  <x:c r="B2951" i="1"/>
  <x:c r="C2951" i="1"/>
  <x:c r="B2952" i="1"/>
  <x:c r="C2952" i="1"/>
  <x:c r="B2953" i="1"/>
  <x:c r="C2953" i="1"/>
  <x:c r="B2954" i="1"/>
  <x:c r="C2954" i="1"/>
  <x:c r="B2955" i="1"/>
  <x:c r="C2955" i="1"/>
  <x:c r="B2956" i="1"/>
  <x:c r="C2956" i="1"/>
  <x:c r="B2957" i="1"/>
  <x:c r="C2957" i="1"/>
  <x:c r="B2958" i="1"/>
  <x:c r="C2958" i="1"/>
  <x:c r="B2959" i="1"/>
  <x:c r="C2959" i="1"/>
  <x:c r="B2960" i="1"/>
  <x:c r="C2960" i="1"/>
  <x:c r="B2961" i="1"/>
  <x:c r="C2961" i="1"/>
  <x:c r="B2962" i="1"/>
  <x:c r="C2962" i="1"/>
  <x:c r="B2963" i="1"/>
  <x:c r="C2963" i="1"/>
  <x:c r="B2964" i="1"/>
  <x:c r="C2964" i="1"/>
  <x:c r="B2965" i="1"/>
  <x:c r="C2965" i="1"/>
  <x:c r="B2966" i="1"/>
  <x:c r="C2966" i="1"/>
  <x:c r="B2967" i="1"/>
  <x:c r="C2967" i="1"/>
  <x:c r="B2968" i="1"/>
  <x:c r="C2968" i="1"/>
  <x:c r="B2969" i="1"/>
  <x:c r="C2969" i="1"/>
  <x:c r="B2970" i="1"/>
  <x:c r="C2970" i="1"/>
  <x:c r="B2971" i="1"/>
  <x:c r="B2972" i="1"/>
  <x:c r="C2972" i="1"/>
  <x:c r="B2973" i="1"/>
  <x:c r="C2973" i="1"/>
  <x:c r="B2974" i="1"/>
  <x:c r="C2974" i="1"/>
  <x:c r="B2975" i="1"/>
  <x:c r="C2975" i="1"/>
  <x:c r="B2976" i="1"/>
  <x:c r="C2976" i="1"/>
  <x:c r="B2977" i="1"/>
  <x:c r="C2977" i="1"/>
  <x:c r="B2978" i="1"/>
  <x:c r="C2978" i="1"/>
  <x:c r="B2979" i="1"/>
  <x:c r="C2979" i="1"/>
  <x:c r="B2980" i="1"/>
  <x:c r="C2980" i="1"/>
  <x:c r="B2981" i="1"/>
  <x:c r="C2981" i="1"/>
  <x:c r="B2982" i="1"/>
  <x:c r="C2982" i="1"/>
  <x:c r="B2983" i="1"/>
  <x:c r="C2983" i="1"/>
  <x:c r="B2984" i="1"/>
  <x:c r="C2984" i="1"/>
  <x:c r="B2985" i="1"/>
  <x:c r="C2985" i="1"/>
  <x:c r="B2986" i="1"/>
  <x:c r="C2986" i="1"/>
  <x:c r="B2987" i="1"/>
  <x:c r="C2987" i="1"/>
  <x:c r="B2988" i="1"/>
  <x:c r="C2988" i="1"/>
  <x:c r="B2989" i="1"/>
  <x:c r="C2989" i="1"/>
  <x:c r="B2990" i="1"/>
  <x:c r="C2990" i="1"/>
  <x:c r="B2991" i="1"/>
  <x:c r="C2991" i="1"/>
  <x:c r="B2992" i="1"/>
  <x:c r="C2992" i="1"/>
  <x:c r="B2993" i="1"/>
  <x:c r="C2993" i="1"/>
  <x:c r="B2994" i="1"/>
  <x:c r="C2994" i="1"/>
  <x:c r="B2995" i="1"/>
  <x:c r="C2995" i="1"/>
  <x:c r="B2996" i="1"/>
  <x:c r="C2996" i="1"/>
  <x:c r="B2997" i="1"/>
  <x:c r="C2997" i="1"/>
  <x:c r="B2998" i="1"/>
  <x:c r="C2998" i="1"/>
  <x:c r="B2999" i="1"/>
  <x:c r="C2999" i="1"/>
  <x:c r="B3000" i="1"/>
  <x:c r="C3000" i="1"/>
  <x:c r="B3001" i="1"/>
  <x:c r="C3001" i="1"/>
  <x:c r="B3002" i="1"/>
  <x:c r="C3002" i="1"/>
  <x:c r="B3003" i="1"/>
  <x:c r="C3003" i="1"/>
  <x:c r="B3004" i="1"/>
  <x:c r="C3004" i="1"/>
  <x:c r="B3005" i="1"/>
  <x:c r="C3005" i="1"/>
  <x:c r="B3006" i="1"/>
  <x:c r="C3006" i="1"/>
  <x:c r="B3007" i="1"/>
  <x:c r="C3007" i="1"/>
  <x:c r="B3008" i="1"/>
  <x:c r="C3008" i="1"/>
  <x:c r="B3009" i="1"/>
  <x:c r="C3009" i="1"/>
  <x:c r="B3010" i="1"/>
  <x:c r="C3010" i="1"/>
  <x:c r="B3011" i="1"/>
  <x:c r="C3011" i="1"/>
  <x:c r="B3012" i="1"/>
  <x:c r="C3012" i="1"/>
  <x:c r="B3013" i="1"/>
  <x:c r="C3013" i="1"/>
  <x:c r="B3014" i="1"/>
  <x:c r="C3014" i="1"/>
  <x:c r="B3015" i="1"/>
  <x:c r="C3015" i="1"/>
  <x:c r="B3016" i="1"/>
  <x:c r="C3016" i="1"/>
  <x:c r="B3017" i="1"/>
  <x:c r="C3017" i="1"/>
  <x:c r="B3018" i="1"/>
  <x:c r="C3018" i="1"/>
  <x:c r="B3019" i="1"/>
  <x:c r="C3019" i="1"/>
  <x:c r="B3020" i="1"/>
  <x:c r="C3020" i="1"/>
  <x:c r="B3021" i="1"/>
  <x:c r="C3021" i="1"/>
  <x:c r="B3022" i="1"/>
  <x:c r="C3022" i="1"/>
  <x:c r="B3023" i="1"/>
  <x:c r="C3023" i="1"/>
  <x:c r="B3024" i="1"/>
  <x:c r="C3024" i="1"/>
  <x:c r="B3025" i="1"/>
  <x:c r="C3025" i="1"/>
  <x:c r="B3026" i="1"/>
  <x:c r="C3026" i="1"/>
  <x:c r="B3027" i="1"/>
  <x:c r="C3027" i="1"/>
  <x:c r="B3028" i="1"/>
  <x:c r="C3028" i="1"/>
  <x:c r="B3029" i="1"/>
  <x:c r="C3029" i="1"/>
  <x:c r="B3030" i="1"/>
  <x:c r="C3030" i="1"/>
  <x:c r="B3031" i="1"/>
  <x:c r="C3031" i="1"/>
  <x:c r="B3032" i="1"/>
  <x:c r="C3032" i="1"/>
  <x:c r="B3033" i="1"/>
  <x:c r="C3033" i="1"/>
  <x:c r="B3034" i="1"/>
  <x:c r="C3034" i="1"/>
  <x:c r="B3035" i="1"/>
  <x:c r="C3035" i="1"/>
  <x:c r="B3036" i="1"/>
  <x:c r="C3036" i="1"/>
  <x:c r="B3037" i="1"/>
  <x:c r="C3037" i="1"/>
  <x:c r="B3038" i="1"/>
  <x:c r="C3038" i="1"/>
  <x:c r="B3039" i="1"/>
  <x:c r="C3039" i="1"/>
  <x:c r="B3040" i="1"/>
  <x:c r="C3040" i="1"/>
  <x:c r="B3041" i="1"/>
  <x:c r="C3041" i="1"/>
  <x:c r="B3042" i="1"/>
  <x:c r="C3042" i="1"/>
  <x:c r="B3043" i="1"/>
  <x:c r="C3043" i="1"/>
  <x:c r="B3044" i="1"/>
  <x:c r="C3044" i="1"/>
  <x:c r="B3045" i="1"/>
  <x:c r="C3045" i="1"/>
  <x:c r="B3046" i="1"/>
  <x:c r="C3046" i="1"/>
  <x:c r="B3047" i="1"/>
  <x:c r="C3047" i="1"/>
  <x:c r="B3048" i="1"/>
  <x:c r="C3048" i="1"/>
  <x:c r="B3049" i="1"/>
  <x:c r="C3049" i="1"/>
  <x:c r="B3050" i="1"/>
  <x:c r="C3050" i="1"/>
  <x:c r="B3051" i="1"/>
  <x:c r="C3051" i="1"/>
  <x:c r="B3052" i="1"/>
  <x:c r="C3052" i="1"/>
  <x:c r="B3053" i="1"/>
  <x:c r="C3053" i="1"/>
  <x:c r="B3054" i="1"/>
  <x:c r="C3054" i="1"/>
  <x:c r="B3055" i="1"/>
  <x:c r="C3055" i="1"/>
  <x:c r="B3056" i="1"/>
  <x:c r="C3056" i="1"/>
  <x:c r="B3057" i="1"/>
  <x:c r="C3057" i="1"/>
  <x:c r="B3058" i="1"/>
  <x:c r="C3058" i="1"/>
  <x:c r="B3059" i="1"/>
  <x:c r="C3059" i="1"/>
  <x:c r="B3060" i="1"/>
  <x:c r="C3060" i="1"/>
  <x:c r="B3061" i="1"/>
  <x:c r="C3061" i="1"/>
  <x:c r="B3062" i="1"/>
  <x:c r="C3062" i="1"/>
  <x:c r="B3063" i="1"/>
  <x:c r="C3063" i="1"/>
  <x:c r="B3064" i="1"/>
  <x:c r="C3064" i="1"/>
  <x:c r="B3065" i="1"/>
  <x:c r="C3065" i="1"/>
  <x:c r="B3066" i="1"/>
  <x:c r="C3066" i="1"/>
  <x:c r="B3067" i="1"/>
  <x:c r="C3067" i="1"/>
  <x:c r="B3068" i="1"/>
  <x:c r="C3068" i="1"/>
  <x:c r="B3069" i="1"/>
  <x:c r="C3069" i="1"/>
  <x:c r="B3070" i="1"/>
  <x:c r="C3070" i="1"/>
  <x:c r="B3071" i="1"/>
  <x:c r="C3071" i="1"/>
  <x:c r="B3072" i="1"/>
  <x:c r="C3072" i="1"/>
  <x:c r="B3073" i="1"/>
  <x:c r="C3073" i="1"/>
  <x:c r="B3074" i="1"/>
  <x:c r="C3074" i="1"/>
  <x:c r="B3075" i="1"/>
  <x:c r="C3075" i="1"/>
  <x:c r="B3076" i="1"/>
  <x:c r="C3076" i="1"/>
  <x:c r="B3077" i="1"/>
  <x:c r="C3077" i="1"/>
  <x:c r="B3078" i="1"/>
  <x:c r="C3078" i="1"/>
  <x:c r="B3079" i="1"/>
  <x:c r="C3079" i="1"/>
  <x:c r="B3080" i="1"/>
  <x:c r="C3080" i="1"/>
  <x:c r="B3081" i="1"/>
  <x:c r="C3081" i="1"/>
  <x:c r="B3082" i="1"/>
  <x:c r="C3082" i="1"/>
  <x:c r="B3083" i="1"/>
  <x:c r="C3083" i="1"/>
  <x:c r="B3084" i="1"/>
  <x:c r="C3084" i="1"/>
  <x:c r="B3085" i="1"/>
  <x:c r="C3085" i="1"/>
  <x:c r="B3086" i="1"/>
  <x:c r="C3086" i="1"/>
  <x:c r="B3087" i="1"/>
  <x:c r="C3087" i="1"/>
  <x:c r="B3088" i="1"/>
  <x:c r="C3088" i="1"/>
  <x:c r="B3089" i="1"/>
  <x:c r="C3089" i="1"/>
  <x:c r="B3090" i="1"/>
  <x:c r="C3090" i="1"/>
  <x:c r="B3091" i="1"/>
  <x:c r="C3091" i="1"/>
  <x:c r="B3092" i="1"/>
  <x:c r="C3092" i="1"/>
  <x:c r="B3093" i="1"/>
  <x:c r="C3093" i="1"/>
  <x:c r="B3094" i="1"/>
  <x:c r="C3094" i="1"/>
  <x:c r="B3095" i="1"/>
  <x:c r="C3095" i="1"/>
  <x:c r="B3096" i="1"/>
  <x:c r="C3096" i="1"/>
  <x:c r="B3097" i="1"/>
  <x:c r="C3097" i="1"/>
  <x:c r="B3098" i="1"/>
  <x:c r="C3098" i="1"/>
  <x:c r="B3099" i="1"/>
  <x:c r="C3099" i="1"/>
  <x:c r="B3100" i="1"/>
  <x:c r="C3100" i="1"/>
  <x:c r="B3101" i="1"/>
  <x:c r="C3101" i="1"/>
  <x:c r="B3102" i="1"/>
  <x:c r="C3102" i="1"/>
  <x:c r="B3103" i="1"/>
  <x:c r="C3103" i="1"/>
  <x:c r="B3104" i="1"/>
  <x:c r="C3104" i="1"/>
  <x:c r="B3105" i="1"/>
  <x:c r="C3105" i="1"/>
  <x:c r="B3106" i="1"/>
  <x:c r="C3106" i="1"/>
  <x:c r="B3107" i="1"/>
  <x:c r="C3107" i="1"/>
  <x:c r="B3108" i="1"/>
  <x:c r="C3108" i="1"/>
  <x:c r="B3109" i="1"/>
  <x:c r="C3109" i="1"/>
  <x:c r="B3110" i="1"/>
  <x:c r="C3110" i="1"/>
  <x:c r="B3111" i="1"/>
  <x:c r="C3111" i="1"/>
  <x:c r="B3112" i="1"/>
  <x:c r="C3112" i="1"/>
  <x:c r="B3113" i="1"/>
  <x:c r="C3113" i="1"/>
  <x:c r="B3114" i="1"/>
  <x:c r="C3114" i="1"/>
  <x:c r="B3115" i="1"/>
  <x:c r="C3115" i="1"/>
  <x:c r="B3116" i="1"/>
  <x:c r="C3116" i="1"/>
  <x:c r="B3117" i="1"/>
  <x:c r="C3117" i="1"/>
  <x:c r="B3118" i="1"/>
  <x:c r="C3118" i="1"/>
  <x:c r="B3119" i="1"/>
  <x:c r="C3119" i="1"/>
  <x:c r="B3120" i="1"/>
  <x:c r="C3120" i="1"/>
  <x:c r="B3121" i="1"/>
  <x:c r="C3121" i="1"/>
  <x:c r="B3122" i="1"/>
  <x:c r="C3122" i="1"/>
  <x:c r="B3123" i="1"/>
  <x:c r="C3123" i="1"/>
  <x:c r="B3124" i="1"/>
  <x:c r="C3124" i="1"/>
  <x:c r="B3125" i="1"/>
  <x:c r="C3125" i="1"/>
  <x:c r="B3126" i="1"/>
  <x:c r="C3126" i="1"/>
  <x:c r="B3127" i="1"/>
  <x:c r="C3127" i="1"/>
  <x:c r="B3128" i="1"/>
  <x:c r="C3128" i="1"/>
  <x:c r="B3129" i="1"/>
  <x:c r="C3129" i="1"/>
  <x:c r="B3130" i="1"/>
  <x:c r="C3130" i="1"/>
  <x:c r="B3131" i="1"/>
  <x:c r="C3131" i="1"/>
  <x:c r="B3132" i="1"/>
  <x:c r="C3132" i="1"/>
  <x:c r="B3133" i="1"/>
  <x:c r="C3133" i="1"/>
  <x:c r="B3134" i="1"/>
  <x:c r="C3134" i="1"/>
  <x:c r="B3135" i="1"/>
  <x:c r="C3135" i="1"/>
  <x:c r="B3136" i="1"/>
  <x:c r="C3136" i="1"/>
  <x:c r="B3137" i="1"/>
  <x:c r="C3137" i="1"/>
  <x:c r="B3138" i="1"/>
  <x:c r="C3138" i="1"/>
  <x:c r="B3139" i="1"/>
  <x:c r="C3139" i="1"/>
  <x:c r="B3140" i="1"/>
  <x:c r="C3140" i="1"/>
  <x:c r="B3141" i="1"/>
  <x:c r="C3141" i="1"/>
  <x:c r="B3142" i="1"/>
  <x:c r="C3142" i="1"/>
  <x:c r="B3143" i="1"/>
  <x:c r="C3143" i="1"/>
  <x:c r="B3144" i="1"/>
  <x:c r="C3144" i="1"/>
  <x:c r="B3145" i="1"/>
  <x:c r="C3145" i="1"/>
  <x:c r="B3146" i="1"/>
  <x:c r="C3146" i="1"/>
  <x:c r="B3147" i="1"/>
  <x:c r="C3147" i="1"/>
  <x:c r="B3148" i="1"/>
  <x:c r="C3148" i="1"/>
  <x:c r="B3149" i="1"/>
  <x:c r="C3149" i="1"/>
  <x:c r="B3150" i="1"/>
  <x:c r="C3150" i="1"/>
  <x:c r="B3151" i="1"/>
  <x:c r="C3151" i="1"/>
  <x:c r="B3152" i="1"/>
  <x:c r="C3152" i="1"/>
  <x:c r="B3153" i="1"/>
  <x:c r="C3153" i="1"/>
  <x:c r="B3154" i="1"/>
  <x:c r="C3154" i="1"/>
  <x:c r="B3155" i="1"/>
  <x:c r="C3155" i="1"/>
  <x:c r="B3156" i="1"/>
  <x:c r="C3156" i="1"/>
  <x:c r="B3157" i="1"/>
  <x:c r="C3157" i="1"/>
  <x:c r="B3158" i="1"/>
  <x:c r="C3158" i="1"/>
  <x:c r="B3159" i="1"/>
  <x:c r="C3159" i="1"/>
  <x:c r="B3160" i="1"/>
  <x:c r="C3160" i="1"/>
  <x:c r="B3161" i="1"/>
  <x:c r="C3161" i="1"/>
  <x:c r="B3162" i="1"/>
  <x:c r="C3162" i="1"/>
  <x:c r="B3163" i="1"/>
  <x:c r="C3163" i="1"/>
  <x:c r="B3164" i="1"/>
  <x:c r="C3164" i="1"/>
  <x:c r="B3165" i="1"/>
  <x:c r="C3165" i="1"/>
  <x:c r="B3166" i="1"/>
  <x:c r="C3166" i="1"/>
  <x:c r="B3167" i="1"/>
  <x:c r="C3167" i="1"/>
  <x:c r="B3168" i="1"/>
  <x:c r="C3168" i="1"/>
  <x:c r="B3169" i="1"/>
  <x:c r="C3169" i="1"/>
  <x:c r="B3170" i="1"/>
  <x:c r="C3170" i="1"/>
  <x:c r="B3171" i="1"/>
  <x:c r="C3171" i="1"/>
  <x:c r="B3172" i="1"/>
  <x:c r="C3172" i="1"/>
  <x:c r="B3173" i="1"/>
  <x:c r="C3173" i="1"/>
  <x:c r="B3174" i="1"/>
  <x:c r="C3174" i="1"/>
  <x:c r="B3175" i="1"/>
  <x:c r="C3175" i="1"/>
  <x:c r="B3176" i="1"/>
  <x:c r="C3176" i="1"/>
  <x:c r="B3177" i="1"/>
  <x:c r="C3177" i="1"/>
  <x:c r="B3178" i="1"/>
  <x:c r="C3178" i="1"/>
  <x:c r="B3179" i="1"/>
  <x:c r="C3179" i="1"/>
  <x:c r="B3180" i="1"/>
  <x:c r="C3180" i="1"/>
  <x:c r="B3181" i="1"/>
  <x:c r="C3181" i="1"/>
  <x:c r="B3182" i="1"/>
  <x:c r="C3182" i="1"/>
  <x:c r="B3183" i="1"/>
  <x:c r="C3183" i="1"/>
  <x:c r="B3184" i="1"/>
  <x:c r="C3184" i="1"/>
  <x:c r="B3185" i="1"/>
  <x:c r="C3185" i="1"/>
  <x:c r="B3186" i="1"/>
  <x:c r="C3186" i="1"/>
  <x:c r="B3187" i="1"/>
  <x:c r="C3187" i="1"/>
  <x:c r="B3188" i="1"/>
  <x:c r="C3188" i="1"/>
  <x:c r="B3189" i="1"/>
  <x:c r="C3189" i="1"/>
  <x:c r="B3190" i="1"/>
  <x:c r="C3190" i="1"/>
  <x:c r="B3191" i="1"/>
  <x:c r="C3191" i="1"/>
  <x:c r="B3192" i="1"/>
  <x:c r="C3192" i="1"/>
  <x:c r="B3193" i="1"/>
  <x:c r="C3193" i="1"/>
  <x:c r="B3194" i="1"/>
  <x:c r="C3194" i="1"/>
  <x:c r="B3195" i="1"/>
  <x:c r="C3195" i="1"/>
  <x:c r="B3196" i="1"/>
  <x:c r="C3196" i="1"/>
  <x:c r="B3197" i="1"/>
  <x:c r="C3197" i="1"/>
  <x:c r="B3198" i="1"/>
  <x:c r="C3198" i="1"/>
  <x:c r="B3199" i="1"/>
  <x:c r="C3199" i="1"/>
  <x:c r="B3200" i="1"/>
  <x:c r="C3200" i="1"/>
  <x:c r="B3201" i="1"/>
  <x:c r="C3201" i="1"/>
  <x:c r="B3202" i="1"/>
  <x:c r="C3202" i="1"/>
  <x:c r="B3203" i="1"/>
  <x:c r="C3203" i="1"/>
  <x:c r="B3204" i="1"/>
  <x:c r="C3204" i="1"/>
  <x:c r="B3205" i="1"/>
  <x:c r="C3205" i="1"/>
  <x:c r="B3206" i="1"/>
  <x:c r="C3206" i="1"/>
  <x:c r="B3207" i="1"/>
  <x:c r="C3207" i="1"/>
  <x:c r="B3208" i="1"/>
  <x:c r="C3208" i="1"/>
  <x:c r="B3209" i="1"/>
  <x:c r="C3209" i="1"/>
  <x:c r="B3210" i="1"/>
  <x:c r="C3210" i="1"/>
  <x:c r="B3211" i="1"/>
  <x:c r="C3211" i="1"/>
  <x:c r="B3212" i="1"/>
  <x:c r="C3212" i="1"/>
  <x:c r="B3213" i="1"/>
  <x:c r="C3213" i="1"/>
  <x:c r="B3214" i="1"/>
  <x:c r="C3214" i="1"/>
  <x:c r="B3215" i="1"/>
  <x:c r="C3215" i="1"/>
  <x:c r="B3216" i="1"/>
  <x:c r="C3216" i="1"/>
  <x:c r="B3217" i="1"/>
  <x:c r="C3217" i="1"/>
  <x:c r="B3218" i="1"/>
  <x:c r="C3218" i="1"/>
  <x:c r="B3219" i="1"/>
  <x:c r="C3219" i="1"/>
  <x:c r="B3220" i="1"/>
  <x:c r="C3220" i="1"/>
  <x:c r="B3221" i="1"/>
  <x:c r="C3221" i="1"/>
  <x:c r="B3222" i="1"/>
  <x:c r="C3222" i="1"/>
  <x:c r="B3223" i="1"/>
  <x:c r="C3223" i="1"/>
  <x:c r="B3224" i="1"/>
  <x:c r="C3224" i="1"/>
  <x:c r="B3225" i="1"/>
  <x:c r="C3225" i="1"/>
  <x:c r="B3226" i="1"/>
  <x:c r="C3226" i="1"/>
  <x:c r="B3227" i="1"/>
  <x:c r="C3227" i="1"/>
  <x:c r="B3228" i="1"/>
  <x:c r="C3228" i="1"/>
  <x:c r="B3229" i="1"/>
  <x:c r="C3229" i="1"/>
  <x:c r="B3230" i="1"/>
  <x:c r="C3230" i="1"/>
  <x:c r="B3231" i="1"/>
  <x:c r="C3231" i="1"/>
  <x:c r="B3232" i="1"/>
  <x:c r="C3232" i="1"/>
  <x:c r="B3233" i="1"/>
  <x:c r="C3233" i="1"/>
  <x:c r="B3234" i="1"/>
  <x:c r="C3234" i="1"/>
  <x:c r="B3235" i="1"/>
  <x:c r="C3235" i="1"/>
  <x:c r="B3236" i="1"/>
  <x:c r="C3236" i="1"/>
  <x:c r="B3237" i="1"/>
  <x:c r="C3237" i="1"/>
  <x:c r="B3238" i="1"/>
  <x:c r="C3238" i="1"/>
  <x:c r="B3239" i="1"/>
  <x:c r="C3239" i="1"/>
  <x:c r="B3240" i="1"/>
  <x:c r="C3240" i="1"/>
  <x:c r="B3241" i="1"/>
  <x:c r="C3241" i="1"/>
  <x:c r="B3242" i="1"/>
  <x:c r="C3242" i="1"/>
  <x:c r="B3243" i="1"/>
  <x:c r="C3243" i="1"/>
  <x:c r="B3244" i="1"/>
  <x:c r="C3244" i="1"/>
  <x:c r="B3245" i="1"/>
  <x:c r="C3245" i="1"/>
  <x:c r="B3246" i="1"/>
  <x:c r="C3246" i="1"/>
  <x:c r="B3247" i="1"/>
  <x:c r="C3247" i="1"/>
  <x:c r="B3248" i="1"/>
  <x:c r="C3248" i="1"/>
  <x:c r="B3249" i="1"/>
  <x:c r="C3249" i="1"/>
  <x:c r="B3250" i="1"/>
  <x:c r="C3250" i="1"/>
  <x:c r="B3251" i="1"/>
  <x:c r="C3251" i="1"/>
  <x:c r="B3252" i="1"/>
  <x:c r="C3252" i="1"/>
  <x:c r="B3253" i="1"/>
  <x:c r="C3253" i="1"/>
  <x:c r="B3254" i="1"/>
  <x:c r="C3254" i="1"/>
  <x:c r="B3255" i="1"/>
  <x:c r="C3255" i="1"/>
  <x:c r="B3256" i="1"/>
  <x:c r="C3256" i="1"/>
  <x:c r="B3257" i="1"/>
  <x:c r="C3257" i="1"/>
  <x:c r="B3258" i="1"/>
  <x:c r="C3258" i="1"/>
  <x:c r="B3259" i="1"/>
  <x:c r="C3259" i="1"/>
  <x:c r="B3260" i="1"/>
  <x:c r="C3260" i="1"/>
  <x:c r="B3261" i="1"/>
  <x:c r="C3261" i="1"/>
  <x:c r="B3262" i="1"/>
  <x:c r="C3262" i="1"/>
  <x:c r="B3263" i="1"/>
  <x:c r="C3263" i="1"/>
  <x:c r="B3264" i="1"/>
  <x:c r="C3264" i="1"/>
  <x:c r="B3265" i="1"/>
  <x:c r="C3265" i="1"/>
  <x:c r="B3266" i="1"/>
  <x:c r="C3266" i="1"/>
  <x:c r="B3267" i="1"/>
  <x:c r="C3267" i="1"/>
  <x:c r="B3268" i="1"/>
  <x:c r="C3268" i="1"/>
  <x:c r="B3269" i="1"/>
  <x:c r="C3269" i="1"/>
  <x:c r="B3270" i="1"/>
  <x:c r="C3270" i="1"/>
  <x:c r="B3271" i="1"/>
  <x:c r="C3271" i="1"/>
  <x:c r="B3272" i="1"/>
  <x:c r="C3272" i="1"/>
  <x:c r="B3273" i="1"/>
  <x:c r="C3273" i="1"/>
  <x:c r="B3274" i="1"/>
  <x:c r="C3274" i="1"/>
  <x:c r="B3275" i="1"/>
  <x:c r="C3275" i="1"/>
  <x:c r="B3276" i="1"/>
  <x:c r="C3276" i="1"/>
  <x:c r="B3277" i="1"/>
  <x:c r="C3277" i="1"/>
  <x:c r="B3278" i="1"/>
  <x:c r="C3278" i="1"/>
  <x:c r="B3279" i="1"/>
  <x:c r="C3279" i="1"/>
  <x:c r="B3280" i="1"/>
  <x:c r="C3280" i="1"/>
  <x:c r="B3281" i="1"/>
  <x:c r="C3281" i="1"/>
  <x:c r="B3282" i="1"/>
  <x:c r="C3282" i="1"/>
  <x:c r="B3283" i="1"/>
  <x:c r="C3283" i="1"/>
  <x:c r="B3284" i="1"/>
  <x:c r="C3284" i="1"/>
  <x:c r="B3285" i="1"/>
  <x:c r="C3285" i="1"/>
  <x:c r="B3286" i="1"/>
  <x:c r="C3286" i="1"/>
  <x:c r="B3287" i="1"/>
  <x:c r="C3287" i="1"/>
  <x:c r="B3288" i="1"/>
  <x:c r="C3288" i="1"/>
  <x:c r="B3289" i="1"/>
  <x:c r="C3289" i="1"/>
  <x:c r="B3290" i="1"/>
  <x:c r="C3290" i="1"/>
  <x:c r="B3291" i="1"/>
  <x:c r="C3291" i="1"/>
  <x:c r="B3292" i="1"/>
  <x:c r="C3292" i="1"/>
  <x:c r="B3293" i="1"/>
  <x:c r="C3293" i="1"/>
  <x:c r="B3294" i="1"/>
  <x:c r="C3294" i="1"/>
  <x:c r="B3295" i="1"/>
  <x:c r="C3295" i="1"/>
  <x:c r="B3296" i="1"/>
  <x:c r="C3296" i="1"/>
  <x:c r="B3297" i="1"/>
  <x:c r="C3297" i="1"/>
  <x:c r="B3298" i="1"/>
  <x:c r="C3298" i="1"/>
  <x:c r="B3299" i="1"/>
  <x:c r="C3299" i="1"/>
  <x:c r="B3300" i="1"/>
  <x:c r="C3300" i="1"/>
  <x:c r="B3301" i="1"/>
  <x:c r="C3301" i="1"/>
  <x:c r="B3302" i="1"/>
  <x:c r="C3302" i="1"/>
  <x:c r="B3303" i="1"/>
  <x:c r="C3303" i="1"/>
  <x:c r="B3304" i="1"/>
  <x:c r="C3304" i="1"/>
  <x:c r="B3305" i="1"/>
  <x:c r="C3305" i="1"/>
  <x:c r="B3306" i="1"/>
  <x:c r="C3306" i="1"/>
  <x:c r="B3307" i="1"/>
  <x:c r="C3307" i="1"/>
  <x:c r="B3308" i="1"/>
  <x:c r="C3308" i="1"/>
  <x:c r="B3309" i="1"/>
  <x:c r="C3309" i="1"/>
  <x:c r="B3310" i="1"/>
  <x:c r="C3310" i="1"/>
  <x:c r="B3311" i="1"/>
  <x:c r="C3311" i="1"/>
  <x:c r="B3312" i="1"/>
  <x:c r="C3312" i="1"/>
  <x:c r="B3313" i="1"/>
  <x:c r="C3313" i="1"/>
  <x:c r="B3314" i="1"/>
  <x:c r="C3314" i="1"/>
  <x:c r="B3315" i="1"/>
  <x:c r="C3315" i="1"/>
  <x:c r="B3316" i="1"/>
  <x:c r="C3316" i="1"/>
  <x:c r="B3317" i="1"/>
  <x:c r="C3317" i="1"/>
  <x:c r="B3318" i="1"/>
  <x:c r="C3318" i="1"/>
  <x:c r="B3319" i="1"/>
  <x:c r="C3319" i="1"/>
  <x:c r="B3320" i="1"/>
  <x:c r="C3320" i="1"/>
  <x:c r="B3321" i="1"/>
  <x:c r="C3321" i="1"/>
  <x:c r="B3322" i="1"/>
  <x:c r="C3322" i="1"/>
  <x:c r="B3323" i="1"/>
  <x:c r="C3323" i="1"/>
  <x:c r="B3324" i="1"/>
  <x:c r="C3324" i="1"/>
  <x:c r="B3325" i="1"/>
  <x:c r="C3325" i="1"/>
  <x:c r="B3326" i="1"/>
  <x:c r="C3326" i="1"/>
  <x:c r="B3327" i="1"/>
  <x:c r="C3327" i="1"/>
  <x:c r="B3328" i="1"/>
  <x:c r="C3328" i="1"/>
  <x:c r="B3329" i="1"/>
  <x:c r="C3329" i="1"/>
  <x:c r="B3330" i="1"/>
  <x:c r="C3330" i="1"/>
  <x:c r="B3331" i="1"/>
  <x:c r="C3331" i="1"/>
  <x:c r="B3332" i="1"/>
  <x:c r="C3332" i="1"/>
  <x:c r="B3333" i="1"/>
  <x:c r="C3333" i="1"/>
  <x:c r="B3334" i="1"/>
  <x:c r="C3334" i="1"/>
  <x:c r="B3335" i="1"/>
  <x:c r="C3335" i="1"/>
  <x:c r="B3336" i="1"/>
  <x:c r="C3336" i="1"/>
  <x:c r="B3337" i="1"/>
  <x:c r="C3337" i="1"/>
  <x:c r="B3338" i="1"/>
  <x:c r="C3338" i="1"/>
  <x:c r="B3339" i="1"/>
  <x:c r="C3339" i="1"/>
  <x:c r="B3340" i="1"/>
  <x:c r="C3340" i="1"/>
  <x:c r="B3341" i="1"/>
  <x:c r="C3341" i="1"/>
  <x:c r="B3342" i="1"/>
  <x:c r="C3342" i="1"/>
  <x:c r="B3343" i="1"/>
  <x:c r="C3343" i="1"/>
  <x:c r="B3344" i="1"/>
  <x:c r="C3344" i="1"/>
  <x:c r="B3345" i="1"/>
  <x:c r="C3345" i="1"/>
  <x:c r="B3346" i="1"/>
  <x:c r="C3346" i="1"/>
  <x:c r="B3347" i="1"/>
  <x:c r="C3347" i="1"/>
  <x:c r="B3348" i="1"/>
  <x:c r="C3348" i="1"/>
  <x:c r="B3349" i="1"/>
  <x:c r="C3349" i="1"/>
  <x:c r="B3350" i="1"/>
  <x:c r="C3350" i="1"/>
  <x:c r="B3351" i="1"/>
  <x:c r="C3351" i="1"/>
  <x:c r="B3352" i="1"/>
  <x:c r="C3352" i="1"/>
  <x:c r="B3353" i="1"/>
  <x:c r="C3353" i="1"/>
  <x:c r="B3354" i="1"/>
  <x:c r="C3354" i="1"/>
  <x:c r="B3355" i="1"/>
  <x:c r="C3355" i="1"/>
  <x:c r="B3356" i="1"/>
  <x:c r="C3356" i="1"/>
  <x:c r="B3357" i="1"/>
  <x:c r="C3357" i="1"/>
  <x:c r="B3358" i="1"/>
  <x:c r="C3358" i="1"/>
  <x:c r="B3359" i="1"/>
  <x:c r="C3359" i="1"/>
  <x:c r="B3360" i="1"/>
  <x:c r="C3360" i="1"/>
  <x:c r="B3361" i="1"/>
  <x:c r="C3361" i="1"/>
  <x:c r="B3362" i="1"/>
  <x:c r="C3362" i="1"/>
  <x:c r="B3363" i="1"/>
  <x:c r="C3363" i="1"/>
  <x:c r="B3364" i="1"/>
  <x:c r="C3364" i="1"/>
  <x:c r="B3365" i="1"/>
  <x:c r="C3365" i="1"/>
  <x:c r="B3366" i="1"/>
  <x:c r="C3366" i="1"/>
  <x:c r="B3367" i="1"/>
  <x:c r="C3367" i="1"/>
  <x:c r="B3368" i="1"/>
  <x:c r="C3368" i="1"/>
  <x:c r="B3369" i="1"/>
  <x:c r="C3369" i="1"/>
  <x:c r="B3370" i="1"/>
  <x:c r="C3370" i="1"/>
  <x:c r="B3371" i="1"/>
  <x:c r="C3371" i="1"/>
  <x:c r="B3372" i="1"/>
  <x:c r="C3372" i="1"/>
  <x:c r="B3373" i="1"/>
  <x:c r="C3373" i="1"/>
  <x:c r="B3374" i="1"/>
  <x:c r="C3374" i="1"/>
  <x:c r="B3375" i="1"/>
  <x:c r="C3375" i="1"/>
  <x:c r="B3376" i="1"/>
  <x:c r="C3376" i="1"/>
  <x:c r="B3377" i="1"/>
  <x:c r="C3377" i="1"/>
  <x:c r="B3378" i="1"/>
  <x:c r="C3378" i="1"/>
  <x:c r="B3379" i="1"/>
  <x:c r="C3379" i="1"/>
  <x:c r="B3380" i="1"/>
  <x:c r="C3380" i="1"/>
  <x:c r="B3381" i="1"/>
  <x:c r="C3381" i="1"/>
  <x:c r="B3382" i="1"/>
  <x:c r="C3382" i="1"/>
  <x:c r="B3383" i="1"/>
  <x:c r="C3383" i="1"/>
  <x:c r="B3384" i="1"/>
  <x:c r="C3384" i="1"/>
  <x:c r="B3385" i="1"/>
  <x:c r="C3385" i="1"/>
  <x:c r="B3386" i="1"/>
  <x:c r="C3386" i="1"/>
  <x:c r="B3387" i="1"/>
  <x:c r="C3387" i="1"/>
  <x:c r="B3388" i="1"/>
  <x:c r="C3388" i="1"/>
  <x:c r="B3389" i="1"/>
  <x:c r="C3389" i="1"/>
  <x:c r="B3390" i="1"/>
  <x:c r="C3390" i="1"/>
  <x:c r="B3391" i="1"/>
  <x:c r="C3391" i="1"/>
  <x:c r="B3392" i="1"/>
  <x:c r="C3392" i="1"/>
  <x:c r="B3393" i="1"/>
  <x:c r="C3393" i="1"/>
  <x:c r="B3394" i="1"/>
  <x:c r="C3394" i="1"/>
  <x:c r="B3395" i="1"/>
  <x:c r="C3395" i="1"/>
  <x:c r="B3396" i="1"/>
  <x:c r="C3396" i="1"/>
  <x:c r="B3397" i="1"/>
  <x:c r="C3397" i="1"/>
  <x:c r="B3398" i="1"/>
  <x:c r="C3398" i="1"/>
  <x:c r="B3399" i="1"/>
  <x:c r="C3399" i="1"/>
  <x:c r="B3400" i="1"/>
  <x:c r="C3400" i="1"/>
  <x:c r="B3401" i="1"/>
  <x:c r="C3401" i="1"/>
  <x:c r="B3402" i="1"/>
  <x:c r="C3402" i="1"/>
  <x:c r="B3403" i="1"/>
  <x:c r="C3403" i="1"/>
  <x:c r="B3404" i="1"/>
  <x:c r="C3404" i="1"/>
  <x:c r="B3405" i="1"/>
  <x:c r="C3405" i="1"/>
  <x:c r="B3406" i="1"/>
  <x:c r="C3406" i="1"/>
  <x:c r="B3407" i="1"/>
  <x:c r="C3407" i="1"/>
  <x:c r="B3408" i="1"/>
  <x:c r="C3408" i="1"/>
  <x:c r="B3409" i="1"/>
  <x:c r="C3409" i="1"/>
  <x:c r="B3410" i="1"/>
  <x:c r="C3410" i="1"/>
  <x:c r="B3411" i="1"/>
  <x:c r="C3411" i="1"/>
  <x:c r="B3412" i="1"/>
  <x:c r="C3412" i="1"/>
  <x:c r="B3413" i="1"/>
  <x:c r="C3413" i="1"/>
  <x:c r="B3414" i="1"/>
  <x:c r="C3414" i="1"/>
  <x:c r="B3415" i="1"/>
  <x:c r="C3415" i="1"/>
  <x:c r="B3416" i="1"/>
  <x:c r="C3416" i="1"/>
  <x:c r="B3417" i="1"/>
  <x:c r="C3417" i="1"/>
  <x:c r="B3418" i="1"/>
  <x:c r="C3418" i="1"/>
  <x:c r="B3419" i="1"/>
  <x:c r="C3419" i="1"/>
  <x:c r="B3420" i="1"/>
  <x:c r="C3420" i="1"/>
  <x:c r="B3421" i="1"/>
  <x:c r="C3421" i="1"/>
  <x:c r="B3422" i="1"/>
  <x:c r="C3422" i="1"/>
  <x:c r="B3423" i="1"/>
  <x:c r="C3423" i="1"/>
  <x:c r="B3424" i="1"/>
  <x:c r="C3424" i="1"/>
  <x:c r="B3425" i="1"/>
  <x:c r="C3425" i="1"/>
  <x:c r="B3426" i="1"/>
  <x:c r="C3426" i="1"/>
  <x:c r="B3427" i="1"/>
  <x:c r="C3427" i="1"/>
  <x:c r="B3428" i="1"/>
  <x:c r="C3428" i="1"/>
  <x:c r="B3429" i="1"/>
  <x:c r="C3429" i="1"/>
  <x:c r="B3430" i="1"/>
  <x:c r="C3430" i="1"/>
  <x:c r="B3431" i="1"/>
  <x:c r="C3431" i="1"/>
  <x:c r="B3432" i="1"/>
  <x:c r="C3432" i="1"/>
  <x:c r="B3433" i="1"/>
  <x:c r="C3433" i="1"/>
  <x:c r="B3434" i="1"/>
  <x:c r="C3434" i="1"/>
  <x:c r="B3435" i="1"/>
  <x:c r="C3435" i="1"/>
  <x:c r="B3436" i="1"/>
  <x:c r="C3436" i="1"/>
  <x:c r="B3437" i="1"/>
  <x:c r="C3437" i="1"/>
  <x:c r="B3438" i="1"/>
  <x:c r="C3438" i="1"/>
  <x:c r="B3439" i="1"/>
  <x:c r="C3439" i="1"/>
  <x:c r="B3440" i="1"/>
  <x:c r="C3440" i="1"/>
  <x:c r="B3441" i="1"/>
  <x:c r="C3441" i="1"/>
  <x:c r="B3442" i="1"/>
  <x:c r="C3442" i="1"/>
  <x:c r="B3443" i="1"/>
  <x:c r="C3443" i="1"/>
  <x:c r="B3444" i="1"/>
  <x:c r="C3444" i="1"/>
  <x:c r="B3445" i="1"/>
  <x:c r="C3445" i="1"/>
  <x:c r="B3446" i="1"/>
  <x:c r="C3446" i="1"/>
  <x:c r="B3447" i="1"/>
  <x:c r="C3447" i="1"/>
  <x:c r="B3448" i="1"/>
  <x:c r="C3448" i="1"/>
  <x:c r="B3449" i="1"/>
  <x:c r="C3449" i="1"/>
  <x:c r="B3450" i="1"/>
  <x:c r="C3450" i="1"/>
  <x:c r="B3451" i="1"/>
  <x:c r="C3451" i="1"/>
  <x:c r="B3452" i="1"/>
  <x:c r="C3452" i="1"/>
  <x:c r="B3453" i="1"/>
  <x:c r="C3453" i="1"/>
  <x:c r="B3454" i="1"/>
  <x:c r="C3454" i="1"/>
  <x:c r="B3455" i="1"/>
  <x:c r="C3455" i="1"/>
  <x:c r="B3456" i="1"/>
  <x:c r="C3456" i="1"/>
  <x:c r="B3457" i="1"/>
  <x:c r="C3457" i="1"/>
  <x:c r="B3458" i="1"/>
  <x:c r="C3458" i="1"/>
  <x:c r="B3459" i="1"/>
  <x:c r="C3459" i="1"/>
  <x:c r="B3460" i="1"/>
  <x:c r="C3460" i="1"/>
  <x:c r="B3461" i="1"/>
  <x:c r="C3461" i="1"/>
  <x:c r="B3462" i="1"/>
  <x:c r="C3462" i="1"/>
  <x:c r="B3463" i="1"/>
  <x:c r="C3463" i="1"/>
  <x:c r="B3464" i="1"/>
  <x:c r="C3464" i="1"/>
  <x:c r="B3465" i="1"/>
  <x:c r="C3465" i="1"/>
  <x:c r="B3466" i="1"/>
  <x:c r="C3466" i="1"/>
  <x:c r="B3467" i="1"/>
  <x:c r="C3467" i="1"/>
  <x:c r="B3468" i="1"/>
  <x:c r="C3468" i="1"/>
  <x:c r="B3469" i="1"/>
  <x:c r="C3469" i="1"/>
  <x:c r="B3470" i="1"/>
  <x:c r="C3470" i="1"/>
  <x:c r="B3471" i="1"/>
  <x:c r="C3471" i="1"/>
  <x:c r="B3472" i="1"/>
  <x:c r="C3472" i="1"/>
  <x:c r="B3473" i="1"/>
  <x:c r="C3473" i="1"/>
  <x:c r="B3474" i="1"/>
  <x:c r="C3474" i="1"/>
  <x:c r="B3475" i="1"/>
  <x:c r="C3475" i="1"/>
  <x:c r="B3476" i="1"/>
  <x:c r="C3476" i="1"/>
  <x:c r="B3477" i="1"/>
  <x:c r="C3477" i="1"/>
  <x:c r="B3478" i="1"/>
  <x:c r="C3478" i="1"/>
  <x:c r="B3479" i="1"/>
  <x:c r="C3479" i="1"/>
  <x:c r="B3480" i="1"/>
  <x:c r="C3480" i="1"/>
  <x:c r="B3481" i="1"/>
  <x:c r="C3481" i="1"/>
  <x:c r="B3482" i="1"/>
  <x:c r="C3482" i="1"/>
  <x:c r="B3483" i="1"/>
  <x:c r="C3483" i="1"/>
  <x:c r="B3484" i="1"/>
  <x:c r="C3484" i="1"/>
  <x:c r="B3485" i="1"/>
  <x:c r="C3485" i="1"/>
  <x:c r="B3486" i="1"/>
  <x:c r="C3486" i="1"/>
  <x:c r="B3487" i="1"/>
  <x:c r="C3487" i="1"/>
  <x:c r="B3488" i="1"/>
  <x:c r="C3488" i="1"/>
  <x:c r="B3489" i="1"/>
  <x:c r="C3489" i="1"/>
  <x:c r="B3490" i="1"/>
  <x:c r="C3490" i="1"/>
  <x:c r="B3491" i="1"/>
  <x:c r="C3491" i="1"/>
  <x:c r="B3492" i="1"/>
  <x:c r="C3492" i="1"/>
  <x:c r="B3493" i="1"/>
  <x:c r="C3493" i="1"/>
  <x:c r="B3494" i="1"/>
  <x:c r="C3494" i="1"/>
  <x:c r="B3495" i="1"/>
  <x:c r="C3495" i="1"/>
  <x:c r="B3496" i="1"/>
  <x:c r="C3496" i="1"/>
  <x:c r="B3497" i="1"/>
  <x:c r="C3497" i="1"/>
  <x:c r="B3498" i="1"/>
  <x:c r="C3498" i="1"/>
  <x:c r="B3499" i="1"/>
  <x:c r="C3499" i="1"/>
  <x:c r="B3500" i="1"/>
  <x:c r="C3500" i="1"/>
  <x:c r="B3501" i="1"/>
  <x:c r="C3501" i="1"/>
  <x:c r="B3502" i="1"/>
  <x:c r="C3502" i="1"/>
  <x:c r="B3503" i="1"/>
  <x:c r="C3503" i="1"/>
  <x:c r="B3504" i="1"/>
  <x:c r="C3504" i="1"/>
  <x:c r="B3505" i="1"/>
  <x:c r="C3505" i="1"/>
  <x:c r="B3506" i="1"/>
  <x:c r="C3506" i="1"/>
  <x:c r="B3507" i="1"/>
  <x:c r="C3507" i="1"/>
  <x:c r="B3508" i="1"/>
  <x:c r="C3508" i="1"/>
  <x:c r="B3509" i="1"/>
  <x:c r="C3509" i="1"/>
  <x:c r="B3510" i="1"/>
  <x:c r="C3510" i="1"/>
  <x:c r="B3511" i="1"/>
  <x:c r="C3511" i="1"/>
  <x:c r="B3512" i="1"/>
  <x:c r="C3512" i="1"/>
  <x:c r="B3513" i="1"/>
  <x:c r="C3513" i="1"/>
  <x:c r="B3514" i="1"/>
  <x:c r="C3514" i="1"/>
  <x:c r="B3515" i="1"/>
  <x:c r="C3515" i="1"/>
  <x:c r="B3516" i="1"/>
  <x:c r="C3516" i="1"/>
  <x:c r="B3517" i="1"/>
  <x:c r="C3517" i="1"/>
  <x:c r="B3518" i="1"/>
  <x:c r="C3518" i="1"/>
  <x:c r="B3519" i="1"/>
  <x:c r="C3519" i="1"/>
  <x:c r="B3520" i="1"/>
  <x:c r="C3520" i="1"/>
  <x:c r="B3521" i="1"/>
  <x:c r="C3521" i="1"/>
  <x:c r="B3522" i="1"/>
  <x:c r="C3522" i="1"/>
  <x:c r="B3523" i="1"/>
  <x:c r="C3523" i="1"/>
  <x:c r="B3524" i="1"/>
  <x:c r="C3524" i="1"/>
  <x:c r="B3525" i="1"/>
  <x:c r="C3525" i="1"/>
  <x:c r="B3526" i="1"/>
  <x:c r="C3526" i="1"/>
  <x:c r="B3527" i="1"/>
  <x:c r="C3527" i="1"/>
  <x:c r="B3528" i="1"/>
  <x:c r="C3528" i="1"/>
  <x:c r="B3529" i="1"/>
  <x:c r="C3529" i="1"/>
  <x:c r="B3530" i="1"/>
  <x:c r="C3530" i="1"/>
  <x:c r="B3531" i="1"/>
  <x:c r="C3531" i="1"/>
  <x:c r="B3532" i="1"/>
  <x:c r="C3532" i="1"/>
  <x:c r="B3533" i="1"/>
  <x:c r="C3533" i="1"/>
  <x:c r="B3534" i="1"/>
  <x:c r="C3534" i="1"/>
  <x:c r="B3535" i="1"/>
  <x:c r="C3535" i="1"/>
  <x:c r="B3536" i="1"/>
  <x:c r="C3536" i="1"/>
  <x:c r="B3537" i="1"/>
  <x:c r="C3537" i="1"/>
  <x:c r="B3538" i="1"/>
  <x:c r="C3538" i="1"/>
  <x:c r="B3539" i="1"/>
  <x:c r="C3539" i="1"/>
  <x:c r="B3540" i="1"/>
  <x:c r="C3540" i="1"/>
  <x:c r="B3541" i="1"/>
  <x:c r="C3541" i="1"/>
  <x:c r="B3542" i="1"/>
  <x:c r="C3542" i="1"/>
  <x:c r="B3543" i="1"/>
  <x:c r="C3543" i="1"/>
  <x:c r="B3544" i="1"/>
  <x:c r="C3544" i="1"/>
  <x:c r="B3545" i="1"/>
  <x:c r="C3545" i="1"/>
  <x:c r="B3546" i="1"/>
  <x:c r="C3546" i="1"/>
  <x:c r="B3547" i="1"/>
  <x:c r="C3547" i="1"/>
  <x:c r="B3548" i="1"/>
  <x:c r="C3548" i="1"/>
  <x:c r="B3549" i="1"/>
  <x:c r="C3549" i="1"/>
  <x:c r="B3550" i="1"/>
  <x:c r="C3550" i="1"/>
  <x:c r="B3551" i="1"/>
  <x:c r="C3551" i="1"/>
  <x:c r="B3552" i="1"/>
  <x:c r="C3552" i="1"/>
  <x:c r="B3553" i="1"/>
  <x:c r="C3553" i="1"/>
  <x:c r="B3554" i="1"/>
  <x:c r="C3554" i="1"/>
  <x:c r="B3555" i="1"/>
  <x:c r="C3555" i="1"/>
  <x:c r="B3556" i="1"/>
  <x:c r="C3556" i="1"/>
  <x:c r="B3557" i="1"/>
  <x:c r="C3557" i="1"/>
  <x:c r="B3558" i="1"/>
  <x:c r="C3558" i="1"/>
  <x:c r="B3559" i="1"/>
  <x:c r="C3559" i="1"/>
  <x:c r="B3560" i="1"/>
  <x:c r="C3560" i="1"/>
  <x:c r="B3561" i="1"/>
  <x:c r="C3561" i="1"/>
  <x:c r="B3562" i="1"/>
  <x:c r="C3562" i="1"/>
  <x:c r="B3563" i="1"/>
  <x:c r="C3563" i="1"/>
  <x:c r="B3564" i="1"/>
  <x:c r="C3564" i="1"/>
  <x:c r="B3565" i="1"/>
  <x:c r="C3565" i="1"/>
  <x:c r="B3566" i="1"/>
  <x:c r="C3566" i="1"/>
  <x:c r="B3567" i="1"/>
  <x:c r="C3567" i="1"/>
  <x:c r="B3568" i="1"/>
  <x:c r="C3568" i="1"/>
  <x:c r="B3569" i="1"/>
  <x:c r="C3569" i="1"/>
  <x:c r="B3570" i="1"/>
  <x:c r="C3570" i="1"/>
  <x:c r="B3571" i="1"/>
  <x:c r="C3571" i="1"/>
  <x:c r="B3572" i="1"/>
  <x:c r="C3572" i="1"/>
  <x:c r="B3573" i="1"/>
  <x:c r="C3573" i="1"/>
  <x:c r="B3574" i="1"/>
  <x:c r="C3574" i="1"/>
  <x:c r="B3575" i="1"/>
  <x:c r="C3575" i="1"/>
  <x:c r="B3576" i="1"/>
  <x:c r="C3576" i="1"/>
  <x:c r="B3577" i="1"/>
  <x:c r="C3577" i="1"/>
  <x:c r="B3578" i="1"/>
  <x:c r="C3578" i="1"/>
  <x:c r="B3579" i="1"/>
  <x:c r="C3579" i="1"/>
  <x:c r="B3580" i="1"/>
  <x:c r="C3580" i="1"/>
  <x:c r="B3581" i="1"/>
  <x:c r="C3581" i="1"/>
  <x:c r="B3582" i="1"/>
  <x:c r="C3582" i="1"/>
  <x:c r="B3583" i="1"/>
  <x:c r="C3583" i="1"/>
  <x:c r="B3584" i="1"/>
  <x:c r="C3584" i="1"/>
  <x:c r="B3585" i="1"/>
  <x:c r="C3585" i="1"/>
  <x:c r="B3586" i="1"/>
  <x:c r="C3586" i="1"/>
  <x:c r="B3587" i="1"/>
  <x:c r="C3587" i="1"/>
  <x:c r="B3588" i="1"/>
  <x:c r="C3588" i="1"/>
  <x:c r="B3589" i="1"/>
  <x:c r="C3589" i="1"/>
  <x:c r="B3590" i="1"/>
  <x:c r="C3590" i="1"/>
  <x:c r="B3591" i="1"/>
  <x:c r="C3591" i="1"/>
  <x:c r="B3592" i="1"/>
  <x:c r="C3592" i="1"/>
  <x:c r="B3593" i="1"/>
  <x:c r="C3593" i="1"/>
  <x:c r="B3594" i="1"/>
  <x:c r="C3594" i="1"/>
  <x:c r="B3595" i="1"/>
  <x:c r="C3595" i="1"/>
  <x:c r="B3596" i="1"/>
  <x:c r="C3596" i="1"/>
  <x:c r="B3597" i="1"/>
  <x:c r="C3597" i="1"/>
  <x:c r="B3598" i="1"/>
  <x:c r="C3598" i="1"/>
  <x:c r="B3599" i="1"/>
  <x:c r="C3599" i="1"/>
  <x:c r="B3600" i="1"/>
  <x:c r="C3600" i="1"/>
  <x:c r="B3601" i="1"/>
  <x:c r="C3601" i="1"/>
  <x:c r="B3602" i="1"/>
  <x:c r="C3602" i="1"/>
  <x:c r="B3603" i="1"/>
  <x:c r="C3603" i="1"/>
  <x:c r="B3604" i="1"/>
  <x:c r="C3604" i="1"/>
  <x:c r="B3605" i="1"/>
  <x:c r="C3605" i="1"/>
  <x:c r="B3606" i="1"/>
  <x:c r="C3606" i="1"/>
  <x:c r="B3607" i="1"/>
  <x:c r="C3607" i="1"/>
  <x:c r="B3608" i="1"/>
  <x:c r="C3608" i="1"/>
  <x:c r="B3609" i="1"/>
  <x:c r="C3609" i="1"/>
  <x:c r="B3610" i="1"/>
  <x:c r="C3610" i="1"/>
  <x:c r="B3611" i="1"/>
  <x:c r="C3611" i="1"/>
  <x:c r="B3612" i="1"/>
  <x:c r="C3612" i="1"/>
  <x:c r="B3613" i="1"/>
  <x:c r="C3613" i="1"/>
  <x:c r="B3614" i="1"/>
  <x:c r="C3614" i="1"/>
  <x:c r="B3615" i="1"/>
  <x:c r="C3615" i="1"/>
  <x:c r="B3616" i="1"/>
  <x:c r="C3616" i="1"/>
  <x:c r="B3617" i="1"/>
  <x:c r="C3617" i="1"/>
  <x:c r="B3618" i="1"/>
  <x:c r="C3618" i="1"/>
  <x:c r="B3619" i="1"/>
  <x:c r="C3619" i="1"/>
  <x:c r="B3620" i="1"/>
  <x:c r="C3620" i="1"/>
  <x:c r="B3621" i="1"/>
  <x:c r="C3621" i="1"/>
  <x:c r="B3622" i="1"/>
  <x:c r="C3622" i="1"/>
  <x:c r="B3623" i="1"/>
  <x:c r="C3623" i="1"/>
  <x:c r="B3624" i="1"/>
  <x:c r="C3624" i="1"/>
  <x:c r="B3625" i="1"/>
  <x:c r="C3625" i="1"/>
  <x:c r="B3626" i="1"/>
  <x:c r="C3626" i="1"/>
  <x:c r="B3627" i="1"/>
  <x:c r="C3627" i="1"/>
  <x:c r="B3628" i="1"/>
  <x:c r="C3628" i="1"/>
  <x:c r="B3629" i="1"/>
  <x:c r="C3629" i="1"/>
  <x:c r="B3630" i="1"/>
  <x:c r="C3630" i="1"/>
  <x:c r="B3631" i="1"/>
  <x:c r="C3631" i="1"/>
  <x:c r="B3632" i="1"/>
  <x:c r="C3632" i="1"/>
  <x:c r="B3633" i="1"/>
  <x:c r="C3633" i="1"/>
  <x:c r="B3634" i="1"/>
  <x:c r="C3634" i="1"/>
  <x:c r="B3635" i="1"/>
  <x:c r="C3635" i="1"/>
  <x:c r="B3636" i="1"/>
  <x:c r="C3636" i="1"/>
  <x:c r="B3637" i="1"/>
  <x:c r="C3637" i="1"/>
  <x:c r="B3638" i="1"/>
  <x:c r="C3638" i="1"/>
  <x:c r="B3639" i="1"/>
  <x:c r="C3639" i="1"/>
  <x:c r="B3640" i="1"/>
  <x:c r="C3640" i="1"/>
  <x:c r="B3641" i="1"/>
  <x:c r="C3641" i="1"/>
  <x:c r="B3642" i="1"/>
  <x:c r="C3642" i="1"/>
  <x:c r="B3643" i="1"/>
  <x:c r="C3643" i="1"/>
  <x:c r="B3644" i="1"/>
  <x:c r="C3644" i="1"/>
  <x:c r="B3645" i="1"/>
  <x:c r="C3645" i="1"/>
  <x:c r="B3646" i="1"/>
  <x:c r="C3646" i="1"/>
  <x:c r="B3647" i="1"/>
  <x:c r="C3647" i="1"/>
  <x:c r="B3648" i="1"/>
  <x:c r="C3648" i="1"/>
  <x:c r="B3649" i="1"/>
  <x:c r="C3649" i="1"/>
  <x:c r="B3650" i="1"/>
  <x:c r="C3650" i="1"/>
  <x:c r="B3651" i="1"/>
  <x:c r="C3651" i="1"/>
  <x:c r="B3652" i="1"/>
  <x:c r="C3652" i="1"/>
  <x:c r="B3653" i="1"/>
  <x:c r="C3653" i="1"/>
  <x:c r="B3654" i="1"/>
  <x:c r="C3654" i="1"/>
  <x:c r="B3655" i="1"/>
  <x:c r="C3655" i="1"/>
  <x:c r="B3656" i="1"/>
  <x:c r="C3656" i="1"/>
  <x:c r="B3657" i="1"/>
  <x:c r="C3657" i="1"/>
  <x:c r="B3658" i="1"/>
  <x:c r="C3658" i="1"/>
  <x:c r="B3659" i="1"/>
  <x:c r="C3659" i="1"/>
  <x:c r="B3660" i="1"/>
  <x:c r="C3660" i="1"/>
  <x:c r="B3661" i="1"/>
  <x:c r="C3661" i="1"/>
  <x:c r="B3662" i="1"/>
  <x:c r="C3662" i="1"/>
  <x:c r="B3663" i="1"/>
  <x:c r="C3663" i="1"/>
  <x:c r="B3664" i="1"/>
  <x:c r="C3664" i="1"/>
  <x:c r="B3665" i="1"/>
  <x:c r="C3665" i="1"/>
  <x:c r="B3666" i="1"/>
  <x:c r="C3666" i="1"/>
  <x:c r="B3667" i="1"/>
  <x:c r="C3667" i="1"/>
  <x:c r="B3668" i="1"/>
  <x:c r="C3668" i="1"/>
  <x:c r="B3669" i="1"/>
  <x:c r="C3669" i="1"/>
  <x:c r="B3670" i="1"/>
  <x:c r="C3670" i="1"/>
  <x:c r="B3671" i="1"/>
  <x:c r="C3671" i="1"/>
  <x:c r="B3672" i="1"/>
  <x:c r="C3672" i="1"/>
  <x:c r="B3673" i="1"/>
  <x:c r="C3673" i="1"/>
  <x:c r="B3674" i="1"/>
  <x:c r="C3674" i="1"/>
  <x:c r="B3675" i="1"/>
  <x:c r="C3675" i="1"/>
  <x:c r="B3676" i="1"/>
  <x:c r="C3676" i="1"/>
  <x:c r="B3677" i="1"/>
  <x:c r="C3677" i="1"/>
  <x:c r="B3678" i="1"/>
  <x:c r="C3678" i="1"/>
  <x:c r="B3679" i="1"/>
  <x:c r="C3679" i="1"/>
  <x:c r="B3680" i="1"/>
  <x:c r="C3680" i="1"/>
  <x:c r="B3681" i="1"/>
  <x:c r="C3681" i="1"/>
  <x:c r="B3682" i="1"/>
  <x:c r="C3682" i="1"/>
  <x:c r="B3683" i="1"/>
  <x:c r="C3683" i="1"/>
  <x:c r="B3684" i="1"/>
  <x:c r="C3684" i="1"/>
  <x:c r="B3685" i="1"/>
  <x:c r="C3685" i="1"/>
  <x:c r="B3686" i="1"/>
  <x:c r="C3686" i="1"/>
  <x:c r="B3687" i="1"/>
  <x:c r="C3687" i="1"/>
  <x:c r="B3688" i="1"/>
  <x:c r="C3688" i="1"/>
  <x:c r="B3689" i="1"/>
  <x:c r="C3689" i="1"/>
  <x:c r="B3690" i="1"/>
  <x:c r="C3690" i="1"/>
  <x:c r="B3691" i="1"/>
  <x:c r="C3691" i="1"/>
  <x:c r="B3692" i="1"/>
  <x:c r="C3692" i="1"/>
  <x:c r="B3693" i="1"/>
  <x:c r="C3693" i="1"/>
  <x:c r="B3694" i="1"/>
  <x:c r="C3694" i="1"/>
  <x:c r="B3695" i="1"/>
  <x:c r="C3695" i="1"/>
  <x:c r="B3696" i="1"/>
  <x:c r="C3696" i="1"/>
  <x:c r="B3697" i="1"/>
  <x:c r="C3697" i="1"/>
  <x:c r="B3698" i="1"/>
  <x:c r="C3698" i="1"/>
  <x:c r="B3699" i="1"/>
  <x:c r="C3699" i="1"/>
  <x:c r="B3700" i="1"/>
  <x:c r="C3700" i="1"/>
  <x:c r="B3701" i="1"/>
  <x:c r="C3701" i="1"/>
  <x:c r="B3702" i="1"/>
  <x:c r="C3702" i="1"/>
  <x:c r="B3703" i="1"/>
  <x:c r="C3703" i="1"/>
  <x:c r="B3704" i="1"/>
  <x:c r="C3704" i="1"/>
  <x:c r="B3705" i="1"/>
  <x:c r="C3705" i="1"/>
  <x:c r="B3706" i="1"/>
  <x:c r="C3706" i="1"/>
  <x:c r="B3707" i="1"/>
  <x:c r="C3707" i="1"/>
  <x:c r="B3708" i="1"/>
  <x:c r="C3708" i="1"/>
  <x:c r="B3709" i="1"/>
  <x:c r="C3709" i="1"/>
  <x:c r="B3710" i="1"/>
  <x:c r="C3710" i="1"/>
  <x:c r="B3711" i="1"/>
  <x:c r="C3711" i="1"/>
  <x:c r="B3712" i="1"/>
  <x:c r="C3712" i="1"/>
  <x:c r="B3713" i="1"/>
  <x:c r="C3713" i="1"/>
  <x:c r="B3714" i="1"/>
  <x:c r="C3714" i="1"/>
  <x:c r="B3715" i="1"/>
  <x:c r="C3715" i="1"/>
  <x:c r="B3716" i="1"/>
  <x:c r="C3716" i="1"/>
  <x:c r="B3717" i="1"/>
  <x:c r="C3717" i="1"/>
  <x:c r="B3718" i="1"/>
  <x:c r="C3718" i="1"/>
  <x:c r="B3719" i="1"/>
  <x:c r="C3719" i="1"/>
  <x:c r="B3720" i="1"/>
  <x:c r="C3720" i="1"/>
  <x:c r="B3721" i="1"/>
  <x:c r="C3721" i="1"/>
  <x:c r="B3722" i="1"/>
  <x:c r="C3722" i="1"/>
  <x:c r="B3723" i="1"/>
  <x:c r="C3723" i="1"/>
  <x:c r="B3724" i="1"/>
  <x:c r="C3724" i="1"/>
  <x:c r="B3725" i="1"/>
  <x:c r="C3725" i="1"/>
  <x:c r="B3726" i="1"/>
  <x:c r="C3726" i="1"/>
  <x:c r="B3727" i="1"/>
  <x:c r="C3727" i="1"/>
  <x:c r="B3728" i="1"/>
  <x:c r="C3728" i="1"/>
  <x:c r="B3729" i="1"/>
  <x:c r="C3729" i="1"/>
  <x:c r="B3730" i="1"/>
  <x:c r="C3730" i="1"/>
  <x:c r="B3731" i="1"/>
  <x:c r="C3731" i="1"/>
  <x:c r="B3732" i="1"/>
  <x:c r="C3732" i="1"/>
  <x:c r="B3733" i="1"/>
  <x:c r="C3733" i="1"/>
  <x:c r="B3734" i="1"/>
  <x:c r="C3734" i="1"/>
  <x:c r="B3735" i="1"/>
  <x:c r="C3735" i="1"/>
  <x:c r="B3736" i="1"/>
  <x:c r="C3736" i="1"/>
  <x:c r="B3737" i="1"/>
  <x:c r="C3737" i="1"/>
  <x:c r="B3738" i="1"/>
  <x:c r="C3738" i="1"/>
  <x:c r="B3739" i="1"/>
  <x:c r="C3739" i="1"/>
  <x:c r="B3740" i="1"/>
  <x:c r="C3740" i="1"/>
  <x:c r="B3741" i="1"/>
  <x:c r="C3741" i="1"/>
  <x:c r="B3742" i="1"/>
  <x:c r="C3742" i="1"/>
  <x:c r="B3743" i="1"/>
  <x:c r="C3743" i="1"/>
  <x:c r="B3744" i="1"/>
  <x:c r="C3744" i="1"/>
  <x:c r="B3745" i="1"/>
  <x:c r="C3745" i="1"/>
  <x:c r="B3746" i="1"/>
  <x:c r="C3746" i="1"/>
  <x:c r="B3747" i="1"/>
  <x:c r="C3747" i="1"/>
  <x:c r="B3748" i="1"/>
  <x:c r="C3748" i="1"/>
  <x:c r="B3749" i="1"/>
  <x:c r="C3749" i="1"/>
  <x:c r="B3750" i="1"/>
  <x:c r="C3750" i="1"/>
  <x:c r="B3751" i="1"/>
  <x:c r="C3751" i="1"/>
  <x:c r="B3752" i="1"/>
  <x:c r="C3752" i="1"/>
  <x:c r="B3753" i="1"/>
  <x:c r="C3753" i="1"/>
  <x:c r="B3754" i="1"/>
  <x:c r="C3754" i="1"/>
  <x:c r="B3755" i="1"/>
  <x:c r="C3755" i="1"/>
  <x:c r="B3756" i="1"/>
  <x:c r="C3756" i="1"/>
  <x:c r="B3757" i="1"/>
  <x:c r="C3757" i="1"/>
  <x:c r="B3758" i="1"/>
  <x:c r="C3758" i="1"/>
  <x:c r="B3759" i="1"/>
  <x:c r="C3759" i="1"/>
  <x:c r="B3760" i="1"/>
  <x:c r="C3760" i="1"/>
  <x:c r="B3761" i="1"/>
  <x:c r="C3761" i="1"/>
  <x:c r="B3762" i="1"/>
  <x:c r="C3762" i="1"/>
  <x:c r="B3763" i="1"/>
  <x:c r="C3763" i="1"/>
  <x:c r="B3764" i="1"/>
  <x:c r="C3764" i="1"/>
  <x:c r="B3765" i="1"/>
  <x:c r="C3765" i="1"/>
  <x:c r="B3766" i="1"/>
  <x:c r="C3766" i="1"/>
  <x:c r="B3767" i="1"/>
  <x:c r="C3767" i="1"/>
  <x:c r="B3768" i="1"/>
  <x:c r="C3768" i="1"/>
  <x:c r="B3769" i="1"/>
  <x:c r="C3769" i="1"/>
  <x:c r="B3770" i="1"/>
  <x:c r="C3770" i="1"/>
  <x:c r="B3771" i="1"/>
  <x:c r="C3771" i="1"/>
  <x:c r="B3772" i="1"/>
  <x:c r="C3772" i="1"/>
  <x:c r="B3773" i="1"/>
  <x:c r="C3773" i="1"/>
  <x:c r="B3774" i="1"/>
  <x:c r="C3774" i="1"/>
  <x:c r="B3775" i="1"/>
  <x:c r="C3775" i="1"/>
  <x:c r="B3776" i="1"/>
  <x:c r="C3776" i="1"/>
  <x:c r="B3777" i="1"/>
  <x:c r="C3777" i="1"/>
  <x:c r="B3778" i="1"/>
  <x:c r="C3778" i="1"/>
  <x:c r="B3779" i="1"/>
  <x:c r="C3779" i="1"/>
  <x:c r="B3780" i="1"/>
  <x:c r="C3780" i="1"/>
  <x:c r="B3781" i="1"/>
  <x:c r="C3781" i="1"/>
  <x:c r="B3782" i="1"/>
  <x:c r="C3782" i="1"/>
  <x:c r="B3783" i="1"/>
  <x:c r="C3783" i="1"/>
  <x:c r="B3784" i="1"/>
  <x:c r="C3784" i="1"/>
  <x:c r="B3785" i="1"/>
  <x:c r="C3785" i="1"/>
  <x:c r="B3786" i="1"/>
  <x:c r="C3786" i="1"/>
  <x:c r="B3787" i="1"/>
  <x:c r="C3787" i="1"/>
  <x:c r="B3788" i="1"/>
  <x:c r="C3788" i="1"/>
  <x:c r="B3789" i="1"/>
  <x:c r="C3789" i="1"/>
  <x:c r="B3790" i="1"/>
  <x:c r="C3790" i="1"/>
  <x:c r="B3791" i="1"/>
  <x:c r="C3791" i="1"/>
  <x:c r="B3792" i="1"/>
  <x:c r="C3792" i="1"/>
  <x:c r="B3793" i="1"/>
  <x:c r="C3793" i="1"/>
  <x:c r="B3794" i="1"/>
  <x:c r="C3794" i="1"/>
  <x:c r="B3795" i="1"/>
  <x:c r="C3795" i="1"/>
  <x:c r="B3796" i="1"/>
  <x:c r="C3796" i="1"/>
  <x:c r="B3797" i="1"/>
  <x:c r="C3797" i="1"/>
  <x:c r="B3798" i="1"/>
  <x:c r="C3798" i="1"/>
  <x:c r="B3799" i="1"/>
  <x:c r="C3799" i="1"/>
  <x:c r="B3800" i="1"/>
  <x:c r="C3800" i="1"/>
  <x:c r="B3801" i="1"/>
  <x:c r="C3801" i="1"/>
  <x:c r="B3802" i="1"/>
  <x:c r="C3802" i="1"/>
  <x:c r="B3803" i="1"/>
  <x:c r="C3803" i="1"/>
  <x:c r="B3804" i="1"/>
  <x:c r="C3804" i="1"/>
  <x:c r="B3805" i="1"/>
  <x:c r="C3805" i="1"/>
  <x:c r="B3806" i="1"/>
  <x:c r="C3806" i="1"/>
  <x:c r="B3807" i="1"/>
  <x:c r="C3807" i="1"/>
  <x:c r="B3808" i="1"/>
  <x:c r="C3808" i="1"/>
  <x:c r="B3809" i="1"/>
  <x:c r="C3809" i="1"/>
  <x:c r="B3810" i="1"/>
  <x:c r="C3810" i="1"/>
  <x:c r="B3811" i="1"/>
  <x:c r="C3811" i="1"/>
  <x:c r="B3812" i="1"/>
  <x:c r="C3812" i="1"/>
  <x:c r="B3813" i="1"/>
  <x:c r="C3813" i="1"/>
  <x:c r="B3814" i="1"/>
  <x:c r="C3814" i="1"/>
  <x:c r="B3815" i="1"/>
  <x:c r="C3815" i="1"/>
  <x:c r="B3816" i="1"/>
  <x:c r="C3816" i="1"/>
  <x:c r="B3817" i="1"/>
  <x:c r="C3817" i="1"/>
  <x:c r="B3818" i="1"/>
  <x:c r="C3818" i="1"/>
  <x:c r="B3819" i="1"/>
  <x:c r="C3819" i="1"/>
  <x:c r="B3820" i="1"/>
  <x:c r="C3820" i="1"/>
  <x:c r="B3821" i="1"/>
  <x:c r="C3821" i="1"/>
  <x:c r="B3822" i="1"/>
  <x:c r="C3822" i="1"/>
  <x:c r="B3823" i="1"/>
  <x:c r="C3823" i="1"/>
  <x:c r="B3824" i="1"/>
  <x:c r="C3824" i="1"/>
  <x:c r="B3825" i="1"/>
  <x:c r="C3825" i="1"/>
  <x:c r="B3826" i="1"/>
  <x:c r="C3826" i="1"/>
  <x:c r="B3827" i="1"/>
  <x:c r="C3827" i="1"/>
  <x:c r="B3828" i="1"/>
  <x:c r="C3828" i="1"/>
  <x:c r="B3829" i="1"/>
  <x:c r="C3829" i="1"/>
  <x:c r="B3830" i="1"/>
  <x:c r="C3830" i="1"/>
  <x:c r="B3831" i="1"/>
  <x:c r="C3831" i="1"/>
  <x:c r="B3832" i="1"/>
  <x:c r="C3832" i="1"/>
  <x:c r="B3833" i="1"/>
  <x:c r="C3833" i="1"/>
  <x:c r="B3834" i="1"/>
  <x:c r="C3834" i="1"/>
  <x:c r="B3835" i="1"/>
  <x:c r="C3835" i="1"/>
  <x:c r="B3836" i="1"/>
  <x:c r="C3836" i="1"/>
  <x:c r="B3837" i="1"/>
  <x:c r="C3837" i="1"/>
  <x:c r="B3838" i="1"/>
  <x:c r="C3838" i="1"/>
  <x:c r="B3839" i="1"/>
  <x:c r="C3839" i="1"/>
  <x:c r="B3840" i="1"/>
  <x:c r="C3840" i="1"/>
  <x:c r="B3841" i="1"/>
  <x:c r="C3841" i="1"/>
  <x:c r="B3842" i="1"/>
  <x:c r="C3842" i="1"/>
  <x:c r="B3843" i="1"/>
  <x:c r="C3843" i="1"/>
  <x:c r="B3844" i="1"/>
  <x:c r="C3844" i="1"/>
  <x:c r="B3845" i="1"/>
  <x:c r="C3845" i="1"/>
  <x:c r="B3846" i="1"/>
  <x:c r="C3846" i="1"/>
  <x:c r="B3847" i="1"/>
  <x:c r="C3847" i="1"/>
  <x:c r="B3848" i="1"/>
  <x:c r="C3848" i="1"/>
  <x:c r="B3849" i="1"/>
  <x:c r="C3849" i="1"/>
  <x:c r="B3850" i="1"/>
  <x:c r="C3850" i="1"/>
  <x:c r="B3851" i="1"/>
  <x:c r="C3851" i="1"/>
  <x:c r="B3852" i="1"/>
  <x:c r="C3852" i="1"/>
  <x:c r="B3853" i="1"/>
  <x:c r="C3853" i="1"/>
  <x:c r="B3854" i="1"/>
  <x:c r="C3854" i="1"/>
  <x:c r="B3855" i="1"/>
  <x:c r="C3855" i="1"/>
  <x:c r="B3856" i="1"/>
  <x:c r="C3856" i="1"/>
  <x:c r="B3857" i="1"/>
  <x:c r="C3857" i="1"/>
  <x:c r="B3858" i="1"/>
  <x:c r="C3858" i="1"/>
  <x:c r="B3859" i="1"/>
  <x:c r="C3859" i="1"/>
  <x:c r="B3860" i="1"/>
  <x:c r="C3860" i="1"/>
  <x:c r="B3861" i="1"/>
  <x:c r="C3861" i="1"/>
  <x:c r="B3862" i="1"/>
  <x:c r="C3862" i="1"/>
  <x:c r="B3863" i="1"/>
  <x:c r="C3863" i="1"/>
  <x:c r="B3864" i="1"/>
  <x:c r="C3864" i="1"/>
  <x:c r="B3865" i="1"/>
  <x:c r="C3865" i="1"/>
  <x:c r="B3866" i="1"/>
  <x:c r="C3866" i="1"/>
  <x:c r="B3867" i="1"/>
  <x:c r="C3867" i="1"/>
  <x:c r="B3868" i="1"/>
  <x:c r="C3868" i="1"/>
  <x:c r="B3869" i="1"/>
  <x:c r="C3869" i="1"/>
  <x:c r="B3870" i="1"/>
  <x:c r="C3870" i="1"/>
  <x:c r="B3871" i="1"/>
  <x:c r="C3871" i="1"/>
  <x:c r="B3872" i="1"/>
  <x:c r="C3872" i="1"/>
  <x:c r="B3873" i="1"/>
  <x:c r="C3873" i="1"/>
  <x:c r="B3874" i="1"/>
  <x:c r="C3874" i="1"/>
  <x:c r="B3875" i="1"/>
  <x:c r="C3875" i="1"/>
  <x:c r="B3876" i="1"/>
  <x:c r="C3876" i="1"/>
  <x:c r="B3877" i="1"/>
  <x:c r="C3877" i="1"/>
  <x:c r="B3878" i="1"/>
  <x:c r="C3878" i="1"/>
  <x:c r="B3879" i="1"/>
  <x:c r="C3879" i="1"/>
  <x:c r="B3880" i="1"/>
  <x:c r="C3880" i="1"/>
  <x:c r="B3881" i="1"/>
  <x:c r="C3881" i="1"/>
  <x:c r="B3882" i="1"/>
  <x:c r="C3882" i="1"/>
  <x:c r="B3883" i="1"/>
  <x:c r="C3883" i="1"/>
  <x:c r="B3884" i="1"/>
  <x:c r="C3884" i="1"/>
  <x:c r="B3885" i="1"/>
  <x:c r="C3885" i="1"/>
  <x:c r="B3886" i="1"/>
  <x:c r="C3886" i="1"/>
  <x:c r="B3887" i="1"/>
  <x:c r="C3887" i="1"/>
  <x:c r="B3888" i="1"/>
  <x:c r="C3888" i="1"/>
  <x:c r="B3889" i="1"/>
  <x:c r="C3889" i="1"/>
  <x:c r="B3890" i="1"/>
  <x:c r="C3890" i="1"/>
  <x:c r="B3891" i="1"/>
  <x:c r="C3891" i="1"/>
  <x:c r="B3892" i="1"/>
  <x:c r="C3892" i="1"/>
  <x:c r="B3893" i="1"/>
  <x:c r="C3893" i="1"/>
  <x:c r="B3894" i="1"/>
  <x:c r="C3894" i="1"/>
  <x:c r="B3895" i="1"/>
  <x:c r="C3895" i="1"/>
  <x:c r="B3896" i="1"/>
  <x:c r="C3896" i="1"/>
  <x:c r="B3897" i="1"/>
  <x:c r="C3897" i="1"/>
  <x:c r="B3898" i="1"/>
  <x:c r="C3898" i="1"/>
  <x:c r="B3899" i="1"/>
  <x:c r="C3899" i="1"/>
  <x:c r="B3900" i="1"/>
  <x:c r="C3900" i="1"/>
  <x:c r="B3901" i="1"/>
  <x:c r="C3901" i="1"/>
  <x:c r="B3902" i="1"/>
  <x:c r="C3902" i="1"/>
  <x:c r="B3903" i="1"/>
  <x:c r="C3903" i="1"/>
  <x:c r="B3904" i="1"/>
  <x:c r="C3904" i="1"/>
  <x:c r="B3905" i="1"/>
  <x:c r="C3905" i="1"/>
  <x:c r="B3906" i="1"/>
  <x:c r="C3906" i="1"/>
  <x:c r="B3907" i="1"/>
  <x:c r="C3907" i="1"/>
  <x:c r="B3908" i="1"/>
  <x:c r="C3908" i="1"/>
  <x:c r="B3909" i="1"/>
  <x:c r="C3909" i="1"/>
  <x:c r="B3910" i="1"/>
  <x:c r="C3910" i="1"/>
  <x:c r="B3911" i="1"/>
  <x:c r="C3911" i="1"/>
  <x:c r="B3912" i="1"/>
  <x:c r="C3912" i="1"/>
  <x:c r="B3913" i="1"/>
  <x:c r="C3913" i="1"/>
  <x:c r="B3914" i="1"/>
  <x:c r="C3914" i="1"/>
  <x:c r="B3915" i="1"/>
  <x:c r="C3915" i="1"/>
  <x:c r="B3916" i="1"/>
  <x:c r="C3916" i="1"/>
  <x:c r="B3917" i="1"/>
  <x:c r="C3917" i="1"/>
  <x:c r="B3918" i="1"/>
  <x:c r="C3918" i="1"/>
  <x:c r="B3919" i="1"/>
  <x:c r="C3919" i="1"/>
  <x:c r="B3920" i="1"/>
  <x:c r="C3920" i="1"/>
  <x:c r="B3921" i="1"/>
  <x:c r="C3921" i="1"/>
  <x:c r="B3922" i="1"/>
  <x:c r="C3922" i="1"/>
  <x:c r="B3923" i="1"/>
  <x:c r="C3923" i="1"/>
  <x:c r="B3924" i="1"/>
  <x:c r="C3924" i="1"/>
  <x:c r="B3925" i="1"/>
  <x:c r="C3925" i="1"/>
  <x:c r="B3926" i="1"/>
  <x:c r="C3926" i="1"/>
  <x:c r="B3927" i="1"/>
  <x:c r="C3927" i="1"/>
  <x:c r="B3928" i="1"/>
  <x:c r="C3928" i="1"/>
  <x:c r="B3929" i="1"/>
  <x:c r="C3929" i="1"/>
  <x:c r="B3930" i="1"/>
  <x:c r="C3930" i="1"/>
  <x:c r="B3931" i="1"/>
  <x:c r="C3931" i="1"/>
  <x:c r="B3932" i="1"/>
  <x:c r="C3932" i="1"/>
  <x:c r="B3933" i="1"/>
  <x:c r="C3933" i="1"/>
  <x:c r="B3934" i="1"/>
  <x:c r="C3934" i="1"/>
  <x:c r="B3935" i="1"/>
  <x:c r="C3935" i="1"/>
  <x:c r="B3936" i="1"/>
  <x:c r="C3936" i="1"/>
  <x:c r="B3937" i="1"/>
  <x:c r="C3937" i="1"/>
  <x:c r="B3938" i="1"/>
  <x:c r="C3938" i="1"/>
  <x:c r="B3939" i="1"/>
  <x:c r="C3939" i="1"/>
  <x:c r="B3940" i="1"/>
  <x:c r="C3940" i="1"/>
  <x:c r="B3941" i="1"/>
  <x:c r="C3941" i="1"/>
  <x:c r="B3942" i="1"/>
  <x:c r="C3942" i="1"/>
  <x:c r="B3943" i="1"/>
  <x:c r="C3943" i="1"/>
  <x:c r="B3944" i="1"/>
  <x:c r="C3944" i="1"/>
  <x:c r="B3945" i="1"/>
  <x:c r="C3945" i="1"/>
  <x:c r="B3946" i="1"/>
  <x:c r="C3946" i="1"/>
  <x:c r="B3947" i="1"/>
  <x:c r="C3947" i="1"/>
  <x:c r="B3948" i="1"/>
  <x:c r="C3948" i="1"/>
  <x:c r="B3949" i="1"/>
  <x:c r="C3949" i="1"/>
  <x:c r="B3950" i="1"/>
  <x:c r="C3950" i="1"/>
  <x:c r="B3951" i="1"/>
  <x:c r="C3951" i="1"/>
  <x:c r="B3952" i="1"/>
  <x:c r="C3952" i="1"/>
  <x:c r="B3953" i="1"/>
  <x:c r="C3953" i="1"/>
  <x:c r="B3954" i="1"/>
  <x:c r="C3954" i="1"/>
  <x:c r="B3955" i="1"/>
  <x:c r="C3955" i="1"/>
  <x:c r="B3956" i="1"/>
  <x:c r="C3956" i="1"/>
  <x:c r="B3957" i="1"/>
  <x:c r="C3957" i="1"/>
  <x:c r="B3958" i="1"/>
  <x:c r="C3958" i="1"/>
  <x:c r="B3959" i="1"/>
  <x:c r="C3959" i="1"/>
  <x:c r="B3960" i="1"/>
  <x:c r="C3960" i="1"/>
  <x:c r="B3961" i="1"/>
  <x:c r="C3961" i="1"/>
  <x:c r="B3962" i="1"/>
  <x:c r="C3962" i="1"/>
  <x:c r="B3963" i="1"/>
  <x:c r="C3963" i="1"/>
  <x:c r="B3964" i="1"/>
  <x:c r="C3964" i="1"/>
  <x:c r="B3965" i="1"/>
  <x:c r="C3965" i="1"/>
  <x:c r="B3966" i="1"/>
  <x:c r="C3966" i="1"/>
  <x:c r="B3967" i="1"/>
  <x:c r="C3967" i="1"/>
  <x:c r="B3968" i="1"/>
  <x:c r="C3968" i="1"/>
  <x:c r="B3969" i="1"/>
  <x:c r="C3969" i="1"/>
  <x:c r="B3970" i="1"/>
  <x:c r="C3970" i="1"/>
  <x:c r="B3971" i="1"/>
  <x:c r="C3971" i="1"/>
  <x:c r="B3972" i="1"/>
  <x:c r="C3972" i="1"/>
  <x:c r="B3973" i="1"/>
  <x:c r="C3973" i="1"/>
  <x:c r="B3974" i="1"/>
  <x:c r="C3974" i="1"/>
  <x:c r="B3975" i="1"/>
  <x:c r="C3975" i="1"/>
  <x:c r="B3976" i="1"/>
  <x:c r="C3976" i="1"/>
  <x:c r="B3977" i="1"/>
  <x:c r="C3977" i="1"/>
  <x:c r="B3978" i="1"/>
  <x:c r="C3978" i="1"/>
  <x:c r="B3979" i="1"/>
  <x:c r="C3979" i="1"/>
  <x:c r="B3980" i="1"/>
  <x:c r="C3980" i="1"/>
  <x:c r="B3981" i="1"/>
  <x:c r="C3981" i="1"/>
  <x:c r="B3982" i="1"/>
  <x:c r="C3982" i="1"/>
  <x:c r="B3983" i="1"/>
  <x:c r="C3983" i="1"/>
  <x:c r="B3984" i="1"/>
  <x:c r="C3984" i="1"/>
  <x:c r="B3985" i="1"/>
  <x:c r="C3985" i="1"/>
  <x:c r="B3986" i="1"/>
  <x:c r="C3986" i="1"/>
  <x:c r="B3987" i="1"/>
  <x:c r="C3987" i="1"/>
  <x:c r="B3988" i="1"/>
  <x:c r="C3988" i="1"/>
  <x:c r="B3989" i="1"/>
  <x:c r="C3989" i="1"/>
  <x:c r="B3990" i="1"/>
  <x:c r="C3990" i="1"/>
  <x:c r="B3991" i="1"/>
  <x:c r="C3991" i="1"/>
  <x:c r="B3992" i="1"/>
  <x:c r="C3992" i="1"/>
  <x:c r="B3993" i="1"/>
  <x:c r="C3993" i="1"/>
  <x:c r="B3994" i="1"/>
  <x:c r="C3994" i="1"/>
  <x:c r="B3995" i="1"/>
  <x:c r="C3995" i="1"/>
  <x:c r="B3996" i="1"/>
  <x:c r="C3996" i="1"/>
  <x:c r="B3997" i="1"/>
  <x:c r="C3997" i="1"/>
  <x:c r="B3998" i="1"/>
  <x:c r="C3998" i="1"/>
  <x:c r="B3999" i="1"/>
  <x:c r="C3999" i="1"/>
  <x:c r="B4000" i="1"/>
  <x:c r="C4000" i="1"/>
  <x:c r="B4001" i="1"/>
  <x:c r="C4001" i="1"/>
  <x:c r="B4002" i="1"/>
  <x:c r="C4002" i="1"/>
  <x:c r="B4003" i="1"/>
  <x:c r="C4003" i="1"/>
  <x:c r="B4004" i="1"/>
  <x:c r="C4004" i="1"/>
  <x:c r="B4005" i="1"/>
  <x:c r="C4005" i="1"/>
  <x:c r="B4006" i="1"/>
  <x:c r="C4006" i="1"/>
  <x:c r="B4007" i="1"/>
  <x:c r="C4007" i="1"/>
  <x:c r="B4008" i="1"/>
  <x:c r="C4008" i="1"/>
  <x:c r="B4009" i="1"/>
  <x:c r="C4009" i="1"/>
  <x:c r="B4010" i="1"/>
  <x:c r="C4010" i="1"/>
  <x:c r="B4011" i="1"/>
  <x:c r="C4011" i="1"/>
  <x:c r="B4012" i="1"/>
  <x:c r="C4012" i="1"/>
  <x:c r="B4013" i="1"/>
  <x:c r="C4013" i="1"/>
  <x:c r="B4014" i="1"/>
  <x:c r="C4014" i="1"/>
  <x:c r="B4015" i="1"/>
  <x:c r="C4015" i="1"/>
  <x:c r="B4016" i="1"/>
  <x:c r="C4016" i="1"/>
  <x:c r="B4017" i="1"/>
  <x:c r="C4017" i="1"/>
  <x:c r="B4018" i="1"/>
  <x:c r="C4018" i="1"/>
  <x:c r="B4019" i="1"/>
  <x:c r="C4019" i="1"/>
  <x:c r="B4020" i="1"/>
  <x:c r="C4020" i="1"/>
  <x:c r="B4021" i="1"/>
  <x:c r="C4021" i="1"/>
  <x:c r="B4022" i="1"/>
  <x:c r="C4022" i="1"/>
  <x:c r="B4023" i="1"/>
  <x:c r="C4023" i="1"/>
  <x:c r="B4024" i="1"/>
  <x:c r="C4024" i="1"/>
  <x:c r="B4025" i="1"/>
  <x:c r="C4025" i="1"/>
  <x:c r="B4026" i="1"/>
  <x:c r="C4026" i="1"/>
  <x:c r="B4027" i="1"/>
  <x:c r="C4027" i="1"/>
  <x:c r="B4028" i="1"/>
  <x:c r="C4028" i="1"/>
  <x:c r="B4029" i="1"/>
  <x:c r="C4029" i="1"/>
  <x:c r="B4030" i="1"/>
  <x:c r="C4030" i="1"/>
  <x:c r="B4031" i="1"/>
  <x:c r="C4031" i="1"/>
  <x:c r="B4032" i="1"/>
  <x:c r="C4032" i="1"/>
  <x:c r="B4033" i="1"/>
  <x:c r="C4033" i="1"/>
  <x:c r="B4034" i="1"/>
  <x:c r="C4034" i="1"/>
  <x:c r="B4035" i="1"/>
  <x:c r="C4035" i="1"/>
  <x:c r="B4036" i="1"/>
  <x:c r="C4036" i="1"/>
  <x:c r="B4037" i="1"/>
  <x:c r="C4037" i="1"/>
  <x:c r="B4038" i="1"/>
  <x:c r="C4038" i="1"/>
  <x:c r="B4039" i="1"/>
  <x:c r="C4039" i="1"/>
  <x:c r="B4040" i="1"/>
  <x:c r="C4040" i="1"/>
  <x:c r="B4041" i="1"/>
  <x:c r="C4041" i="1"/>
  <x:c r="B4042" i="1"/>
  <x:c r="C4042" i="1"/>
  <x:c r="B4043" i="1"/>
  <x:c r="C4043" i="1"/>
  <x:c r="B4044" i="1"/>
  <x:c r="C4044" i="1"/>
  <x:c r="B4045" i="1"/>
  <x:c r="C4045" i="1"/>
  <x:c r="B4046" i="1"/>
  <x:c r="C4046" i="1"/>
  <x:c r="B4047" i="1"/>
  <x:c r="C4047" i="1"/>
  <x:c r="B4048" i="1"/>
  <x:c r="C4048" i="1"/>
  <x:c r="B4049" i="1"/>
  <x:c r="C4049" i="1"/>
  <x:c r="B4050" i="1"/>
  <x:c r="C4050" i="1"/>
  <x:c r="B4051" i="1"/>
  <x:c r="C4051" i="1"/>
  <x:c r="B4052" i="1"/>
  <x:c r="C4052" i="1"/>
  <x:c r="B4053" i="1"/>
  <x:c r="C4053" i="1"/>
  <x:c r="B4054" i="1"/>
  <x:c r="C4054" i="1"/>
  <x:c r="B4055" i="1"/>
  <x:c r="C4055" i="1"/>
  <x:c r="B4056" i="1"/>
  <x:c r="C4056" i="1"/>
  <x:c r="B4057" i="1"/>
  <x:c r="C4057" i="1"/>
  <x:c r="B4058" i="1"/>
  <x:c r="C4058" i="1"/>
  <x:c r="B4059" i="1"/>
  <x:c r="C4059" i="1"/>
  <x:c r="B4060" i="1"/>
  <x:c r="C4060" i="1"/>
  <x:c r="B4061" i="1"/>
  <x:c r="C4061" i="1"/>
  <x:c r="B4062" i="1"/>
  <x:c r="C4062" i="1"/>
  <x:c r="B4063" i="1"/>
  <x:c r="C4063" i="1"/>
  <x:c r="B4064" i="1"/>
  <x:c r="C4064" i="1"/>
  <x:c r="B4065" i="1"/>
  <x:c r="C4065" i="1"/>
  <x:c r="B4066" i="1"/>
  <x:c r="C4066" i="1"/>
  <x:c r="B4067" i="1"/>
  <x:c r="C4067" i="1"/>
  <x:c r="B4068" i="1"/>
  <x:c r="C4068" i="1"/>
  <x:c r="B4069" i="1"/>
  <x:c r="C4069" i="1"/>
  <x:c r="B4070" i="1"/>
  <x:c r="C4070" i="1"/>
  <x:c r="B4071" i="1"/>
  <x:c r="C4071" i="1"/>
  <x:c r="B4072" i="1"/>
  <x:c r="C4072" i="1"/>
  <x:c r="B4073" i="1"/>
  <x:c r="C4073" i="1"/>
  <x:c r="B4074" i="1"/>
  <x:c r="C4074" i="1"/>
  <x:c r="B4075" i="1"/>
  <x:c r="C4075" i="1"/>
  <x:c r="B4076" i="1"/>
  <x:c r="C4076" i="1"/>
  <x:c r="B4077" i="1"/>
  <x:c r="C4077" i="1"/>
  <x:c r="B4078" i="1"/>
  <x:c r="C4078" i="1"/>
  <x:c r="B4079" i="1"/>
  <x:c r="C4079" i="1"/>
  <x:c r="B4080" i="1"/>
  <x:c r="C4080" i="1"/>
  <x:c r="B4081" i="1"/>
  <x:c r="C4081" i="1"/>
  <x:c r="B4082" i="1"/>
  <x:c r="C4082" i="1"/>
  <x:c r="B4083" i="1"/>
  <x:c r="C4083" i="1"/>
  <x:c r="B4084" i="1"/>
  <x:c r="C4084" i="1"/>
  <x:c r="B4085" i="1"/>
  <x:c r="C4085" i="1"/>
  <x:c r="B4086" i="1"/>
  <x:c r="C4086" i="1"/>
  <x:c r="B4087" i="1"/>
  <x:c r="C4087" i="1"/>
  <x:c r="B4088" i="1"/>
  <x:c r="C4088" i="1"/>
  <x:c r="B4089" i="1"/>
  <x:c r="C4089" i="1"/>
  <x:c r="B4090" i="1"/>
  <x:c r="C4090" i="1"/>
  <x:c r="B4091" i="1"/>
  <x:c r="C4091" i="1"/>
  <x:c r="B4092" i="1"/>
  <x:c r="C4092" i="1"/>
  <x:c r="B4093" i="1"/>
  <x:c r="C4093" i="1"/>
  <x:c r="B4094" i="1"/>
  <x:c r="C4094" i="1"/>
  <x:c r="B4095" i="1"/>
  <x:c r="C4095" i="1"/>
  <x:c r="B4096" i="1"/>
  <x:c r="C4096" i="1"/>
  <x:c r="B4097" i="1"/>
  <x:c r="C4097" i="1"/>
  <x:c r="B4098" i="1"/>
  <x:c r="C4098" i="1"/>
  <x:c r="B4099" i="1"/>
  <x:c r="C4099" i="1"/>
  <x:c r="B4100" i="1"/>
  <x:c r="C4100" i="1"/>
  <x:c r="B4101" i="1"/>
  <x:c r="C4101" i="1"/>
  <x:c r="B4102" i="1"/>
  <x:c r="C4102" i="1"/>
  <x:c r="B4103" i="1"/>
  <x:c r="C4103" i="1"/>
  <x:c r="B4104" i="1"/>
  <x:c r="C4104" i="1"/>
  <x:c r="B4105" i="1"/>
  <x:c r="C4105" i="1"/>
  <x:c r="B4106" i="1"/>
  <x:c r="C4106" i="1"/>
  <x:c r="B4107" i="1"/>
  <x:c r="C4107" i="1"/>
  <x:c r="B4108" i="1"/>
  <x:c r="C4108" i="1"/>
  <x:c r="B4109" i="1"/>
  <x:c r="C4109" i="1"/>
  <x:c r="B4110" i="1"/>
  <x:c r="C4110" i="1"/>
  <x:c r="B4111" i="1"/>
  <x:c r="C4111" i="1"/>
  <x:c r="B4112" i="1"/>
  <x:c r="C4112" i="1"/>
  <x:c r="B4113" i="1"/>
  <x:c r="C4113" i="1"/>
  <x:c r="B4114" i="1"/>
  <x:c r="C4114" i="1"/>
  <x:c r="B4115" i="1"/>
  <x:c r="C4115" i="1"/>
  <x:c r="B4116" i="1"/>
  <x:c r="C4116" i="1"/>
  <x:c r="B4117" i="1"/>
  <x:c r="C4117" i="1"/>
  <x:c r="B4118" i="1"/>
  <x:c r="C4118" i="1"/>
  <x:c r="B4119" i="1"/>
  <x:c r="C4119" i="1"/>
  <x:c r="B4120" i="1"/>
  <x:c r="C4120" i="1"/>
  <x:c r="B4121" i="1"/>
  <x:c r="C4121" i="1"/>
  <x:c r="B4122" i="1"/>
  <x:c r="C4122" i="1"/>
  <x:c r="B4123" i="1"/>
  <x:c r="C4123" i="1"/>
  <x:c r="B4124" i="1"/>
  <x:c r="C4124" i="1"/>
  <x:c r="B4125" i="1"/>
  <x:c r="C4125" i="1"/>
  <x:c r="B4126" i="1"/>
  <x:c r="C4126" i="1"/>
  <x:c r="B4127" i="1"/>
  <x:c r="C4127" i="1"/>
  <x:c r="B4128" i="1"/>
  <x:c r="C4128" i="1"/>
  <x:c r="B4129" i="1"/>
  <x:c r="C4129" i="1"/>
  <x:c r="B4130" i="1"/>
  <x:c r="C4130" i="1"/>
  <x:c r="B4131" i="1"/>
  <x:c r="C4131" i="1"/>
  <x:c r="B4132" i="1"/>
  <x:c r="C4132" i="1"/>
  <x:c r="B4133" i="1"/>
  <x:c r="C4133" i="1"/>
  <x:c r="B4134" i="1"/>
  <x:c r="C4134" i="1"/>
  <x:c r="B4135" i="1"/>
  <x:c r="C4135" i="1"/>
  <x:c r="B4136" i="1"/>
  <x:c r="C4136" i="1"/>
  <x:c r="B4137" i="1"/>
  <x:c r="C4137" i="1"/>
  <x:c r="B4138" i="1"/>
  <x:c r="C4138" i="1"/>
  <x:c r="B4139" i="1"/>
  <x:c r="C4139" i="1"/>
  <x:c r="B4140" i="1"/>
  <x:c r="C4140" i="1"/>
  <x:c r="B4141" i="1"/>
  <x:c r="C4141" i="1"/>
  <x:c r="B4142" i="1"/>
  <x:c r="C4142" i="1"/>
  <x:c r="B4143" i="1"/>
  <x:c r="C4143" i="1"/>
  <x:c r="B4144" i="1"/>
  <x:c r="C4144" i="1"/>
  <x:c r="B4145" i="1"/>
  <x:c r="C4145" i="1"/>
  <x:c r="B4146" i="1"/>
  <x:c r="C4146" i="1"/>
  <x:c r="B4147" i="1"/>
  <x:c r="C4147" i="1"/>
  <x:c r="B4148" i="1"/>
  <x:c r="C4148" i="1"/>
  <x:c r="B4149" i="1"/>
  <x:c r="C4149" i="1"/>
  <x:c r="B4150" i="1"/>
  <x:c r="C4150" i="1"/>
  <x:c r="B4151" i="1"/>
  <x:c r="C4151" i="1"/>
  <x:c r="B4152" i="1"/>
  <x:c r="C4152" i="1"/>
  <x:c r="B4153" i="1"/>
  <x:c r="C4153" i="1"/>
  <x:c r="B4154" i="1"/>
  <x:c r="C4154" i="1"/>
  <x:c r="B4155" i="1"/>
  <x:c r="C4155" i="1"/>
  <x:c r="B4156" i="1"/>
  <x:c r="C4156" i="1"/>
  <x:c r="B4157" i="1"/>
  <x:c r="C4157" i="1"/>
  <x:c r="B4158" i="1"/>
  <x:c r="C4158" i="1"/>
  <x:c r="B4159" i="1"/>
  <x:c r="C4159" i="1"/>
  <x:c r="B4160" i="1"/>
  <x:c r="C4160" i="1"/>
  <x:c r="B4161" i="1"/>
  <x:c r="C4161" i="1"/>
  <x:c r="B4162" i="1"/>
  <x:c r="C4162" i="1"/>
  <x:c r="B4163" i="1"/>
  <x:c r="C4163" i="1"/>
  <x:c r="B4164" i="1"/>
  <x:c r="C4164" i="1"/>
  <x:c r="B4165" i="1"/>
  <x:c r="C4165" i="1"/>
  <x:c r="B4166" i="1"/>
  <x:c r="C4166" i="1"/>
  <x:c r="B4167" i="1"/>
  <x:c r="C4167" i="1"/>
  <x:c r="B4168" i="1"/>
  <x:c r="C4168" i="1"/>
  <x:c r="B4169" i="1"/>
  <x:c r="C4169" i="1"/>
  <x:c r="B4170" i="1"/>
  <x:c r="C4170" i="1"/>
  <x:c r="B4171" i="1"/>
  <x:c r="C4171" i="1"/>
  <x:c r="B4172" i="1"/>
  <x:c r="C4172" i="1"/>
  <x:c r="B4173" i="1"/>
  <x:c r="C4173" i="1"/>
  <x:c r="B4174" i="1"/>
  <x:c r="C4174" i="1"/>
  <x:c r="B4175" i="1"/>
  <x:c r="C4175" i="1"/>
  <x:c r="B4176" i="1"/>
  <x:c r="C4176" i="1"/>
  <x:c r="B4177" i="1"/>
  <x:c r="C4177" i="1"/>
  <x:c r="B4178" i="1"/>
  <x:c r="C4178" i="1"/>
  <x:c r="B4179" i="1"/>
  <x:c r="C4179" i="1"/>
  <x:c r="B4180" i="1"/>
  <x:c r="C4180" i="1"/>
  <x:c r="B4181" i="1"/>
  <x:c r="C4181" i="1"/>
  <x:c r="B4182" i="1"/>
  <x:c r="C4182" i="1"/>
  <x:c r="B4183" i="1"/>
  <x:c r="C4183" i="1"/>
  <x:c r="B4184" i="1"/>
  <x:c r="C4184" i="1"/>
  <x:c r="B4185" i="1"/>
  <x:c r="C4185" i="1"/>
  <x:c r="B4186" i="1"/>
  <x:c r="C4186" i="1"/>
  <x:c r="B4187" i="1"/>
  <x:c r="C4187" i="1"/>
  <x:c r="B4188" i="1"/>
  <x:c r="C4188" i="1"/>
  <x:c r="B4189" i="1"/>
  <x:c r="C4189" i="1"/>
  <x:c r="B4190" i="1"/>
  <x:c r="C4190" i="1"/>
  <x:c r="B4191" i="1"/>
  <x:c r="C4191" i="1"/>
  <x:c r="B4192" i="1"/>
  <x:c r="C4192" i="1"/>
  <x:c r="B4193" i="1"/>
  <x:c r="C4193" i="1"/>
  <x:c r="B4194" i="1"/>
  <x:c r="C4194" i="1"/>
  <x:c r="B4195" i="1"/>
  <x:c r="C4195" i="1"/>
  <x:c r="B4196" i="1"/>
  <x:c r="C4196" i="1"/>
  <x:c r="B4197" i="1"/>
  <x:c r="C4197" i="1"/>
  <x:c r="B4198" i="1"/>
  <x:c r="C4198" i="1"/>
  <x:c r="B4199" i="1"/>
  <x:c r="C4199" i="1"/>
  <x:c r="B4200" i="1"/>
  <x:c r="C4200" i="1"/>
  <x:c r="B4201" i="1"/>
  <x:c r="C4201" i="1"/>
  <x:c r="B4202" i="1"/>
  <x:c r="C4202" i="1"/>
  <x:c r="B4203" i="1"/>
  <x:c r="C4203" i="1"/>
  <x:c r="B4204" i="1"/>
  <x:c r="C4204" i="1"/>
  <x:c r="B4205" i="1"/>
  <x:c r="C4205" i="1"/>
  <x:c r="B4206" i="1"/>
  <x:c r="C4206" i="1"/>
  <x:c r="B4207" i="1"/>
  <x:c r="C4207" i="1"/>
  <x:c r="B4208" i="1"/>
  <x:c r="C4208" i="1"/>
  <x:c r="B4209" i="1"/>
  <x:c r="C4209" i="1"/>
  <x:c r="B4210" i="1"/>
  <x:c r="C4210" i="1"/>
  <x:c r="B4211" i="1"/>
  <x:c r="C4211" i="1"/>
  <x:c r="B4212" i="1"/>
  <x:c r="C4212" i="1"/>
  <x:c r="B4213" i="1"/>
  <x:c r="C4213" i="1"/>
  <x:c r="B4214" i="1"/>
  <x:c r="C4214" i="1"/>
  <x:c r="B4215" i="1"/>
  <x:c r="C4215" i="1"/>
  <x:c r="B4216" i="1"/>
  <x:c r="C4216" i="1"/>
  <x:c r="B4217" i="1"/>
  <x:c r="C4217" i="1"/>
  <x:c r="B4218" i="1"/>
  <x:c r="C4218" i="1"/>
  <x:c r="B4219" i="1"/>
  <x:c r="C4219" i="1"/>
  <x:c r="B4220" i="1"/>
  <x:c r="C4220" i="1"/>
  <x:c r="B4221" i="1"/>
  <x:c r="C4221" i="1"/>
  <x:c r="B4222" i="1"/>
  <x:c r="C4222" i="1"/>
  <x:c r="B4223" i="1"/>
  <x:c r="B4224" i="1"/>
  <x:c r="C4224" i="1"/>
  <x:c r="B4225" i="1"/>
  <x:c r="C4225" i="1"/>
  <x:c r="B4226" i="1"/>
  <x:c r="C4226" i="1"/>
  <x:c r="B4227" i="1"/>
  <x:c r="C4227" i="1"/>
  <x:c r="B4228" i="1"/>
  <x:c r="C4228" i="1"/>
  <x:c r="B4229" i="1"/>
  <x:c r="C4229" i="1"/>
  <x:c r="B4230" i="1"/>
  <x:c r="C4230" i="1"/>
  <x:c r="B4231" i="1"/>
  <x:c r="C4231" i="1"/>
  <x:c r="B4232" i="1"/>
  <x:c r="C4232" i="1"/>
  <x:c r="B4233" i="1"/>
  <x:c r="C4233" i="1"/>
  <x:c r="B4234" i="1"/>
  <x:c r="C4234" i="1"/>
  <x:c r="B4235" i="1"/>
  <x:c r="C4235" i="1"/>
  <x:c r="B4236" i="1"/>
  <x:c r="C4236" i="1"/>
  <x:c r="B4237" i="1"/>
  <x:c r="C4237" i="1"/>
  <x:c r="B4238" i="1"/>
  <x:c r="C4238" i="1"/>
  <x:c r="B4239" i="1"/>
  <x:c r="C4239" i="1"/>
  <x:c r="B4240" i="1"/>
  <x:c r="C4240" i="1"/>
  <x:c r="B4241" i="1"/>
  <x:c r="C4241" i="1"/>
  <x:c r="B4242" i="1"/>
  <x:c r="C4242" i="1"/>
  <x:c r="B4243" i="1"/>
  <x:c r="C4243" i="1"/>
  <x:c r="B4244" i="1"/>
  <x:c r="C4244" i="1"/>
  <x:c r="B4245" i="1"/>
  <x:c r="C4245" i="1"/>
  <x:c r="B4246" i="1"/>
  <x:c r="C4246" i="1"/>
  <x:c r="B4247" i="1"/>
  <x:c r="C4247" i="1"/>
  <x:c r="B4248" i="1"/>
  <x:c r="C4248" i="1"/>
  <x:c r="B4249" i="1"/>
  <x:c r="C4249" i="1"/>
  <x:c r="B4250" i="1"/>
  <x:c r="C4250" i="1"/>
  <x:c r="B4251" i="1"/>
  <x:c r="C4251" i="1"/>
  <x:c r="B4252" i="1"/>
  <x:c r="C4252" i="1"/>
  <x:c r="B4253" i="1"/>
  <x:c r="C4253" i="1"/>
  <x:c r="B4254" i="1"/>
  <x:c r="C4254" i="1"/>
  <x:c r="B4255" i="1"/>
  <x:c r="C4255" i="1"/>
  <x:c r="B4256" i="1"/>
  <x:c r="C4256" i="1"/>
  <x:c r="B4257" i="1"/>
  <x:c r="C4257" i="1"/>
  <x:c r="B4258" i="1"/>
  <x:c r="C4258" i="1"/>
  <x:c r="B4259" i="1"/>
  <x:c r="C4259" i="1"/>
  <x:c r="B4260" i="1"/>
  <x:c r="C4260" i="1"/>
  <x:c r="B4261" i="1"/>
  <x:c r="C4261" i="1"/>
  <x:c r="B4262" i="1"/>
  <x:c r="C4262" i="1"/>
  <x:c r="B4263" i="1"/>
  <x:c r="C4263" i="1"/>
  <x:c r="B4264" i="1"/>
  <x:c r="C4264" i="1"/>
  <x:c r="B4265" i="1"/>
  <x:c r="C4265" i="1"/>
  <x:c r="B4266" i="1"/>
  <x:c r="C4266" i="1"/>
  <x:c r="B4267" i="1"/>
  <x:c r="C4267" i="1"/>
  <x:c r="B4268" i="1"/>
  <x:c r="C4268" i="1"/>
  <x:c r="B4269" i="1"/>
  <x:c r="C4269" i="1"/>
  <x:c r="B4270" i="1"/>
  <x:c r="C4270" i="1"/>
  <x:c r="B4271" i="1"/>
  <x:c r="C4271" i="1"/>
  <x:c r="B4272" i="1"/>
  <x:c r="C4272" i="1"/>
  <x:c r="B4273" i="1"/>
  <x:c r="C4273" i="1"/>
  <x:c r="B4274" i="1"/>
  <x:c r="C4274" i="1"/>
  <x:c r="B4275" i="1"/>
  <x:c r="C4275" i="1"/>
  <x:c r="B4276" i="1"/>
  <x:c r="C4276" i="1"/>
  <x:c r="B4277" i="1"/>
  <x:c r="C4277" i="1"/>
  <x:c r="B4278" i="1"/>
  <x:c r="C4278" i="1"/>
  <x:c r="B4279" i="1"/>
  <x:c r="C4279" i="1"/>
  <x:c r="B4280" i="1"/>
  <x:c r="C4280" i="1"/>
  <x:c r="B4281" i="1"/>
  <x:c r="C4281" i="1"/>
  <x:c r="B4282" i="1"/>
  <x:c r="C4282" i="1"/>
  <x:c r="B4283" i="1"/>
  <x:c r="C4283" i="1"/>
  <x:c r="B4284" i="1"/>
  <x:c r="C4284" i="1"/>
  <x:c r="B4285" i="1"/>
  <x:c r="C4285" i="1"/>
  <x:c r="B4286" i="1"/>
  <x:c r="C4286" i="1"/>
  <x:c r="B4287" i="1"/>
  <x:c r="C4287" i="1"/>
  <x:c r="B4288" i="1"/>
  <x:c r="C4288" i="1"/>
  <x:c r="B4289" i="1"/>
  <x:c r="C4289" i="1"/>
  <x:c r="B4290" i="1"/>
  <x:c r="C4290" i="1"/>
  <x:c r="B4291" i="1"/>
  <x:c r="C4291" i="1"/>
  <x:c r="B4292" i="1"/>
  <x:c r="C4292" i="1"/>
  <x:c r="B4293" i="1"/>
  <x:c r="C4293" i="1"/>
  <x:c r="B4294" i="1"/>
  <x:c r="C4294" i="1"/>
  <x:c r="B4295" i="1"/>
  <x:c r="C4295" i="1"/>
  <x:c r="B4296" i="1"/>
  <x:c r="C4296" i="1"/>
  <x:c r="B4297" i="1"/>
  <x:c r="C4297" i="1"/>
  <x:c r="B4298" i="1"/>
  <x:c r="C4298" i="1"/>
  <x:c r="B4299" i="1"/>
  <x:c r="C4299" i="1"/>
  <x:c r="B4300" i="1"/>
  <x:c r="C4300" i="1"/>
  <x:c r="B4301" i="1"/>
  <x:c r="C4301" i="1"/>
  <x:c r="B4302" i="1"/>
  <x:c r="C4302" i="1"/>
  <x:c r="B4303" i="1"/>
  <x:c r="C4303" i="1"/>
  <x:c r="B4304" i="1"/>
  <x:c r="C4304" i="1"/>
  <x:c r="B4305" i="1"/>
  <x:c r="C4305" i="1"/>
  <x:c r="B4306" i="1"/>
  <x:c r="C4306" i="1"/>
  <x:c r="B4307" i="1"/>
  <x:c r="C4307" i="1"/>
  <x:c r="B4308" i="1"/>
  <x:c r="C4308" i="1"/>
  <x:c r="B4309" i="1"/>
  <x:c r="C4309" i="1"/>
  <x:c r="B4310" i="1"/>
  <x:c r="C4310" i="1"/>
  <x:c r="B4311" i="1"/>
  <x:c r="C4311" i="1"/>
  <x:c r="B4312" i="1"/>
  <x:c r="C4312" i="1"/>
  <x:c r="B4313" i="1"/>
  <x:c r="C4313" i="1"/>
  <x:c r="B4314" i="1"/>
  <x:c r="C4314" i="1"/>
  <x:c r="B4315" i="1"/>
  <x:c r="C4315" i="1"/>
  <x:c r="B4316" i="1"/>
  <x:c r="C4316" i="1"/>
  <x:c r="B4317" i="1"/>
  <x:c r="C4317" i="1"/>
  <x:c r="B4318" i="1"/>
  <x:c r="C4318" i="1"/>
  <x:c r="B4319" i="1"/>
  <x:c r="C4319" i="1"/>
  <x:c r="B4320" i="1"/>
  <x:c r="C4320" i="1"/>
  <x:c r="B4321" i="1"/>
  <x:c r="C4321" i="1"/>
  <x:c r="B4322" i="1"/>
  <x:c r="C4322" i="1"/>
  <x:c r="B4323" i="1"/>
  <x:c r="C4323" i="1"/>
  <x:c r="B4324" i="1"/>
  <x:c r="C4324" i="1"/>
  <x:c r="B4325" i="1"/>
  <x:c r="C4325" i="1"/>
  <x:c r="B4326" i="1"/>
  <x:c r="C4326" i="1"/>
  <x:c r="B4327" i="1"/>
  <x:c r="C4327" i="1"/>
  <x:c r="B4328" i="1"/>
  <x:c r="C4328" i="1"/>
  <x:c r="B4329" i="1"/>
  <x:c r="C4329" i="1"/>
  <x:c r="B4330" i="1"/>
  <x:c r="C4330" i="1"/>
  <x:c r="B4331" i="1"/>
  <x:c r="C4331" i="1"/>
  <x:c r="B4332" i="1"/>
  <x:c r="C4332" i="1"/>
  <x:c r="B4333" i="1"/>
  <x:c r="C4333" i="1"/>
  <x:c r="B4334" i="1"/>
  <x:c r="C4334" i="1"/>
  <x:c r="B4335" i="1"/>
  <x:c r="C4335" i="1"/>
  <x:c r="B4336" i="1"/>
  <x:c r="C4336" i="1"/>
  <x:c r="B4337" i="1"/>
  <x:c r="C4337" i="1"/>
  <x:c r="B4338" i="1"/>
  <x:c r="C4338" i="1"/>
  <x:c r="B4339" i="1"/>
  <x:c r="C4339" i="1"/>
  <x:c r="B4340" i="1"/>
  <x:c r="C4340" i="1"/>
  <x:c r="B4341" i="1"/>
  <x:c r="C4341" i="1"/>
  <x:c r="B4342" i="1"/>
  <x:c r="C4342" i="1"/>
  <x:c r="B4343" i="1"/>
  <x:c r="C4343" i="1"/>
  <x:c r="B4344" i="1"/>
  <x:c r="C4344" i="1"/>
  <x:c r="B4345" i="1"/>
  <x:c r="C4345" i="1"/>
  <x:c r="B4346" i="1"/>
  <x:c r="C4346" i="1"/>
  <x:c r="B4347" i="1"/>
  <x:c r="C4347" i="1"/>
  <x:c r="B4348" i="1"/>
  <x:c r="C4348" i="1"/>
  <x:c r="B4349" i="1"/>
  <x:c r="C4349" i="1"/>
  <x:c r="B4350" i="1"/>
  <x:c r="C4350" i="1"/>
  <x:c r="B4351" i="1"/>
  <x:c r="C4351" i="1"/>
  <x:c r="B4352" i="1"/>
  <x:c r="C4352" i="1"/>
  <x:c r="B4353" i="1"/>
  <x:c r="C4353" i="1"/>
  <x:c r="B4354" i="1"/>
  <x:c r="C4354" i="1"/>
  <x:c r="B4355" i="1"/>
  <x:c r="C4355" i="1"/>
  <x:c r="B4356" i="1"/>
  <x:c r="C4356" i="1"/>
  <x:c r="B4357" i="1"/>
  <x:c r="C4357" i="1"/>
  <x:c r="B4358" i="1"/>
  <x:c r="C4358" i="1"/>
  <x:c r="B4359" i="1"/>
  <x:c r="C4359" i="1"/>
  <x:c r="B4360" i="1"/>
  <x:c r="C4360" i="1"/>
  <x:c r="B4361" i="1"/>
  <x:c r="C4361" i="1"/>
  <x:c r="B4362" i="1"/>
  <x:c r="C4362" i="1"/>
  <x:c r="B4363" i="1"/>
  <x:c r="C4363" i="1"/>
  <x:c r="B4364" i="1"/>
  <x:c r="C4364" i="1"/>
  <x:c r="B4365" i="1"/>
  <x:c r="C4365" i="1"/>
  <x:c r="B4366" i="1"/>
  <x:c r="C4366" i="1"/>
  <x:c r="B4367" i="1"/>
  <x:c r="C4367" i="1"/>
  <x:c r="B4368" i="1"/>
  <x:c r="C4368" i="1"/>
  <x:c r="B4369" i="1"/>
  <x:c r="C4369" i="1"/>
  <x:c r="B4370" i="1"/>
  <x:c r="C4370" i="1"/>
  <x:c r="B4371" i="1"/>
  <x:c r="C4371" i="1"/>
  <x:c r="B4372" i="1"/>
  <x:c r="C4372" i="1"/>
  <x:c r="B4373" i="1"/>
  <x:c r="C4373" i="1"/>
  <x:c r="B4374" i="1"/>
  <x:c r="C4374" i="1"/>
  <x:c r="B4375" i="1"/>
  <x:c r="C4375" i="1"/>
  <x:c r="B4376" i="1"/>
  <x:c r="C4376" i="1"/>
  <x:c r="B4377" i="1"/>
  <x:c r="C4377" i="1"/>
  <x:c r="B4378" i="1"/>
  <x:c r="C4378" i="1"/>
  <x:c r="B4379" i="1"/>
  <x:c r="C4379" i="1"/>
  <x:c r="B4380" i="1"/>
  <x:c r="C4380" i="1"/>
  <x:c r="B4381" i="1"/>
  <x:c r="C4381" i="1"/>
  <x:c r="B4382" i="1"/>
  <x:c r="C4382" i="1"/>
  <x:c r="B4383" i="1"/>
  <x:c r="C4383" i="1"/>
  <x:c r="B4384" i="1"/>
  <x:c r="C4384" i="1"/>
  <x:c r="B4385" i="1"/>
  <x:c r="C4385" i="1"/>
  <x:c r="B4386" i="1"/>
  <x:c r="C4386" i="1"/>
  <x:c r="B4387" i="1"/>
  <x:c r="C4387" i="1"/>
  <x:c r="B4388" i="1"/>
  <x:c r="C4388" i="1"/>
  <x:c r="B4389" i="1"/>
  <x:c r="C4389" i="1"/>
  <x:c r="B4390" i="1"/>
  <x:c r="C4390" i="1"/>
  <x:c r="B4391" i="1"/>
  <x:c r="C4391" i="1"/>
  <x:c r="B4392" i="1"/>
  <x:c r="C4392" i="1"/>
  <x:c r="B4393" i="1"/>
  <x:c r="C4393" i="1"/>
  <x:c r="B4394" i="1"/>
  <x:c r="C4394" i="1"/>
  <x:c r="B4395" i="1"/>
  <x:c r="C4395" i="1"/>
  <x:c r="B4396" i="1"/>
  <x:c r="C4396" i="1"/>
  <x:c r="B4397" i="1"/>
  <x:c r="C4397" i="1"/>
  <x:c r="B4398" i="1"/>
  <x:c r="C4398" i="1"/>
  <x:c r="B4399" i="1"/>
  <x:c r="C4399" i="1"/>
  <x:c r="B4400" i="1"/>
  <x:c r="C4400" i="1"/>
  <x:c r="B4401" i="1"/>
  <x:c r="C4401" i="1"/>
  <x:c r="B4402" i="1"/>
  <x:c r="C4402" i="1"/>
  <x:c r="B4403" i="1"/>
  <x:c r="C4403" i="1"/>
  <x:c r="B4404" i="1"/>
  <x:c r="C4404" i="1"/>
  <x:c r="B4405" i="1"/>
  <x:c r="C4405" i="1"/>
  <x:c r="B4406" i="1"/>
  <x:c r="C4406" i="1"/>
  <x:c r="B4407" i="1"/>
  <x:c r="C4407" i="1"/>
  <x:c r="B4408" i="1"/>
  <x:c r="C4408" i="1"/>
  <x:c r="B4409" i="1"/>
  <x:c r="C4409" i="1"/>
  <x:c r="B4410" i="1"/>
  <x:c r="C4410" i="1"/>
  <x:c r="B4411" i="1"/>
  <x:c r="C4411" i="1"/>
  <x:c r="B4412" i="1"/>
  <x:c r="C4412" i="1"/>
  <x:c r="B4413" i="1"/>
  <x:c r="C4413" i="1"/>
  <x:c r="B4414" i="1"/>
  <x:c r="C4414" i="1"/>
  <x:c r="B4415" i="1"/>
  <x:c r="C4415" i="1"/>
  <x:c r="B4416" i="1"/>
  <x:c r="C4416" i="1"/>
  <x:c r="B4417" i="1"/>
  <x:c r="C4417" i="1"/>
  <x:c r="B4418" i="1"/>
  <x:c r="C4418" i="1"/>
  <x:c r="B4419" i="1"/>
  <x:c r="C4419" i="1"/>
  <x:c r="B4420" i="1"/>
  <x:c r="C4420" i="1"/>
  <x:c r="B4421" i="1"/>
  <x:c r="C4421" i="1"/>
  <x:c r="B4422" i="1"/>
  <x:c r="C4422" i="1"/>
  <x:c r="B4423" i="1"/>
  <x:c r="C4423" i="1"/>
  <x:c r="B4424" i="1"/>
  <x:c r="C4424" i="1"/>
  <x:c r="B4425" i="1"/>
  <x:c r="C4425" i="1"/>
  <x:c r="B4426" i="1"/>
  <x:c r="C4426" i="1"/>
  <x:c r="B4427" i="1"/>
  <x:c r="C4427" i="1"/>
  <x:c r="B4428" i="1"/>
  <x:c r="C4428" i="1"/>
  <x:c r="B4429" i="1"/>
  <x:c r="C4429" i="1"/>
  <x:c r="B4430" i="1"/>
  <x:c r="C4430" i="1"/>
  <x:c r="B4431" i="1"/>
  <x:c r="C4431" i="1"/>
  <x:c r="B4432" i="1"/>
  <x:c r="C4432" i="1"/>
  <x:c r="B4433" i="1"/>
  <x:c r="C4433" i="1"/>
  <x:c r="B4434" i="1"/>
  <x:c r="C4434" i="1"/>
  <x:c r="B4435" i="1"/>
  <x:c r="C4435" i="1"/>
  <x:c r="B4436" i="1"/>
  <x:c r="C4436" i="1"/>
  <x:c r="B4437" i="1"/>
  <x:c r="C4437" i="1"/>
  <x:c r="B4438" i="1"/>
  <x:c r="C4438" i="1"/>
  <x:c r="B4439" i="1"/>
  <x:c r="C4439" i="1"/>
  <x:c r="B4440" i="1"/>
  <x:c r="C4440" i="1"/>
  <x:c r="B4441" i="1"/>
  <x:c r="C4441" i="1"/>
  <x:c r="B4442" i="1"/>
  <x:c r="C4442" i="1"/>
  <x:c r="B4443" i="1"/>
  <x:c r="C4443" i="1"/>
  <x:c r="B4444" i="1"/>
  <x:c r="C4444" i="1"/>
  <x:c r="B4445" i="1"/>
  <x:c r="C4445" i="1"/>
  <x:c r="B4446" i="1"/>
  <x:c r="C4446" i="1"/>
  <x:c r="B4447" i="1"/>
  <x:c r="C4447" i="1"/>
  <x:c r="B4448" i="1"/>
  <x:c r="C4448" i="1"/>
  <x:c r="B4449" i="1"/>
  <x:c r="C4449" i="1"/>
  <x:c r="B4450" i="1"/>
  <x:c r="C4450" i="1"/>
  <x:c r="B4451" i="1"/>
  <x:c r="C4451" i="1"/>
  <x:c r="B4452" i="1"/>
  <x:c r="C4452" i="1"/>
  <x:c r="B4453" i="1"/>
  <x:c r="C4453" i="1"/>
  <x:c r="B4454" i="1"/>
  <x:c r="C4454" i="1"/>
  <x:c r="B4455" i="1"/>
  <x:c r="C4455" i="1"/>
  <x:c r="B4456" i="1"/>
  <x:c r="C4456" i="1"/>
  <x:c r="B4457" i="1"/>
  <x:c r="C4457" i="1"/>
  <x:c r="B4458" i="1"/>
  <x:c r="C4458" i="1"/>
  <x:c r="B4459" i="1"/>
  <x:c r="C4459" i="1"/>
  <x:c r="B4460" i="1"/>
  <x:c r="C4460" i="1"/>
  <x:c r="B4461" i="1"/>
  <x:c r="C4461" i="1"/>
  <x:c r="B4462" i="1"/>
  <x:c r="C4462" i="1"/>
  <x:c r="B4463" i="1"/>
  <x:c r="C4463" i="1"/>
  <x:c r="B4464" i="1"/>
  <x:c r="C4464" i="1"/>
  <x:c r="B4465" i="1"/>
  <x:c r="C4465" i="1"/>
  <x:c r="B4466" i="1"/>
  <x:c r="C4466" i="1"/>
  <x:c r="B4467" i="1"/>
  <x:c r="C4467" i="1"/>
  <x:c r="B4468" i="1"/>
  <x:c r="C4468" i="1"/>
  <x:c r="B4469" i="1"/>
  <x:c r="C4469" i="1"/>
  <x:c r="B4470" i="1"/>
  <x:c r="C4470" i="1"/>
  <x:c r="B4471" i="1"/>
  <x:c r="C4471" i="1"/>
  <x:c r="B4472" i="1"/>
  <x:c r="C4472" i="1"/>
  <x:c r="B4473" i="1"/>
  <x:c r="C4473" i="1"/>
  <x:c r="B4474" i="1"/>
  <x:c r="C4474" i="1"/>
  <x:c r="B4475" i="1"/>
  <x:c r="C4475" i="1"/>
  <x:c r="B4476" i="1"/>
  <x:c r="C4476" i="1"/>
  <x:c r="B4477" i="1"/>
  <x:c r="C4477" i="1"/>
  <x:c r="B4478" i="1"/>
  <x:c r="C4478" i="1"/>
  <x:c r="B4479" i="1"/>
  <x:c r="C4479" i="1"/>
  <x:c r="B4480" i="1"/>
  <x:c r="C4480" i="1"/>
  <x:c r="B4481" i="1"/>
  <x:c r="C4481" i="1"/>
  <x:c r="B4482" i="1"/>
  <x:c r="C4482" i="1"/>
  <x:c r="B4483" i="1"/>
  <x:c r="C4483" i="1"/>
  <x:c r="B4484" i="1"/>
  <x:c r="C4484" i="1"/>
  <x:c r="B4485" i="1"/>
  <x:c r="C4485" i="1"/>
  <x:c r="B4486" i="1"/>
  <x:c r="C4486" i="1"/>
  <x:c r="B4487" i="1"/>
  <x:c r="C4487" i="1"/>
  <x:c r="B4488" i="1"/>
  <x:c r="C4488" i="1"/>
  <x:c r="B4489" i="1"/>
  <x:c r="C4489" i="1"/>
  <x:c r="B4490" i="1"/>
  <x:c r="C4490" i="1"/>
  <x:c r="B4491" i="1"/>
  <x:c r="C4491" i="1"/>
  <x:c r="B4492" i="1"/>
  <x:c r="C4492" i="1"/>
  <x:c r="B4493" i="1"/>
  <x:c r="C4493" i="1"/>
  <x:c r="B4494" i="1"/>
  <x:c r="C4494" i="1"/>
  <x:c r="B4495" i="1"/>
  <x:c r="C4495" i="1"/>
  <x:c r="B4496" i="1"/>
  <x:c r="C4496" i="1"/>
  <x:c r="B4497" i="1"/>
  <x:c r="C4497" i="1"/>
  <x:c r="B4498" i="1"/>
  <x:c r="C4498" i="1"/>
  <x:c r="B4499" i="1"/>
  <x:c r="C4499" i="1"/>
  <x:c r="B4500" i="1"/>
  <x:c r="C4500" i="1"/>
  <x:c r="B4501" i="1"/>
  <x:c r="C4501" i="1"/>
  <x:c r="B4502" i="1"/>
  <x:c r="C4502" i="1"/>
  <x:c r="B4503" i="1"/>
  <x:c r="C4503" i="1"/>
  <x:c r="B4504" i="1"/>
  <x:c r="C4504" i="1"/>
  <x:c r="B4505" i="1"/>
  <x:c r="C4505" i="1"/>
  <x:c r="B4506" i="1"/>
  <x:c r="C4506" i="1"/>
  <x:c r="B4507" i="1"/>
  <x:c r="C4507" i="1"/>
  <x:c r="B4508" i="1"/>
  <x:c r="C4508" i="1"/>
  <x:c r="B4509" i="1"/>
  <x:c r="C4509" i="1"/>
  <x:c r="B4510" i="1"/>
  <x:c r="C4510" i="1"/>
  <x:c r="B4511" i="1"/>
  <x:c r="C4511" i="1"/>
  <x:c r="B4512" i="1"/>
  <x:c r="C4512" i="1"/>
  <x:c r="B4513" i="1"/>
  <x:c r="C4513" i="1"/>
  <x:c r="B4514" i="1"/>
  <x:c r="C4514" i="1"/>
  <x:c r="B4515" i="1"/>
  <x:c r="C4515" i="1"/>
  <x:c r="B4516" i="1"/>
  <x:c r="C4516" i="1"/>
  <x:c r="B4517" i="1"/>
  <x:c r="C4517" i="1"/>
  <x:c r="B4518" i="1"/>
  <x:c r="C4518" i="1"/>
  <x:c r="B4519" i="1"/>
  <x:c r="C4519" i="1"/>
  <x:c r="B4520" i="1"/>
  <x:c r="C4520" i="1"/>
  <x:c r="B4521" i="1"/>
  <x:c r="C4521" i="1"/>
  <x:c r="B4522" i="1"/>
  <x:c r="C4522" i="1"/>
  <x:c r="B4523" i="1"/>
  <x:c r="C4523" i="1"/>
  <x:c r="B4524" i="1"/>
  <x:c r="C4524" i="1"/>
  <x:c r="B4525" i="1"/>
  <x:c r="C4525" i="1"/>
  <x:c r="B4526" i="1"/>
  <x:c r="C4526" i="1"/>
  <x:c r="B4527" i="1"/>
  <x:c r="C4527" i="1"/>
  <x:c r="B4528" i="1"/>
  <x:c r="C4528" i="1"/>
  <x:c r="B4529" i="1"/>
  <x:c r="C4529" i="1"/>
  <x:c r="B4530" i="1"/>
  <x:c r="C4530" i="1"/>
  <x:c r="B4531" i="1"/>
  <x:c r="C4531" i="1"/>
  <x:c r="B4532" i="1"/>
  <x:c r="C4532" i="1"/>
  <x:c r="B4533" i="1"/>
  <x:c r="C4533" i="1"/>
  <x:c r="B4534" i="1"/>
  <x:c r="C4534" i="1"/>
  <x:c r="B4535" i="1"/>
  <x:c r="C4535" i="1"/>
  <x:c r="B4536" i="1"/>
  <x:c r="C4536" i="1"/>
  <x:c r="B4537" i="1"/>
  <x:c r="C4537" i="1"/>
  <x:c r="B4538" i="1"/>
  <x:c r="C4538" i="1"/>
  <x:c r="B4539" i="1"/>
  <x:c r="C4539" i="1"/>
  <x:c r="B4540" i="1"/>
  <x:c r="C4540" i="1"/>
  <x:c r="B4541" i="1"/>
  <x:c r="C4541" i="1"/>
  <x:c r="B4542" i="1"/>
  <x:c r="C4542" i="1"/>
  <x:c r="B4543" i="1"/>
  <x:c r="C4543" i="1"/>
  <x:c r="B4544" i="1"/>
  <x:c r="C4544" i="1"/>
  <x:c r="B4545" i="1"/>
  <x:c r="C4545" i="1"/>
  <x:c r="B4546" i="1"/>
  <x:c r="C4546" i="1"/>
  <x:c r="B4547" i="1"/>
  <x:c r="C4547" i="1"/>
  <x:c r="B4548" i="1"/>
  <x:c r="C4548" i="1"/>
  <x:c r="B4549" i="1"/>
  <x:c r="C4549" i="1"/>
  <x:c r="B4550" i="1"/>
  <x:c r="C4550" i="1"/>
  <x:c r="B4551" i="1"/>
  <x:c r="C4551" i="1"/>
  <x:c r="B4552" i="1"/>
  <x:c r="C4552" i="1"/>
  <x:c r="B4553" i="1"/>
  <x:c r="C4553" i="1"/>
  <x:c r="B4554" i="1"/>
  <x:c r="C4554" i="1"/>
  <x:c r="B4555" i="1"/>
  <x:c r="C4555" i="1"/>
  <x:c r="B4556" i="1"/>
  <x:c r="C4556" i="1"/>
  <x:c r="B4557" i="1"/>
  <x:c r="C4557" i="1"/>
  <x:c r="B4558" i="1"/>
  <x:c r="C4558" i="1"/>
  <x:c r="B4559" i="1"/>
  <x:c r="C4559" i="1"/>
  <x:c r="B4560" i="1"/>
  <x:c r="C4560" i="1"/>
  <x:c r="B4561" i="1"/>
  <x:c r="C4561" i="1"/>
  <x:c r="B4562" i="1"/>
  <x:c r="C4562" i="1"/>
  <x:c r="B4563" i="1"/>
  <x:c r="C4563" i="1"/>
  <x:c r="B4564" i="1"/>
  <x:c r="C4564" i="1"/>
  <x:c r="B4565" i="1"/>
  <x:c r="C4565" i="1"/>
  <x:c r="B4566" i="1"/>
  <x:c r="C4566" i="1"/>
  <x:c r="B4567" i="1"/>
  <x:c r="C4567" i="1"/>
  <x:c r="B4568" i="1"/>
  <x:c r="C4568" i="1"/>
  <x:c r="B4569" i="1"/>
  <x:c r="C4569" i="1"/>
  <x:c r="B4570" i="1"/>
  <x:c r="C4570" i="1"/>
  <x:c r="B4571" i="1"/>
  <x:c r="C4571" i="1"/>
  <x:c r="B4572" i="1"/>
  <x:c r="C4572" i="1"/>
  <x:c r="B4573" i="1"/>
  <x:c r="C4573" i="1"/>
  <x:c r="B4574" i="1"/>
  <x:c r="C4574" i="1"/>
  <x:c r="B4575" i="1"/>
  <x:c r="C4575" i="1"/>
  <x:c r="B4576" i="1"/>
  <x:c r="C4576" i="1"/>
  <x:c r="B4577" i="1"/>
  <x:c r="C4577" i="1"/>
  <x:c r="B4578" i="1"/>
  <x:c r="C4578" i="1"/>
  <x:c r="B4579" i="1"/>
  <x:c r="C4579" i="1"/>
  <x:c r="B4580" i="1"/>
  <x:c r="C4580" i="1"/>
  <x:c r="B4581" i="1"/>
  <x:c r="C4581" i="1"/>
  <x:c r="B4582" i="1"/>
  <x:c r="C4582" i="1"/>
  <x:c r="B4583" i="1"/>
  <x:c r="C4583" i="1"/>
  <x:c r="B4584" i="1"/>
  <x:c r="C4584" i="1"/>
  <x:c r="B4585" i="1"/>
  <x:c r="C4585" i="1"/>
  <x:c r="B4586" i="1"/>
  <x:c r="C4586" i="1"/>
  <x:c r="B4587" i="1"/>
  <x:c r="C4587" i="1"/>
  <x:c r="B4588" i="1"/>
  <x:c r="C4588" i="1"/>
  <x:c r="B4589" i="1"/>
  <x:c r="C4589" i="1"/>
  <x:c r="B4590" i="1"/>
  <x:c r="C4590" i="1"/>
  <x:c r="B4591" i="1"/>
  <x:c r="C4591" i="1"/>
  <x:c r="B4592" i="1"/>
  <x:c r="C4592" i="1"/>
  <x:c r="B4593" i="1"/>
  <x:c r="C4593" i="1"/>
  <x:c r="B4594" i="1"/>
  <x:c r="C4594" i="1"/>
  <x:c r="B4595" i="1"/>
  <x:c r="C4595" i="1"/>
  <x:c r="B4596" i="1"/>
  <x:c r="C4596" i="1"/>
  <x:c r="B4597" i="1"/>
  <x:c r="C4597" i="1"/>
  <x:c r="B4598" i="1"/>
  <x:c r="C4598" i="1"/>
  <x:c r="B4599" i="1"/>
  <x:c r="C4599" i="1"/>
  <x:c r="B4600" i="1"/>
  <x:c r="C4600" i="1"/>
  <x:c r="B4601" i="1"/>
  <x:c r="C4601" i="1"/>
  <x:c r="B4602" i="1"/>
  <x:c r="C4602" i="1"/>
  <x:c r="B4603" i="1"/>
  <x:c r="C4603" i="1"/>
  <x:c r="B4604" i="1"/>
  <x:c r="C4604" i="1"/>
  <x:c r="B4605" i="1"/>
  <x:c r="C4605" i="1"/>
  <x:c r="B4606" i="1"/>
  <x:c r="C4606" i="1"/>
  <x:c r="B4607" i="1"/>
  <x:c r="C4607" i="1"/>
  <x:c r="B4608" i="1"/>
  <x:c r="C4608" i="1"/>
  <x:c r="B4609" i="1"/>
  <x:c r="C4609" i="1"/>
  <x:c r="B4610" i="1"/>
  <x:c r="C4610" i="1"/>
  <x:c r="B4611" i="1"/>
  <x:c r="C4611" i="1"/>
  <x:c r="B4612" i="1"/>
  <x:c r="C4612" i="1"/>
  <x:c r="B4613" i="1"/>
  <x:c r="C4613" i="1"/>
  <x:c r="B4614" i="1"/>
  <x:c r="C4614" i="1"/>
  <x:c r="B4615" i="1"/>
  <x:c r="C4615" i="1"/>
  <x:c r="B4616" i="1"/>
  <x:c r="C4616" i="1"/>
  <x:c r="B4617" i="1"/>
  <x:c r="C4617" i="1"/>
  <x:c r="B4618" i="1"/>
  <x:c r="C4618" i="1"/>
  <x:c r="B4619" i="1"/>
  <x:c r="C4619" i="1"/>
  <x:c r="B4620" i="1"/>
  <x:c r="C4620" i="1"/>
  <x:c r="B4621" i="1"/>
  <x:c r="C4621" i="1"/>
  <x:c r="B4622" i="1"/>
  <x:c r="C4622" i="1"/>
  <x:c r="B4623" i="1"/>
  <x:c r="C4623" i="1"/>
  <x:c r="B4624" i="1"/>
  <x:c r="C4624" i="1"/>
  <x:c r="B4625" i="1"/>
  <x:c r="C4625" i="1"/>
  <x:c r="B4626" i="1"/>
  <x:c r="C4626" i="1"/>
  <x:c r="B4627" i="1"/>
  <x:c r="C4627" i="1"/>
  <x:c r="B4628" i="1"/>
  <x:c r="C4628" i="1"/>
  <x:c r="B4629" i="1"/>
  <x:c r="C4629" i="1"/>
  <x:c r="B4630" i="1"/>
  <x:c r="C4630" i="1"/>
  <x:c r="B4631" i="1"/>
  <x:c r="C4631" i="1"/>
  <x:c r="B4632" i="1"/>
  <x:c r="C4632" i="1"/>
  <x:c r="B4633" i="1"/>
  <x:c r="C4633" i="1"/>
  <x:c r="B4634" i="1"/>
  <x:c r="C4634" i="1"/>
  <x:c r="B4635" i="1"/>
  <x:c r="C4635" i="1"/>
  <x:c r="B4636" i="1"/>
  <x:c r="C4636" i="1"/>
  <x:c r="B4637" i="1"/>
  <x:c r="C4637" i="1"/>
  <x:c r="B4638" i="1"/>
  <x:c r="C4638" i="1"/>
  <x:c r="B4639" i="1"/>
  <x:c r="C4639" i="1"/>
  <x:c r="B4640" i="1"/>
  <x:c r="C4640" i="1"/>
  <x:c r="B4641" i="1"/>
  <x:c r="C4641" i="1"/>
  <x:c r="B4642" i="1"/>
  <x:c r="C4642" i="1"/>
  <x:c r="B4643" i="1"/>
  <x:c r="C4643" i="1"/>
  <x:c r="B4644" i="1"/>
  <x:c r="C4644" i="1"/>
  <x:c r="B4645" i="1"/>
  <x:c r="C4645" i="1"/>
  <x:c r="B4646" i="1"/>
  <x:c r="C4646" i="1"/>
  <x:c r="B4647" i="1"/>
  <x:c r="C4647" i="1"/>
  <x:c r="B4648" i="1"/>
  <x:c r="C4648" i="1"/>
  <x:c r="B4649" i="1"/>
  <x:c r="C4649" i="1"/>
  <x:c r="B4650" i="1"/>
  <x:c r="C4650" i="1"/>
  <x:c r="B4651" i="1"/>
  <x:c r="C4651" i="1"/>
  <x:c r="B4652" i="1"/>
  <x:c r="C4652" i="1"/>
  <x:c r="B4653" i="1"/>
  <x:c r="C4653" i="1"/>
  <x:c r="B4654" i="1"/>
  <x:c r="C4654" i="1"/>
  <x:c r="B4655" i="1"/>
  <x:c r="C4655" i="1"/>
  <x:c r="B4656" i="1"/>
  <x:c r="C4656" i="1"/>
  <x:c r="B4657" i="1"/>
  <x:c r="C4657" i="1"/>
  <x:c r="B4658" i="1"/>
  <x:c r="C4658" i="1"/>
  <x:c r="B4659" i="1"/>
  <x:c r="C4659" i="1"/>
  <x:c r="B4660" i="1"/>
  <x:c r="C4660" i="1"/>
  <x:c r="B4661" i="1"/>
  <x:c r="C4661" i="1"/>
  <x:c r="B4662" i="1"/>
  <x:c r="C4662" i="1"/>
  <x:c r="B4663" i="1"/>
  <x:c r="C4663" i="1"/>
  <x:c r="B4664" i="1"/>
  <x:c r="C4664" i="1"/>
  <x:c r="B4665" i="1"/>
  <x:c r="C4665" i="1"/>
  <x:c r="B4666" i="1"/>
  <x:c r="C4666" i="1"/>
  <x:c r="B4667" i="1"/>
  <x:c r="C4667" i="1"/>
  <x:c r="B4668" i="1"/>
  <x:c r="C4668" i="1"/>
  <x:c r="B4669" i="1"/>
  <x:c r="C4669" i="1"/>
  <x:c r="B4670" i="1"/>
  <x:c r="C4670" i="1"/>
  <x:c r="B4671" i="1"/>
  <x:c r="C4671" i="1"/>
  <x:c r="B4672" i="1"/>
  <x:c r="C4672" i="1"/>
  <x:c r="B4673" i="1"/>
  <x:c r="C4673" i="1"/>
  <x:c r="B4674" i="1"/>
  <x:c r="C4674" i="1"/>
  <x:c r="B4675" i="1"/>
  <x:c r="C4675" i="1"/>
  <x:c r="B4676" i="1"/>
  <x:c r="C4676" i="1"/>
  <x:c r="B4677" i="1"/>
  <x:c r="C4677" i="1"/>
  <x:c r="B4678" i="1"/>
  <x:c r="C4678" i="1"/>
  <x:c r="B4679" i="1"/>
  <x:c r="C4679" i="1"/>
  <x:c r="B4680" i="1"/>
  <x:c r="C4680" i="1"/>
  <x:c r="B4681" i="1"/>
  <x:c r="C4681" i="1"/>
  <x:c r="B4682" i="1"/>
  <x:c r="C4682" i="1"/>
  <x:c r="B4683" i="1"/>
  <x:c r="C4683" i="1"/>
  <x:c r="B4684" i="1"/>
  <x:c r="C4684" i="1"/>
  <x:c r="B4685" i="1"/>
  <x:c r="C4685" i="1"/>
  <x:c r="B4686" i="1"/>
  <x:c r="C4686" i="1"/>
  <x:c r="B4687" i="1"/>
  <x:c r="C4687" i="1"/>
  <x:c r="B4688" i="1"/>
  <x:c r="C4688" i="1"/>
  <x:c r="B4689" i="1"/>
  <x:c r="C4689" i="1"/>
  <x:c r="B4690" i="1"/>
  <x:c r="C4690" i="1"/>
  <x:c r="B4691" i="1"/>
  <x:c r="C4691" i="1"/>
  <x:c r="B4692" i="1"/>
  <x:c r="C4692" i="1"/>
  <x:c r="B4693" i="1"/>
  <x:c r="C4693" i="1"/>
  <x:c r="B4694" i="1"/>
  <x:c r="C4694" i="1"/>
  <x:c r="B4695" i="1"/>
  <x:c r="C4695" i="1"/>
  <x:c r="B4696" i="1"/>
  <x:c r="C4696" i="1"/>
  <x:c r="B4697" i="1"/>
  <x:c r="C4697" i="1"/>
  <x:c r="B4698" i="1"/>
  <x:c r="C4698" i="1"/>
  <x:c r="B4699" i="1"/>
  <x:c r="C4699" i="1"/>
  <x:c r="B4700" i="1"/>
  <x:c r="C4700" i="1"/>
  <x:c r="B4701" i="1"/>
  <x:c r="C4701" i="1"/>
  <x:c r="B4702" i="1"/>
  <x:c r="C4702" i="1"/>
  <x:c r="B4703" i="1"/>
  <x:c r="C4703" i="1"/>
  <x:c r="B4704" i="1"/>
  <x:c r="C4704" i="1"/>
  <x:c r="B4705" i="1"/>
  <x:c r="C4705" i="1"/>
  <x:c r="B4706" i="1"/>
  <x:c r="C4706" i="1"/>
  <x:c r="B4707" i="1"/>
  <x:c r="C4707" i="1"/>
  <x:c r="B4708" i="1"/>
  <x:c r="C4708" i="1"/>
  <x:c r="B4709" i="1"/>
  <x:c r="C4709" i="1"/>
  <x:c r="B4710" i="1"/>
  <x:c r="C4710" i="1"/>
  <x:c r="B4711" i="1"/>
  <x:c r="C4711" i="1"/>
  <x:c r="B4712" i="1"/>
  <x:c r="C4712" i="1"/>
  <x:c r="B4713" i="1"/>
  <x:c r="C4713" i="1"/>
  <x:c r="B4714" i="1"/>
  <x:c r="C4714" i="1"/>
  <x:c r="B4715" i="1"/>
  <x:c r="C4715" i="1"/>
  <x:c r="B4716" i="1"/>
  <x:c r="C4716" i="1"/>
  <x:c r="B4717" i="1"/>
  <x:c r="C4717" i="1"/>
  <x:c r="B4718" i="1"/>
  <x:c r="C4718" i="1"/>
  <x:c r="B4719" i="1"/>
  <x:c r="C4719" i="1"/>
  <x:c r="B4720" i="1"/>
  <x:c r="C4720" i="1"/>
  <x:c r="B4721" i="1"/>
  <x:c r="C4721" i="1"/>
  <x:c r="B4722" i="1"/>
  <x:c r="C4722" i="1"/>
  <x:c r="B4723" i="1"/>
  <x:c r="C4723" i="1"/>
  <x:c r="B4724" i="1"/>
  <x:c r="C4724" i="1"/>
  <x:c r="B4725" i="1"/>
  <x:c r="C4725" i="1"/>
  <x:c r="B4726" i="1"/>
  <x:c r="C4726" i="1"/>
  <x:c r="B4727" i="1"/>
  <x:c r="C4727" i="1"/>
  <x:c r="B4728" i="1"/>
  <x:c r="C4728" i="1"/>
  <x:c r="B4729" i="1"/>
  <x:c r="C4729" i="1"/>
  <x:c r="B4730" i="1"/>
  <x:c r="C4730" i="1"/>
  <x:c r="B4731" i="1"/>
  <x:c r="C4731" i="1"/>
  <x:c r="B4732" i="1"/>
  <x:c r="C4732" i="1"/>
  <x:c r="B4733" i="1"/>
  <x:c r="C4733" i="1"/>
  <x:c r="B4734" i="1"/>
  <x:c r="C4734" i="1"/>
  <x:c r="B4735" i="1"/>
  <x:c r="C4735" i="1"/>
  <x:c r="B4736" i="1"/>
  <x:c r="C4736" i="1"/>
  <x:c r="B4737" i="1"/>
  <x:c r="C4737" i="1"/>
  <x:c r="B4738" i="1"/>
  <x:c r="C4738" i="1"/>
  <x:c r="B4739" i="1"/>
  <x:c r="C4739" i="1"/>
  <x:c r="B4740" i="1"/>
  <x:c r="C4740" i="1"/>
  <x:c r="B4741" i="1"/>
  <x:c r="C4741" i="1"/>
  <x:c r="B4742" i="1"/>
  <x:c r="C4742" i="1"/>
  <x:c r="B4743" i="1"/>
  <x:c r="C4743" i="1"/>
  <x:c r="B4744" i="1"/>
  <x:c r="C4744" i="1"/>
  <x:c r="B4745" i="1"/>
  <x:c r="C4745" i="1"/>
  <x:c r="B4746" i="1"/>
  <x:c r="C4746" i="1"/>
  <x:c r="B4747" i="1"/>
  <x:c r="C4747" i="1"/>
  <x:c r="B4748" i="1"/>
  <x:c r="C4748" i="1"/>
  <x:c r="B4749" i="1"/>
  <x:c r="C4749" i="1"/>
  <x:c r="B4750" i="1"/>
  <x:c r="C4750" i="1"/>
  <x:c r="B4751" i="1"/>
  <x:c r="C4751" i="1"/>
  <x:c r="B4752" i="1"/>
  <x:c r="C4752" i="1"/>
  <x:c r="B4753" i="1"/>
  <x:c r="C4753" i="1"/>
  <x:c r="B4754" i="1"/>
  <x:c r="C4754" i="1"/>
  <x:c r="B4755" i="1"/>
  <x:c r="C4755" i="1"/>
  <x:c r="B4756" i="1"/>
  <x:c r="C4756" i="1"/>
  <x:c r="B4757" i="1"/>
  <x:c r="C4757" i="1"/>
  <x:c r="B4758" i="1"/>
  <x:c r="C4758" i="1"/>
  <x:c r="B4759" i="1"/>
  <x:c r="C4759" i="1"/>
  <x:c r="B4760" i="1"/>
  <x:c r="C4760" i="1"/>
  <x:c r="B4761" i="1"/>
  <x:c r="C4761" i="1"/>
  <x:c r="B4762" i="1"/>
  <x:c r="C4762" i="1"/>
  <x:c r="B4763" i="1"/>
  <x:c r="C4763" i="1"/>
  <x:c r="B4764" i="1"/>
  <x:c r="C4764" i="1"/>
  <x:c r="B4765" i="1"/>
  <x:c r="C4765" i="1"/>
  <x:c r="B4766" i="1"/>
  <x:c r="C4766" i="1"/>
  <x:c r="B4767" i="1"/>
  <x:c r="C4767" i="1"/>
  <x:c r="B4768" i="1"/>
  <x:c r="C4768" i="1"/>
  <x:c r="B4769" i="1"/>
  <x:c r="C4769" i="1"/>
  <x:c r="B4770" i="1"/>
  <x:c r="C4770" i="1"/>
  <x:c r="B4771" i="1"/>
  <x:c r="C4771" i="1"/>
  <x:c r="B4772" i="1"/>
  <x:c r="C4772" i="1"/>
  <x:c r="B4773" i="1"/>
  <x:c r="C4773" i="1"/>
  <x:c r="B4774" i="1"/>
  <x:c r="C4774" i="1"/>
  <x:c r="B4775" i="1"/>
  <x:c r="C4775" i="1"/>
  <x:c r="B4776" i="1"/>
  <x:c r="C4776" i="1"/>
  <x:c r="B4777" i="1"/>
  <x:c r="C4777" i="1"/>
  <x:c r="B4778" i="1"/>
  <x:c r="C4778" i="1"/>
  <x:c r="B4779" i="1"/>
  <x:c r="C4779" i="1"/>
  <x:c r="B4780" i="1"/>
  <x:c r="C4780" i="1"/>
  <x:c r="B4781" i="1"/>
  <x:c r="C4781" i="1"/>
  <x:c r="B4782" i="1"/>
  <x:c r="C4782" i="1"/>
  <x:c r="B4783" i="1"/>
  <x:c r="C4783" i="1"/>
  <x:c r="B4784" i="1"/>
  <x:c r="C4784" i="1"/>
  <x:c r="B4785" i="1"/>
  <x:c r="C4785" i="1"/>
  <x:c r="B4786" i="1"/>
  <x:c r="C4786" i="1"/>
  <x:c r="B4787" i="1"/>
  <x:c r="C4787" i="1"/>
  <x:c r="B4788" i="1"/>
  <x:c r="C4788" i="1"/>
  <x:c r="B4789" i="1"/>
  <x:c r="C4789" i="1"/>
  <x:c r="B4790" i="1"/>
  <x:c r="C4790" i="1"/>
  <x:c r="B4791" i="1"/>
  <x:c r="C4791" i="1"/>
  <x:c r="B4792" i="1"/>
  <x:c r="C4792" i="1"/>
  <x:c r="B4793" i="1"/>
  <x:c r="C4793" i="1"/>
  <x:c r="B4794" i="1"/>
  <x:c r="C4794" i="1"/>
  <x:c r="B4795" i="1"/>
  <x:c r="C4795" i="1"/>
  <x:c r="B4796" i="1"/>
  <x:c r="C4796" i="1"/>
  <x:c r="B4797" i="1"/>
  <x:c r="C4797" i="1"/>
  <x:c r="B4798" i="1"/>
  <x:c r="C4798" i="1"/>
  <x:c r="B4799" i="1"/>
  <x:c r="C4799" i="1"/>
  <x:c r="B4800" i="1"/>
  <x:c r="C4800" i="1"/>
  <x:c r="B4801" i="1"/>
  <x:c r="C4801" i="1"/>
  <x:c r="B4802" i="1"/>
  <x:c r="C4802" i="1"/>
  <x:c r="B4803" i="1"/>
  <x:c r="C4803" i="1"/>
  <x:c r="B4804" i="1"/>
  <x:c r="C4804" i="1"/>
  <x:c r="B4805" i="1"/>
  <x:c r="C4805" i="1"/>
  <x:c r="B4806" i="1"/>
  <x:c r="C4806" i="1"/>
  <x:c r="B4807" i="1"/>
  <x:c r="C4807" i="1"/>
  <x:c r="B4808" i="1"/>
  <x:c r="C4808" i="1"/>
  <x:c r="B4809" i="1"/>
  <x:c r="C4809" i="1"/>
  <x:c r="B4810" i="1"/>
  <x:c r="C4810" i="1"/>
  <x:c r="B4811" i="1"/>
  <x:c r="C4811" i="1"/>
  <x:c r="B4812" i="1"/>
  <x:c r="C4812" i="1"/>
  <x:c r="B4813" i="1"/>
  <x:c r="C4813" i="1"/>
  <x:c r="B4814" i="1"/>
  <x:c r="C4814" i="1"/>
  <x:c r="B4815" i="1"/>
  <x:c r="C4815" i="1"/>
  <x:c r="B4816" i="1"/>
  <x:c r="C4816" i="1"/>
  <x:c r="B4817" i="1"/>
  <x:c r="C4817" i="1"/>
  <x:c r="B4818" i="1"/>
  <x:c r="C4818" i="1"/>
  <x:c r="B4819" i="1"/>
  <x:c r="C4819" i="1"/>
  <x:c r="B4820" i="1"/>
  <x:c r="C4820" i="1"/>
  <x:c r="B4821" i="1"/>
  <x:c r="C4821" i="1"/>
  <x:c r="B4822" i="1"/>
  <x:c r="C4822" i="1"/>
  <x:c r="B4823" i="1"/>
  <x:c r="C4823" i="1"/>
  <x:c r="B4824" i="1"/>
  <x:c r="C4824" i="1"/>
  <x:c r="B4825" i="1"/>
  <x:c r="C4825" i="1"/>
  <x:c r="B4826" i="1"/>
  <x:c r="C4826" i="1"/>
  <x:c r="B4827" i="1"/>
  <x:c r="C4827" i="1"/>
  <x:c r="B4828" i="1"/>
  <x:c r="C4828" i="1"/>
  <x:c r="B4829" i="1"/>
  <x:c r="C4829" i="1"/>
  <x:c r="B4830" i="1"/>
  <x:c r="C4830" i="1"/>
  <x:c r="B4831" i="1"/>
  <x:c r="C4831" i="1"/>
  <x:c r="B4832" i="1"/>
  <x:c r="C4832" i="1"/>
  <x:c r="B4833" i="1"/>
  <x:c r="C4833" i="1"/>
  <x:c r="B4834" i="1"/>
  <x:c r="C4834" i="1"/>
  <x:c r="B4835" i="1"/>
  <x:c r="C4835" i="1"/>
  <x:c r="B4836" i="1"/>
  <x:c r="C4836" i="1"/>
  <x:c r="B4837" i="1"/>
  <x:c r="C4837" i="1"/>
  <x:c r="B4838" i="1"/>
  <x:c r="C4838" i="1"/>
  <x:c r="B4839" i="1"/>
  <x:c r="C4839" i="1"/>
  <x:c r="B4840" i="1"/>
  <x:c r="C4840" i="1"/>
  <x:c r="B4841" i="1"/>
  <x:c r="C4841" i="1"/>
  <x:c r="B4842" i="1"/>
  <x:c r="C4842" i="1"/>
  <x:c r="B4843" i="1"/>
  <x:c r="C4843" i="1"/>
  <x:c r="B4844" i="1"/>
  <x:c r="C4844" i="1"/>
  <x:c r="B4845" i="1"/>
  <x:c r="C4845" i="1"/>
  <x:c r="B4846" i="1"/>
  <x:c r="C4846" i="1"/>
  <x:c r="B4847" i="1"/>
  <x:c r="C4847" i="1"/>
  <x:c r="B4848" i="1"/>
  <x:c r="C4848" i="1"/>
  <x:c r="B4849" i="1"/>
  <x:c r="C4849" i="1"/>
  <x:c r="B4850" i="1"/>
  <x:c r="C4850" i="1"/>
  <x:c r="B4851" i="1"/>
  <x:c r="C4851" i="1"/>
  <x:c r="B4852" i="1"/>
  <x:c r="C4852" i="1"/>
  <x:c r="B4853" i="1"/>
  <x:c r="C4853" i="1"/>
  <x:c r="B4854" i="1"/>
  <x:c r="C4854" i="1"/>
  <x:c r="B4855" i="1"/>
  <x:c r="C4855" i="1"/>
  <x:c r="B4856" i="1"/>
  <x:c r="C4856" i="1"/>
  <x:c r="B4857" i="1"/>
  <x:c r="C4857" i="1"/>
  <x:c r="B4858" i="1"/>
  <x:c r="C4858" i="1"/>
  <x:c r="B4859" i="1"/>
  <x:c r="C4859" i="1"/>
  <x:c r="B4860" i="1"/>
  <x:c r="C4860" i="1"/>
  <x:c r="B4861" i="1"/>
  <x:c r="C4861" i="1"/>
  <x:c r="B4862" i="1"/>
  <x:c r="C4862" i="1"/>
  <x:c r="B4863" i="1"/>
  <x:c r="C4863" i="1"/>
  <x:c r="B4864" i="1"/>
  <x:c r="C4864" i="1"/>
  <x:c r="B4865" i="1"/>
  <x:c r="C4865" i="1"/>
  <x:c r="B4866" i="1"/>
  <x:c r="C4866" i="1"/>
  <x:c r="B4867" i="1"/>
  <x:c r="C4867" i="1"/>
  <x:c r="B4868" i="1"/>
  <x:c r="C4868" i="1"/>
  <x:c r="B4869" i="1"/>
  <x:c r="C4869" i="1"/>
  <x:c r="B4870" i="1"/>
  <x:c r="C4870" i="1"/>
  <x:c r="B4871" i="1"/>
  <x:c r="C4871" i="1"/>
  <x:c r="B4872" i="1"/>
  <x:c r="C4872" i="1"/>
  <x:c r="B4873" i="1"/>
  <x:c r="C4873" i="1"/>
  <x:c r="B4874" i="1"/>
  <x:c r="C4874" i="1"/>
  <x:c r="B4875" i="1"/>
  <x:c r="C4875" i="1"/>
  <x:c r="B4876" i="1"/>
  <x:c r="C4876" i="1"/>
  <x:c r="B4877" i="1"/>
  <x:c r="C4877" i="1"/>
  <x:c r="B4878" i="1"/>
  <x:c r="C4878" i="1"/>
  <x:c r="B4879" i="1"/>
  <x:c r="C4879" i="1"/>
  <x:c r="B4880" i="1"/>
  <x:c r="C4880" i="1"/>
  <x:c r="B4881" i="1"/>
  <x:c r="C4881" i="1"/>
  <x:c r="B4882" i="1"/>
  <x:c r="C4882" i="1"/>
  <x:c r="B4883" i="1"/>
  <x:c r="C4883" i="1"/>
  <x:c r="B4884" i="1"/>
  <x:c r="C4884" i="1"/>
  <x:c r="B4885" i="1"/>
  <x:c r="C4885" i="1"/>
  <x:c r="B4886" i="1"/>
  <x:c r="C4886" i="1"/>
  <x:c r="B4887" i="1"/>
  <x:c r="C4887" i="1"/>
  <x:c r="B4888" i="1"/>
  <x:c r="C4888" i="1"/>
  <x:c r="B4889" i="1"/>
  <x:c r="C4889" i="1"/>
  <x:c r="B4890" i="1"/>
  <x:c r="C4890" i="1"/>
  <x:c r="B4891" i="1"/>
  <x:c r="C4891" i="1"/>
  <x:c r="B4892" i="1"/>
  <x:c r="C4892" i="1"/>
  <x:c r="B4893" i="1"/>
  <x:c r="C4893" i="1"/>
  <x:c r="B4894" i="1"/>
  <x:c r="C4894" i="1"/>
  <x:c r="B4895" i="1"/>
  <x:c r="C4895" i="1"/>
  <x:c r="B4896" i="1"/>
  <x:c r="C4896" i="1"/>
  <x:c r="B4897" i="1"/>
  <x:c r="C4897" i="1"/>
  <x:c r="B4898" i="1"/>
  <x:c r="C4898" i="1"/>
  <x:c r="B4899" i="1"/>
  <x:c r="C4899" i="1"/>
  <x:c r="B4900" i="1"/>
  <x:c r="C4900" i="1"/>
  <x:c r="B4901" i="1"/>
  <x:c r="C4901" i="1"/>
  <x:c r="B4902" i="1"/>
  <x:c r="C4902" i="1"/>
  <x:c r="B4903" i="1"/>
  <x:c r="C4903" i="1"/>
  <x:c r="B4904" i="1"/>
  <x:c r="C4904" i="1"/>
  <x:c r="B4905" i="1"/>
  <x:c r="C4905" i="1"/>
  <x:c r="B4906" i="1"/>
  <x:c r="C4906" i="1"/>
  <x:c r="B4907" i="1"/>
  <x:c r="C4907" i="1"/>
  <x:c r="B4908" i="1"/>
  <x:c r="C4908" i="1"/>
  <x:c r="B4909" i="1"/>
  <x:c r="C4909" i="1"/>
  <x:c r="B4910" i="1"/>
  <x:c r="C4910" i="1"/>
  <x:c r="B4911" i="1"/>
  <x:c r="C4911" i="1"/>
  <x:c r="B4912" i="1"/>
  <x:c r="C4912" i="1"/>
  <x:c r="B4913" i="1"/>
  <x:c r="C4913" i="1"/>
  <x:c r="B4914" i="1"/>
  <x:c r="C4914" i="1"/>
  <x:c r="B4915" i="1"/>
  <x:c r="C4915" i="1"/>
  <x:c r="B4916" i="1"/>
  <x:c r="C4916" i="1"/>
  <x:c r="B4917" i="1"/>
  <x:c r="C4917" i="1"/>
  <x:c r="B4918" i="1"/>
  <x:c r="C4918" i="1"/>
  <x:c r="B4919" i="1"/>
  <x:c r="C4919" i="1"/>
  <x:c r="B4920" i="1"/>
  <x:c r="C4920" i="1"/>
  <x:c r="B4921" i="1"/>
  <x:c r="C4921" i="1"/>
  <x:c r="B4922" i="1"/>
  <x:c r="C4922" i="1"/>
  <x:c r="B4923" i="1"/>
  <x:c r="C4923" i="1"/>
  <x:c r="B4924" i="1"/>
  <x:c r="C4924" i="1"/>
  <x:c r="B4925" i="1"/>
  <x:c r="C4925" i="1"/>
  <x:c r="B4926" i="1"/>
  <x:c r="C4926" i="1"/>
  <x:c r="B4927" i="1"/>
  <x:c r="C4927" i="1"/>
  <x:c r="B4928" i="1"/>
  <x:c r="C4928" i="1"/>
  <x:c r="B4929" i="1"/>
  <x:c r="C4929" i="1"/>
  <x:c r="B4930" i="1"/>
  <x:c r="C4930" i="1"/>
  <x:c r="B4931" i="1"/>
  <x:c r="C4931" i="1"/>
  <x:c r="B4932" i="1"/>
  <x:c r="C4932" i="1"/>
  <x:c r="B4933" i="1"/>
  <x:c r="C4933" i="1"/>
  <x:c r="B4934" i="1"/>
  <x:c r="C4934" i="1"/>
  <x:c r="B4935" i="1"/>
  <x:c r="C4935" i="1"/>
  <x:c r="B4936" i="1"/>
  <x:c r="C4936" i="1"/>
  <x:c r="B4937" i="1"/>
  <x:c r="C4937" i="1"/>
  <x:c r="B4938" i="1"/>
  <x:c r="C4938" i="1"/>
  <x:c r="B4939" i="1"/>
  <x:c r="C4939" i="1"/>
  <x:c r="B4940" i="1"/>
  <x:c r="C4940" i="1"/>
  <x:c r="B4941" i="1"/>
  <x:c r="C4941" i="1"/>
  <x:c r="B4942" i="1"/>
  <x:c r="C4942" i="1"/>
  <x:c r="B4943" i="1"/>
  <x:c r="C4943" i="1"/>
  <x:c r="B4944" i="1"/>
  <x:c r="C4944" i="1"/>
  <x:c r="B4945" i="1"/>
  <x:c r="C4945" i="1"/>
  <x:c r="B4946" i="1"/>
  <x:c r="C4946" i="1"/>
  <x:c r="B4947" i="1"/>
  <x:c r="C4947" i="1"/>
  <x:c r="B4948" i="1"/>
  <x:c r="C4948" i="1"/>
  <x:c r="B4949" i="1"/>
  <x:c r="C4949" i="1"/>
  <x:c r="B4950" i="1"/>
  <x:c r="C4950" i="1"/>
  <x:c r="B4951" i="1"/>
  <x:c r="C4951" i="1"/>
  <x:c r="B4952" i="1"/>
  <x:c r="C4952" i="1"/>
  <x:c r="B4953" i="1"/>
  <x:c r="C4953" i="1"/>
  <x:c r="B4954" i="1"/>
  <x:c r="C4954" i="1"/>
  <x:c r="B4955" i="1"/>
  <x:c r="C4955" i="1"/>
  <x:c r="B4956" i="1"/>
  <x:c r="C4956" i="1"/>
  <x:c r="B4957" i="1"/>
  <x:c r="C4957" i="1"/>
  <x:c r="B4958" i="1"/>
  <x:c r="C4958" i="1"/>
  <x:c r="B4959" i="1"/>
  <x:c r="C4959" i="1"/>
  <x:c r="B4960" i="1"/>
  <x:c r="C4960" i="1"/>
  <x:c r="B4961" i="1"/>
  <x:c r="C4961" i="1"/>
  <x:c r="B4962" i="1"/>
  <x:c r="C4962" i="1"/>
  <x:c r="B4963" i="1"/>
  <x:c r="C4963" i="1"/>
  <x:c r="B4964" i="1"/>
  <x:c r="C4964" i="1"/>
  <x:c r="B4965" i="1"/>
  <x:c r="C4965" i="1"/>
  <x:c r="B4966" i="1"/>
  <x:c r="C4966" i="1"/>
  <x:c r="B4967" i="1"/>
  <x:c r="C4967" i="1"/>
  <x:c r="B4968" i="1"/>
  <x:c r="C4968" i="1"/>
  <x:c r="B4969" i="1"/>
  <x:c r="C4969" i="1"/>
  <x:c r="B4970" i="1"/>
  <x:c r="C4970" i="1"/>
  <x:c r="B4971" i="1"/>
  <x:c r="C4971" i="1"/>
  <x:c r="B4972" i="1"/>
  <x:c r="C4972" i="1"/>
  <x:c r="B4973" i="1"/>
  <x:c r="C4973" i="1"/>
  <x:c r="B4974" i="1"/>
  <x:c r="C4974" i="1"/>
  <x:c r="B4975" i="1"/>
  <x:c r="C4975" i="1"/>
  <x:c r="B4976" i="1"/>
  <x:c r="C4976" i="1"/>
  <x:c r="B4977" i="1"/>
  <x:c r="C4977" i="1"/>
  <x:c r="B4978" i="1"/>
  <x:c r="C4978" i="1"/>
  <x:c r="B4979" i="1"/>
  <x:c r="C4979" i="1"/>
  <x:c r="B4980" i="1"/>
  <x:c r="C4980" i="1"/>
  <x:c r="B4981" i="1"/>
  <x:c r="C4981" i="1"/>
  <x:c r="B4982" i="1"/>
  <x:c r="C4982" i="1"/>
  <x:c r="B4983" i="1"/>
  <x:c r="C4983" i="1"/>
  <x:c r="B4984" i="1"/>
  <x:c r="C4984" i="1"/>
  <x:c r="B4985" i="1"/>
  <x:c r="C4985" i="1"/>
  <x:c r="B4986" i="1"/>
  <x:c r="C4986" i="1"/>
  <x:c r="B4987" i="1"/>
  <x:c r="C4987" i="1"/>
  <x:c r="B4988" i="1"/>
  <x:c r="C4988" i="1"/>
  <x:c r="B4989" i="1"/>
  <x:c r="C4989" i="1"/>
  <x:c r="B4990" i="1"/>
  <x:c r="C4990" i="1"/>
  <x:c r="B4991" i="1"/>
  <x:c r="C4991" i="1"/>
  <x:c r="B4992" i="1"/>
  <x:c r="C4992" i="1"/>
  <x:c r="B4993" i="1"/>
  <x:c r="C4993" i="1"/>
  <x:c r="B4994" i="1"/>
  <x:c r="C4994" i="1"/>
  <x:c r="B4995" i="1"/>
  <x:c r="C4995" i="1"/>
  <x:c r="B4996" i="1"/>
  <x:c r="C4996" i="1"/>
  <x:c r="B4997" i="1"/>
  <x:c r="C4997" i="1"/>
  <x:c r="B4998" i="1"/>
  <x:c r="C4998" i="1"/>
  <x:c r="B4999" i="1"/>
  <x:c r="C4999" i="1"/>
  <x:c r="B5000" i="1"/>
  <x:c r="C5000" i="1"/>
  <x:c r="B5001" i="1"/>
  <x:c r="C5001" i="1"/>
  <x:c r="B5002" i="1"/>
  <x:c r="C5002" i="1"/>
  <x:c r="B5003" i="1"/>
  <x:c r="C5003" i="1"/>
  <x:c r="B5004" i="1"/>
  <x:c r="C5004" i="1"/>
  <x:c r="B5005" i="1"/>
  <x:c r="C5005" i="1"/>
  <x:c r="B5006" i="1"/>
  <x:c r="C5006" i="1"/>
  <x:c r="B5007" i="1"/>
  <x:c r="C5007" i="1"/>
  <x:c r="B5008" i="1"/>
  <x:c r="C5008" i="1"/>
  <x:c r="B5009" i="1"/>
  <x:c r="C5009" i="1"/>
  <x:c r="B5010" i="1"/>
  <x:c r="C5010" i="1"/>
  <x:c r="B5011" i="1"/>
  <x:c r="C5011" i="1"/>
  <x:c r="B5012" i="1"/>
  <x:c r="C5012" i="1"/>
  <x:c r="B5013" i="1"/>
  <x:c r="C5013" i="1"/>
  <x:c r="B5014" i="1"/>
  <x:c r="C5014" i="1"/>
  <x:c r="B5015" i="1"/>
  <x:c r="C5015" i="1"/>
  <x:c r="B5016" i="1"/>
  <x:c r="C5016" i="1"/>
  <x:c r="B5017" i="1"/>
  <x:c r="C5017" i="1"/>
  <x:c r="B5018" i="1"/>
  <x:c r="C5018" i="1"/>
  <x:c r="B5019" i="1"/>
  <x:c r="C5019" i="1"/>
  <x:c r="B5020" i="1"/>
  <x:c r="C5020" i="1"/>
  <x:c r="B5021" i="1"/>
  <x:c r="C5021" i="1"/>
  <x:c r="B5022" i="1"/>
  <x:c r="C5022" i="1"/>
  <x:c r="B5023" i="1"/>
  <x:c r="C5023" i="1"/>
  <x:c r="B5024" i="1"/>
  <x:c r="C5024" i="1"/>
  <x:c r="B5025" i="1"/>
  <x:c r="C5025" i="1"/>
  <x:c r="B5026" i="1"/>
  <x:c r="C5026" i="1"/>
  <x:c r="B5027" i="1"/>
  <x:c r="C5027" i="1"/>
  <x:c r="B5028" i="1"/>
  <x:c r="C5028" i="1"/>
  <x:c r="B5029" i="1"/>
  <x:c r="C5029" i="1"/>
  <x:c r="B5030" i="1"/>
  <x:c r="C5030" i="1"/>
  <x:c r="B5031" i="1"/>
  <x:c r="C5031" i="1"/>
  <x:c r="B5032" i="1"/>
  <x:c r="C5032" i="1"/>
  <x:c r="B5033" i="1"/>
  <x:c r="C5033" i="1"/>
  <x:c r="B5034" i="1"/>
  <x:c r="C5034" i="1"/>
  <x:c r="B5035" i="1"/>
  <x:c r="C5035" i="1"/>
  <x:c r="B5036" i="1"/>
  <x:c r="C5036" i="1"/>
  <x:c r="B5037" i="1"/>
  <x:c r="C5037" i="1"/>
  <x:c r="B5038" i="1"/>
  <x:c r="C5038" i="1"/>
  <x:c r="B5039" i="1"/>
  <x:c r="C5039" i="1"/>
  <x:c r="B5040" i="1"/>
  <x:c r="C5040" i="1"/>
  <x:c r="B5041" i="1"/>
  <x:c r="C5041" i="1"/>
  <x:c r="B5042" i="1"/>
  <x:c r="C5042" i="1"/>
  <x:c r="B5043" i="1"/>
  <x:c r="C5043" i="1"/>
  <x:c r="B5044" i="1"/>
  <x:c r="C5044" i="1"/>
  <x:c r="B5045" i="1"/>
  <x:c r="C5045" i="1"/>
  <x:c r="B5046" i="1"/>
  <x:c r="C5046" i="1"/>
  <x:c r="B5047" i="1"/>
  <x:c r="C5047" i="1"/>
  <x:c r="B5048" i="1"/>
  <x:c r="C5048" i="1"/>
  <x:c r="B5049" i="1"/>
  <x:c r="C5049" i="1"/>
  <x:c r="B5050" i="1"/>
  <x:c r="C5050" i="1"/>
  <x:c r="B5051" i="1"/>
  <x:c r="C5051" i="1"/>
  <x:c r="B5052" i="1"/>
  <x:c r="C5052" i="1"/>
  <x:c r="B5053" i="1"/>
  <x:c r="C5053" i="1"/>
  <x:c r="B5054" i="1"/>
  <x:c r="C5054" i="1"/>
  <x:c r="B5055" i="1"/>
  <x:c r="C5055" i="1"/>
  <x:c r="B5056" i="1"/>
  <x:c r="C5056" i="1"/>
  <x:c r="B5057" i="1"/>
  <x:c r="C5057" i="1"/>
  <x:c r="B5058" i="1"/>
  <x:c r="C5058" i="1"/>
  <x:c r="B5059" i="1"/>
  <x:c r="C5059" i="1"/>
  <x:c r="B5060" i="1"/>
  <x:c r="C5060" i="1"/>
  <x:c r="B5061" i="1"/>
  <x:c r="C5061" i="1"/>
  <x:c r="B5062" i="1"/>
  <x:c r="C5062" i="1"/>
  <x:c r="B5063" i="1"/>
  <x:c r="C5063" i="1"/>
  <x:c r="B5064" i="1"/>
  <x:c r="C5064" i="1"/>
  <x:c r="B5065" i="1"/>
  <x:c r="C5065" i="1"/>
  <x:c r="B5066" i="1"/>
  <x:c r="C5066" i="1"/>
  <x:c r="B5067" i="1"/>
  <x:c r="C5067" i="1"/>
  <x:c r="B5068" i="1"/>
  <x:c r="C5068" i="1"/>
  <x:c r="B5069" i="1"/>
  <x:c r="C5069" i="1"/>
  <x:c r="B5070" i="1"/>
  <x:c r="C5070" i="1"/>
  <x:c r="B5071" i="1"/>
  <x:c r="C5071" i="1"/>
  <x:c r="B5072" i="1"/>
  <x:c r="C5072" i="1"/>
  <x:c r="B5073" i="1"/>
  <x:c r="C5073" i="1"/>
  <x:c r="B5074" i="1"/>
  <x:c r="C5074" i="1"/>
  <x:c r="B5075" i="1"/>
  <x:c r="C5075" i="1"/>
  <x:c r="B5076" i="1"/>
  <x:c r="C5076" i="1"/>
  <x:c r="B5077" i="1"/>
  <x:c r="C5077" i="1"/>
  <x:c r="B5078" i="1"/>
  <x:c r="C5078" i="1"/>
  <x:c r="B5079" i="1"/>
  <x:c r="C5079" i="1"/>
  <x:c r="B5080" i="1"/>
  <x:c r="C5080" i="1"/>
  <x:c r="B5081" i="1"/>
  <x:c r="C5081" i="1"/>
  <x:c r="B5082" i="1"/>
  <x:c r="C5082" i="1"/>
  <x:c r="B5083" i="1"/>
  <x:c r="C5083" i="1"/>
  <x:c r="B5084" i="1"/>
  <x:c r="C5084" i="1"/>
  <x:c r="B5085" i="1"/>
  <x:c r="C5085" i="1"/>
  <x:c r="B5086" i="1"/>
  <x:c r="C5086" i="1"/>
  <x:c r="B5087" i="1"/>
  <x:c r="C5087" i="1"/>
  <x:c r="B5088" i="1"/>
  <x:c r="C5088" i="1"/>
  <x:c r="B5089" i="1"/>
  <x:c r="C5089" i="1"/>
  <x:c r="B5090" i="1"/>
  <x:c r="C5090" i="1"/>
  <x:c r="B5091" i="1"/>
  <x:c r="C5091" i="1"/>
  <x:c r="B5092" i="1"/>
  <x:c r="C5092" i="1"/>
  <x:c r="B5093" i="1"/>
  <x:c r="C5093" i="1"/>
  <x:c r="B5094" i="1"/>
  <x:c r="C5094" i="1"/>
  <x:c r="B5095" i="1"/>
  <x:c r="C5095" i="1"/>
  <x:c r="B5096" i="1"/>
  <x:c r="C5096" i="1"/>
  <x:c r="B5097" i="1"/>
  <x:c r="C5097" i="1"/>
  <x:c r="B5098" i="1"/>
  <x:c r="C5098" i="1"/>
  <x:c r="B5099" i="1"/>
  <x:c r="C5099" i="1"/>
  <x:c r="B5100" i="1"/>
  <x:c r="C5100" i="1"/>
  <x:c r="B5101" i="1"/>
  <x:c r="C5101" i="1"/>
  <x:c r="B5102" i="1"/>
  <x:c r="C5102" i="1"/>
  <x:c r="B5103" i="1"/>
  <x:c r="C5103" i="1"/>
  <x:c r="B5104" i="1"/>
  <x:c r="C5104" i="1"/>
  <x:c r="B5105" i="1"/>
  <x:c r="C5105" i="1"/>
  <x:c r="B5106" i="1"/>
  <x:c r="C5106" i="1"/>
  <x:c r="B5107" i="1"/>
  <x:c r="C5107" i="1"/>
  <x:c r="B5108" i="1"/>
  <x:c r="C5108" i="1"/>
  <x:c r="B5109" i="1"/>
  <x:c r="C5109" i="1"/>
  <x:c r="B5110" i="1"/>
  <x:c r="C5110" i="1"/>
  <x:c r="B5111" i="1"/>
  <x:c r="C5111" i="1"/>
  <x:c r="B5112" i="1"/>
  <x:c r="C5112" i="1"/>
  <x:c r="B5113" i="1"/>
  <x:c r="C5113" i="1"/>
  <x:c r="B5114" i="1"/>
  <x:c r="C5114" i="1"/>
  <x:c r="B5115" i="1"/>
  <x:c r="C5115" i="1"/>
  <x:c r="B5116" i="1"/>
  <x:c r="C5116" i="1"/>
  <x:c r="B5117" i="1"/>
  <x:c r="C5117" i="1"/>
  <x:c r="B5118" i="1"/>
  <x:c r="C5118" i="1"/>
  <x:c r="B5119" i="1"/>
  <x:c r="C5119" i="1"/>
  <x:c r="B5120" i="1"/>
  <x:c r="C5120" i="1"/>
  <x:c r="B5121" i="1"/>
  <x:c r="C5121" i="1"/>
  <x:c r="B5122" i="1"/>
  <x:c r="C5122" i="1"/>
  <x:c r="B5123" i="1"/>
  <x:c r="C5123" i="1"/>
  <x:c r="B5124" i="1"/>
  <x:c r="C5124" i="1"/>
  <x:c r="B5125" i="1"/>
  <x:c r="C5125" i="1"/>
  <x:c r="B5126" i="1"/>
  <x:c r="C5126" i="1"/>
  <x:c r="B5127" i="1"/>
  <x:c r="C5127" i="1"/>
  <x:c r="B5128" i="1"/>
  <x:c r="C5128" i="1"/>
  <x:c r="B5129" i="1"/>
  <x:c r="C5129" i="1"/>
  <x:c r="B5130" i="1"/>
  <x:c r="C5130" i="1"/>
  <x:c r="B5131" i="1"/>
  <x:c r="C5131" i="1"/>
  <x:c r="B5132" i="1"/>
  <x:c r="C5132" i="1"/>
  <x:c r="B5133" i="1"/>
  <x:c r="C5133" i="1"/>
  <x:c r="B5134" i="1"/>
  <x:c r="C5134" i="1"/>
  <x:c r="B5135" i="1"/>
  <x:c r="C5135" i="1"/>
  <x:c r="B5136" i="1"/>
  <x:c r="C5136" i="1"/>
  <x:c r="B5137" i="1"/>
  <x:c r="C5137" i="1"/>
  <x:c r="B5138" i="1"/>
  <x:c r="C5138" i="1"/>
  <x:c r="B5139" i="1"/>
  <x:c r="C5139" i="1"/>
  <x:c r="B5140" i="1"/>
  <x:c r="C5140" i="1"/>
  <x:c r="B5141" i="1"/>
  <x:c r="C5141" i="1"/>
  <x:c r="B5142" i="1"/>
  <x:c r="C5142" i="1"/>
  <x:c r="B5143" i="1"/>
  <x:c r="C5143" i="1"/>
  <x:c r="B5144" i="1"/>
  <x:c r="C5144" i="1"/>
  <x:c r="B5145" i="1"/>
  <x:c r="C5145" i="1"/>
  <x:c r="B5146" i="1"/>
  <x:c r="C5146" i="1"/>
  <x:c r="B5147" i="1"/>
  <x:c r="C5147" i="1"/>
  <x:c r="B5148" i="1"/>
  <x:c r="C5148" i="1"/>
  <x:c r="B5149" i="1"/>
  <x:c r="C5149" i="1"/>
  <x:c r="B5150" i="1"/>
  <x:c r="C5150" i="1"/>
  <x:c r="B5151" i="1"/>
  <x:c r="C5151" i="1"/>
  <x:c r="B5152" i="1"/>
  <x:c r="C5152" i="1"/>
  <x:c r="B5153" i="1"/>
  <x:c r="C5153" i="1"/>
  <x:c r="B5154" i="1"/>
  <x:c r="C5154" i="1"/>
  <x:c r="B5155" i="1"/>
  <x:c r="C5155" i="1"/>
  <x:c r="B5156" i="1"/>
  <x:c r="C5156" i="1"/>
  <x:c r="B5157" i="1"/>
  <x:c r="C5157" i="1"/>
  <x:c r="B5158" i="1"/>
  <x:c r="C5158" i="1"/>
  <x:c r="B5159" i="1"/>
  <x:c r="C5159" i="1"/>
  <x:c r="B5160" i="1"/>
  <x:c r="C5160" i="1"/>
  <x:c r="B5161" i="1"/>
  <x:c r="C5161" i="1"/>
  <x:c r="B5162" i="1"/>
  <x:c r="C5162" i="1"/>
  <x:c r="B5163" i="1"/>
  <x:c r="C5163" i="1"/>
  <x:c r="B5164" i="1"/>
  <x:c r="C5164" i="1"/>
  <x:c r="B5165" i="1"/>
  <x:c r="C5165" i="1"/>
  <x:c r="B5166" i="1"/>
  <x:c r="C5166" i="1"/>
  <x:c r="B5167" i="1"/>
  <x:c r="C5167" i="1"/>
  <x:c r="B5168" i="1"/>
  <x:c r="C5168" i="1"/>
  <x:c r="B5169" i="1"/>
  <x:c r="C5169" i="1"/>
  <x:c r="B5170" i="1"/>
  <x:c r="C5170" i="1"/>
  <x:c r="B5171" i="1"/>
  <x:c r="C5171" i="1"/>
  <x:c r="B5172" i="1"/>
  <x:c r="C5172" i="1"/>
  <x:c r="B5173" i="1"/>
  <x:c r="C5173" i="1"/>
  <x:c r="B5174" i="1"/>
  <x:c r="C5174" i="1"/>
  <x:c r="B5175" i="1"/>
  <x:c r="C5175" i="1"/>
  <x:c r="B5176" i="1"/>
  <x:c r="C5176" i="1"/>
  <x:c r="B5177" i="1"/>
  <x:c r="C5177" i="1"/>
  <x:c r="B5178" i="1"/>
  <x:c r="C5178" i="1"/>
  <x:c r="B5179" i="1"/>
  <x:c r="C5179" i="1"/>
  <x:c r="B5180" i="1"/>
  <x:c r="C5180" i="1"/>
  <x:c r="B5181" i="1"/>
  <x:c r="C5181" i="1"/>
  <x:c r="B5182" i="1"/>
  <x:c r="C5182" i="1"/>
  <x:c r="B5183" i="1"/>
  <x:c r="C5183" i="1"/>
  <x:c r="B5184" i="1"/>
  <x:c r="C5184" i="1"/>
  <x:c r="B5185" i="1"/>
  <x:c r="C5185" i="1"/>
  <x:c r="B5186" i="1"/>
  <x:c r="C5186" i="1"/>
  <x:c r="B5187" i="1"/>
  <x:c r="C5187" i="1"/>
  <x:c r="B5188" i="1"/>
  <x:c r="C5188" i="1"/>
  <x:c r="B5189" i="1"/>
  <x:c r="C5189" i="1"/>
  <x:c r="B5190" i="1"/>
  <x:c r="C5190" i="1"/>
  <x:c r="B5191" i="1"/>
  <x:c r="C5191" i="1"/>
  <x:c r="B5192" i="1"/>
  <x:c r="C5192" i="1"/>
  <x:c r="B5193" i="1"/>
  <x:c r="C5193" i="1"/>
  <x:c r="B5194" i="1"/>
  <x:c r="C5194" i="1"/>
  <x:c r="B5195" i="1"/>
  <x:c r="C5195" i="1"/>
  <x:c r="B5196" i="1"/>
  <x:c r="C5196" i="1"/>
  <x:c r="B5197" i="1"/>
  <x:c r="C5197" i="1"/>
  <x:c r="B5198" i="1"/>
  <x:c r="C5198" i="1"/>
  <x:c r="B5199" i="1"/>
  <x:c r="C5199" i="1"/>
  <x:c r="B5200" i="1"/>
  <x:c r="C5200" i="1"/>
  <x:c r="B5201" i="1"/>
  <x:c r="C5201" i="1"/>
  <x:c r="B5202" i="1"/>
  <x:c r="C5202" i="1"/>
  <x:c r="B5203" i="1"/>
  <x:c r="C5203" i="1"/>
  <x:c r="B5204" i="1"/>
  <x:c r="C5204" i="1"/>
  <x:c r="B5205" i="1"/>
  <x:c r="C5205" i="1"/>
  <x:c r="B5206" i="1"/>
  <x:c r="C5206" i="1"/>
  <x:c r="B5207" i="1"/>
  <x:c r="C5207" i="1"/>
  <x:c r="B5208" i="1"/>
  <x:c r="C5208" i="1"/>
  <x:c r="B5209" i="1"/>
  <x:c r="C5209" i="1"/>
  <x:c r="B5210" i="1"/>
  <x:c r="C5210" i="1"/>
  <x:c r="B5211" i="1"/>
  <x:c r="C5211" i="1"/>
  <x:c r="B5212" i="1"/>
  <x:c r="C5212" i="1"/>
  <x:c r="B5213" i="1"/>
  <x:c r="C5213" i="1"/>
  <x:c r="B5214" i="1"/>
  <x:c r="C5214" i="1"/>
  <x:c r="B5215" i="1"/>
  <x:c r="C5215" i="1"/>
  <x:c r="B5216" i="1"/>
  <x:c r="C5216" i="1"/>
  <x:c r="B5217" i="1"/>
  <x:c r="C5217" i="1"/>
  <x:c r="B5218" i="1"/>
  <x:c r="C5218" i="1"/>
  <x:c r="B5219" i="1"/>
  <x:c r="C5219" i="1"/>
  <x:c r="B5220" i="1"/>
  <x:c r="C5220" i="1"/>
  <x:c r="B5221" i="1"/>
  <x:c r="C5221" i="1"/>
  <x:c r="B5222" i="1"/>
  <x:c r="C5222" i="1"/>
  <x:c r="B5223" i="1"/>
  <x:c r="C5223" i="1"/>
  <x:c r="B5224" i="1"/>
  <x:c r="C5224" i="1"/>
  <x:c r="B5225" i="1"/>
  <x:c r="C5225" i="1"/>
  <x:c r="B5226" i="1"/>
  <x:c r="C5226" i="1"/>
  <x:c r="B5227" i="1"/>
  <x:c r="C5227" i="1"/>
  <x:c r="B5228" i="1"/>
  <x:c r="C5228" i="1"/>
  <x:c r="B5229" i="1"/>
  <x:c r="C5229" i="1"/>
  <x:c r="B5230" i="1"/>
  <x:c r="C5230" i="1"/>
  <x:c r="B5231" i="1"/>
  <x:c r="C5231" i="1"/>
  <x:c r="B5232" i="1"/>
  <x:c r="C5232" i="1"/>
  <x:c r="B5233" i="1"/>
  <x:c r="C5233" i="1"/>
  <x:c r="B5234" i="1"/>
  <x:c r="C5234" i="1"/>
  <x:c r="B5235" i="1"/>
  <x:c r="C5235" i="1"/>
  <x:c r="B5236" i="1"/>
  <x:c r="C5236" i="1"/>
  <x:c r="B5237" i="1"/>
  <x:c r="C5237" i="1"/>
  <x:c r="B5238" i="1"/>
  <x:c r="C5238" i="1"/>
  <x:c r="B5239" i="1"/>
  <x:c r="C5239" i="1"/>
  <x:c r="B5240" i="1"/>
  <x:c r="C5240" i="1"/>
  <x:c r="B5241" i="1"/>
  <x:c r="C5241" i="1"/>
  <x:c r="B5242" i="1"/>
  <x:c r="C5242" i="1"/>
  <x:c r="B5243" i="1"/>
  <x:c r="C5243" i="1"/>
  <x:c r="B5244" i="1"/>
  <x:c r="C5244" i="1"/>
  <x:c r="B5245" i="1"/>
  <x:c r="C5245" i="1"/>
  <x:c r="B5246" i="1"/>
  <x:c r="C5246" i="1"/>
  <x:c r="B5247" i="1"/>
  <x:c r="C5247" i="1"/>
  <x:c r="B5248" i="1"/>
  <x:c r="C5248" i="1"/>
  <x:c r="B5249" i="1"/>
  <x:c r="C5249" i="1"/>
  <x:c r="B5250" i="1"/>
  <x:c r="C5250" i="1"/>
  <x:c r="B5251" i="1"/>
  <x:c r="C5251" i="1"/>
  <x:c r="B5252" i="1"/>
  <x:c r="C5252" i="1"/>
  <x:c r="B5253" i="1"/>
  <x:c r="C5253" i="1"/>
  <x:c r="B5254" i="1"/>
  <x:c r="C5254" i="1"/>
  <x:c r="B5255" i="1"/>
  <x:c r="C5255" i="1"/>
  <x:c r="B5256" i="1"/>
  <x:c r="C5256" i="1"/>
  <x:c r="B5257" i="1"/>
  <x:c r="C5257" i="1"/>
  <x:c r="B5258" i="1"/>
  <x:c r="C5258" i="1"/>
  <x:c r="B5259" i="1"/>
  <x:c r="C5259" i="1"/>
  <x:c r="B5260" i="1"/>
  <x:c r="C5260" i="1"/>
  <x:c r="B5261" i="1"/>
  <x:c r="C5261" i="1"/>
  <x:c r="B5262" i="1"/>
  <x:c r="C5262" i="1"/>
  <x:c r="B5263" i="1"/>
  <x:c r="C5263" i="1"/>
  <x:c r="B5264" i="1"/>
  <x:c r="C5264" i="1"/>
  <x:c r="B5265" i="1"/>
  <x:c r="C5265" i="1"/>
  <x:c r="B5266" i="1"/>
  <x:c r="C5266" i="1"/>
  <x:c r="B5267" i="1"/>
  <x:c r="C5267" i="1"/>
  <x:c r="B5268" i="1"/>
  <x:c r="C5268" i="1"/>
  <x:c r="B5269" i="1"/>
  <x:c r="C5269" i="1"/>
  <x:c r="B5270" i="1"/>
  <x:c r="C5270" i="1"/>
  <x:c r="B5271" i="1"/>
  <x:c r="C5271" i="1"/>
  <x:c r="B5272" i="1"/>
  <x:c r="C5272" i="1"/>
  <x:c r="B5273" i="1"/>
  <x:c r="C5273" i="1"/>
  <x:c r="B5274" i="1"/>
  <x:c r="C5274" i="1"/>
  <x:c r="B5275" i="1"/>
  <x:c r="C5275" i="1"/>
  <x:c r="B5276" i="1"/>
  <x:c r="C5276" i="1"/>
  <x:c r="B5277" i="1"/>
  <x:c r="C5277" i="1"/>
  <x:c r="B5278" i="1"/>
  <x:c r="C5278" i="1"/>
  <x:c r="B5279" i="1"/>
  <x:c r="C5279" i="1"/>
  <x:c r="B5280" i="1"/>
  <x:c r="C5280" i="1"/>
  <x:c r="B5281" i="1"/>
  <x:c r="C5281" i="1"/>
  <x:c r="B5282" i="1"/>
  <x:c r="C5282" i="1"/>
  <x:c r="B5283" i="1"/>
  <x:c r="C5283" i="1"/>
  <x:c r="B5284" i="1"/>
  <x:c r="C5284" i="1"/>
  <x:c r="B5285" i="1"/>
  <x:c r="C5285" i="1"/>
  <x:c r="B5286" i="1"/>
  <x:c r="C5286" i="1"/>
  <x:c r="B5287" i="1"/>
  <x:c r="C5287" i="1"/>
  <x:c r="B5288" i="1"/>
  <x:c r="C5288" i="1"/>
  <x:c r="B5289" i="1"/>
  <x:c r="C5289" i="1"/>
  <x:c r="B5290" i="1"/>
  <x:c r="C5290" i="1"/>
  <x:c r="B5291" i="1"/>
  <x:c r="C5291" i="1"/>
  <x:c r="B5292" i="1"/>
  <x:c r="C5292" i="1"/>
  <x:c r="B5293" i="1"/>
  <x:c r="C5293" i="1"/>
  <x:c r="B5294" i="1"/>
  <x:c r="C5294" i="1"/>
  <x:c r="B5295" i="1"/>
  <x:c r="C5295" i="1"/>
  <x:c r="B5296" i="1"/>
  <x:c r="C5296" i="1"/>
  <x:c r="B5297" i="1"/>
  <x:c r="C5297" i="1"/>
  <x:c r="B5298" i="1"/>
  <x:c r="C5298" i="1"/>
  <x:c r="B5299" i="1"/>
  <x:c r="C5299" i="1"/>
  <x:c r="B5300" i="1"/>
  <x:c r="C5300" i="1"/>
  <x:c r="B5301" i="1"/>
  <x:c r="C5301" i="1"/>
  <x:c r="B5302" i="1"/>
  <x:c r="C5302" i="1"/>
  <x:c r="B5303" i="1"/>
  <x:c r="C5303" i="1"/>
  <x:c r="B5304" i="1"/>
  <x:c r="C5304" i="1"/>
  <x:c r="B5305" i="1"/>
  <x:c r="C5305" i="1"/>
  <x:c r="B5306" i="1"/>
  <x:c r="C5306" i="1"/>
  <x:c r="B5307" i="1"/>
  <x:c r="C5307" i="1"/>
  <x:c r="B5308" i="1"/>
  <x:c r="C5308" i="1"/>
  <x:c r="B5309" i="1"/>
  <x:c r="C5309" i="1"/>
  <x:c r="B5310" i="1"/>
  <x:c r="C5310" i="1"/>
  <x:c r="B5311" i="1"/>
  <x:c r="C5311" i="1"/>
  <x:c r="B5312" i="1"/>
  <x:c r="C5312" i="1"/>
  <x:c r="B5313" i="1"/>
  <x:c r="C5313" i="1"/>
  <x:c r="B5314" i="1"/>
  <x:c r="C5314" i="1"/>
  <x:c r="B5315" i="1"/>
  <x:c r="C5315" i="1"/>
  <x:c r="B5316" i="1"/>
  <x:c r="C5316" i="1"/>
  <x:c r="B5317" i="1"/>
  <x:c r="C5317" i="1"/>
  <x:c r="B5318" i="1"/>
  <x:c r="C5318" i="1"/>
  <x:c r="B5319" i="1"/>
  <x:c r="C5319" i="1"/>
  <x:c r="B5320" i="1"/>
  <x:c r="C5320" i="1"/>
  <x:c r="B5321" i="1"/>
  <x:c r="C5321" i="1"/>
  <x:c r="B5322" i="1"/>
  <x:c r="C5322" i="1"/>
  <x:c r="B5323" i="1"/>
  <x:c r="C5323" i="1"/>
  <x:c r="B5324" i="1"/>
  <x:c r="C5324" i="1"/>
  <x:c r="B5325" i="1"/>
  <x:c r="C5325" i="1"/>
  <x:c r="B5326" i="1"/>
  <x:c r="C5326" i="1"/>
  <x:c r="B5327" i="1"/>
  <x:c r="C5327" i="1"/>
  <x:c r="B5328" i="1"/>
  <x:c r="C5328" i="1"/>
  <x:c r="B5329" i="1"/>
  <x:c r="C5329" i="1"/>
  <x:c r="B5330" i="1"/>
  <x:c r="C5330" i="1"/>
  <x:c r="B5331" i="1"/>
  <x:c r="C5331" i="1"/>
  <x:c r="B5332" i="1"/>
  <x:c r="C5332" i="1"/>
  <x:c r="B5333" i="1"/>
  <x:c r="C5333" i="1"/>
  <x:c r="B5334" i="1"/>
  <x:c r="C5334" i="1"/>
  <x:c r="B5335" i="1"/>
  <x:c r="C5335" i="1"/>
  <x:c r="B5336" i="1"/>
  <x:c r="C5336" i="1"/>
  <x:c r="B5337" i="1"/>
  <x:c r="C5337" i="1"/>
  <x:c r="B5338" i="1"/>
  <x:c r="C5338" i="1"/>
  <x:c r="B5339" i="1"/>
  <x:c r="C5339" i="1"/>
  <x:c r="B5340" i="1"/>
  <x:c r="C5340" i="1"/>
  <x:c r="B5341" i="1"/>
  <x:c r="C5341" i="1"/>
  <x:c r="B5342" i="1"/>
  <x:c r="C5342" i="1"/>
  <x:c r="B5343" i="1"/>
  <x:c r="C5343" i="1"/>
  <x:c r="B5344" i="1"/>
  <x:c r="C5344" i="1"/>
  <x:c r="B5345" i="1"/>
  <x:c r="C5345" i="1"/>
  <x:c r="B5346" i="1"/>
  <x:c r="C5346" i="1"/>
  <x:c r="B5347" i="1"/>
  <x:c r="C5347" i="1"/>
  <x:c r="B5348" i="1"/>
  <x:c r="C5348" i="1"/>
  <x:c r="B5349" i="1"/>
  <x:c r="C5349" i="1"/>
  <x:c r="B5350" i="1"/>
  <x:c r="C5350" i="1"/>
  <x:c r="B5351" i="1"/>
  <x:c r="C5351" i="1"/>
  <x:c r="B5352" i="1"/>
  <x:c r="C5352" i="1"/>
  <x:c r="B5353" i="1"/>
  <x:c r="C5353" i="1"/>
  <x:c r="B5354" i="1"/>
  <x:c r="C5354" i="1"/>
  <x:c r="B5355" i="1"/>
  <x:c r="C5355" i="1"/>
  <x:c r="B5356" i="1"/>
  <x:c r="C5356" i="1"/>
  <x:c r="B5357" i="1"/>
  <x:c r="C5357" i="1"/>
  <x:c r="B5358" i="1"/>
  <x:c r="C5358" i="1"/>
  <x:c r="B5359" i="1"/>
  <x:c r="C5359" i="1"/>
  <x:c r="B5360" i="1"/>
  <x:c r="C5360" i="1"/>
  <x:c r="B5361" i="1"/>
  <x:c r="C5361" i="1"/>
  <x:c r="B5362" i="1"/>
  <x:c r="C5362" i="1"/>
  <x:c r="B5363" i="1"/>
  <x:c r="C5363" i="1"/>
  <x:c r="B5364" i="1"/>
  <x:c r="C5364" i="1"/>
  <x:c r="B5365" i="1"/>
  <x:c r="C5365" i="1"/>
  <x:c r="B5366" i="1"/>
  <x:c r="C5366" i="1"/>
  <x:c r="B5367" i="1"/>
  <x:c r="C5367" i="1"/>
  <x:c r="B5368" i="1"/>
  <x:c r="C5368" i="1"/>
  <x:c r="B5369" i="1"/>
  <x:c r="C5369" i="1"/>
  <x:c r="B5370" i="1"/>
  <x:c r="C5370" i="1"/>
  <x:c r="B5371" i="1"/>
  <x:c r="C5371" i="1"/>
  <x:c r="B5372" i="1"/>
  <x:c r="C5372" i="1"/>
  <x:c r="B5373" i="1"/>
  <x:c r="C5373" i="1"/>
  <x:c r="B5374" i="1"/>
  <x:c r="C5374" i="1"/>
  <x:c r="B5375" i="1"/>
  <x:c r="C5375" i="1"/>
  <x:c r="B5376" i="1"/>
  <x:c r="C5376" i="1"/>
  <x:c r="B5377" i="1"/>
  <x:c r="C5377" i="1"/>
  <x:c r="B5378" i="1"/>
  <x:c r="C5378" i="1"/>
  <x:c r="B5379" i="1"/>
  <x:c r="C5379" i="1"/>
  <x:c r="B5380" i="1"/>
  <x:c r="C5380" i="1"/>
  <x:c r="B5381" i="1"/>
  <x:c r="C5381" i="1"/>
  <x:c r="B5382" i="1"/>
  <x:c r="C5382" i="1"/>
  <x:c r="B5383" i="1"/>
  <x:c r="C5383" i="1"/>
  <x:c r="B5384" i="1"/>
  <x:c r="C5384" i="1"/>
  <x:c r="B5385" i="1"/>
  <x:c r="C5385" i="1"/>
  <x:c r="B5386" i="1"/>
  <x:c r="C5386" i="1"/>
  <x:c r="B5387" i="1"/>
  <x:c r="C5387" i="1"/>
  <x:c r="B5388" i="1"/>
  <x:c r="C5388" i="1"/>
  <x:c r="B5389" i="1"/>
  <x:c r="C5389" i="1"/>
  <x:c r="B5390" i="1"/>
  <x:c r="C5390" i="1"/>
  <x:c r="B5391" i="1"/>
  <x:c r="C5391" i="1"/>
  <x:c r="B5392" i="1"/>
  <x:c r="C5392" i="1"/>
  <x:c r="B5393" i="1"/>
  <x:c r="C5393" i="1"/>
  <x:c r="B5394" i="1"/>
  <x:c r="C5394" i="1"/>
  <x:c r="B5395" i="1"/>
  <x:c r="C5395" i="1"/>
  <x:c r="B5396" i="1"/>
  <x:c r="C5396" i="1"/>
  <x:c r="B5397" i="1"/>
  <x:c r="C5397" i="1"/>
  <x:c r="B5398" i="1"/>
  <x:c r="C5398" i="1"/>
  <x:c r="B5399" i="1"/>
  <x:c r="C5399" i="1"/>
  <x:c r="B5400" i="1"/>
  <x:c r="C5400" i="1"/>
  <x:c r="B5401" i="1"/>
  <x:c r="C5401" i="1"/>
  <x:c r="B5402" i="1"/>
  <x:c r="C5402" i="1"/>
  <x:c r="B5403" i="1"/>
  <x:c r="C5403" i="1"/>
  <x:c r="B5404" i="1"/>
  <x:c r="C5404" i="1"/>
  <x:c r="B5405" i="1"/>
  <x:c r="C5405" i="1"/>
  <x:c r="B5406" i="1"/>
  <x:c r="C5406" i="1"/>
  <x:c r="B5407" i="1"/>
  <x:c r="C5407" i="1"/>
  <x:c r="B5408" i="1"/>
  <x:c r="C5408" i="1"/>
  <x:c r="B5409" i="1"/>
  <x:c r="C5409" i="1"/>
  <x:c r="B5410" i="1"/>
  <x:c r="C5410" i="1"/>
  <x:c r="B5411" i="1"/>
  <x:c r="C5411" i="1"/>
  <x:c r="B5412" i="1"/>
  <x:c r="C5412" i="1"/>
  <x:c r="B5413" i="1"/>
  <x:c r="C5413" i="1"/>
  <x:c r="B5414" i="1"/>
  <x:c r="C5414" i="1"/>
  <x:c r="B5415" i="1"/>
  <x:c r="C5415" i="1"/>
  <x:c r="B5416" i="1"/>
  <x:c r="C5416" i="1"/>
  <x:c r="B5417" i="1"/>
  <x:c r="C5417" i="1"/>
  <x:c r="B5418" i="1"/>
  <x:c r="C5418" i="1"/>
  <x:c r="B5419" i="1"/>
  <x:c r="C5419" i="1"/>
  <x:c r="B5420" i="1"/>
  <x:c r="C5420" i="1"/>
  <x:c r="B5421" i="1"/>
  <x:c r="C5421" i="1"/>
  <x:c r="B5422" i="1"/>
  <x:c r="C5422" i="1"/>
  <x:c r="B5423" i="1"/>
  <x:c r="C5423" i="1"/>
  <x:c r="B5424" i="1"/>
  <x:c r="C5424" i="1"/>
  <x:c r="B5425" i="1"/>
  <x:c r="C5425" i="1"/>
  <x:c r="B5426" i="1"/>
  <x:c r="C5426" i="1"/>
  <x:c r="B5427" i="1"/>
  <x:c r="C5427" i="1"/>
  <x:c r="B5428" i="1"/>
  <x:c r="C5428" i="1"/>
  <x:c r="B5429" i="1"/>
  <x:c r="C5429" i="1"/>
  <x:c r="B5430" i="1"/>
  <x:c r="C5430" i="1"/>
  <x:c r="B5431" i="1"/>
  <x:c r="C5431" i="1"/>
  <x:c r="B5432" i="1"/>
  <x:c r="C5432" i="1"/>
  <x:c r="B5433" i="1"/>
  <x:c r="C5433" i="1"/>
  <x:c r="B5434" i="1"/>
  <x:c r="C5434" i="1"/>
  <x:c r="B5435" i="1"/>
  <x:c r="C5435" i="1"/>
  <x:c r="B5436" i="1"/>
  <x:c r="C5436" i="1"/>
  <x:c r="B5437" i="1"/>
  <x:c r="C5437" i="1"/>
  <x:c r="B5438" i="1"/>
  <x:c r="C5438" i="1"/>
  <x:c r="B5439" i="1"/>
  <x:c r="C5439" i="1"/>
  <x:c r="B5440" i="1"/>
  <x:c r="C5440" i="1"/>
  <x:c r="B5441" i="1"/>
  <x:c r="C5441" i="1"/>
  <x:c r="B5442" i="1"/>
  <x:c r="C5442" i="1"/>
  <x:c r="B5443" i="1"/>
  <x:c r="C5443" i="1"/>
  <x:c r="B5444" i="1"/>
  <x:c r="C5444" i="1"/>
  <x:c r="B5445" i="1"/>
  <x:c r="C5445" i="1"/>
  <x:c r="B5446" i="1"/>
  <x:c r="C5446" i="1"/>
  <x:c r="B5447" i="1"/>
  <x:c r="C5447" i="1"/>
  <x:c r="B5448" i="1"/>
  <x:c r="C5448" i="1"/>
  <x:c r="B5449" i="1"/>
  <x:c r="C5449" i="1"/>
  <x:c r="B5450" i="1"/>
  <x:c r="C5450" i="1"/>
  <x:c r="B5451" i="1"/>
  <x:c r="C5451" i="1"/>
  <x:c r="B5452" i="1"/>
  <x:c r="C5452" i="1"/>
  <x:c r="B5453" i="1"/>
  <x:c r="C5453" i="1"/>
  <x:c r="B5454" i="1"/>
  <x:c r="C5454" i="1"/>
  <x:c r="B5455" i="1"/>
  <x:c r="C5455" i="1"/>
  <x:c r="B5456" i="1"/>
  <x:c r="C5456" i="1"/>
  <x:c r="B5457" i="1"/>
  <x:c r="C5457" i="1"/>
  <x:c r="B5458" i="1"/>
  <x:c r="C5458" i="1"/>
  <x:c r="B5459" i="1"/>
  <x:c r="C5459" i="1"/>
  <x:c r="B5460" i="1"/>
  <x:c r="C5460" i="1"/>
  <x:c r="B5461" i="1"/>
  <x:c r="C5461" i="1"/>
  <x:c r="B5462" i="1"/>
  <x:c r="C5462" i="1"/>
  <x:c r="B5463" i="1"/>
  <x:c r="C5463" i="1"/>
  <x:c r="B5464" i="1"/>
  <x:c r="C5464" i="1"/>
  <x:c r="B5465" i="1"/>
  <x:c r="C5465" i="1"/>
  <x:c r="B5466" i="1"/>
  <x:c r="C5466" i="1"/>
  <x:c r="B5467" i="1"/>
  <x:c r="C5467" i="1"/>
  <x:c r="B5468" i="1"/>
  <x:c r="C5468" i="1"/>
  <x:c r="B5469" i="1"/>
  <x:c r="C5469" i="1"/>
  <x:c r="B5470" i="1"/>
  <x:c r="C5470" i="1"/>
  <x:c r="B5471" i="1"/>
  <x:c r="C5471" i="1"/>
  <x:c r="B5472" i="1"/>
  <x:c r="C5472" i="1"/>
  <x:c r="B5473" i="1"/>
  <x:c r="C5473" i="1"/>
  <x:c r="B5474" i="1"/>
  <x:c r="C5474" i="1"/>
  <x:c r="B5475" i="1"/>
  <x:c r="C5475" i="1"/>
  <x:c r="B5476" i="1"/>
  <x:c r="C5476" i="1"/>
  <x:c r="B5477" i="1"/>
  <x:c r="C5477" i="1"/>
  <x:c r="B5478" i="1"/>
  <x:c r="C5478" i="1"/>
  <x:c r="B5479" i="1"/>
  <x:c r="C5479" i="1"/>
  <x:c r="B5480" i="1"/>
  <x:c r="C5480" i="1"/>
  <x:c r="B5481" i="1"/>
  <x:c r="C5481" i="1"/>
  <x:c r="B5482" i="1"/>
  <x:c r="C5482" i="1"/>
  <x:c r="B5483" i="1"/>
  <x:c r="C5483" i="1"/>
  <x:c r="B5484" i="1"/>
  <x:c r="C5484" i="1"/>
  <x:c r="B5485" i="1"/>
  <x:c r="C5485" i="1"/>
  <x:c r="B5486" i="1"/>
  <x:c r="C5486" i="1"/>
  <x:c r="B5487" i="1"/>
  <x:c r="C5487" i="1"/>
  <x:c r="B5488" i="1"/>
  <x:c r="C5488" i="1"/>
  <x:c r="B5489" i="1"/>
  <x:c r="C5489" i="1"/>
  <x:c r="B5490" i="1"/>
  <x:c r="C5490" i="1"/>
  <x:c r="B5491" i="1"/>
  <x:c r="C5491" i="1"/>
  <x:c r="B5492" i="1"/>
  <x:c r="C5492" i="1"/>
  <x:c r="B5493" i="1"/>
  <x:c r="C5493" i="1"/>
  <x:c r="B5494" i="1"/>
  <x:c r="C5494" i="1"/>
  <x:c r="B5495" i="1"/>
  <x:c r="C5495" i="1"/>
  <x:c r="B5496" i="1"/>
  <x:c r="C5496" i="1"/>
  <x:c r="B5497" i="1"/>
  <x:c r="C5497" i="1"/>
  <x:c r="B5498" i="1"/>
  <x:c r="C5498" i="1"/>
  <x:c r="B5499" i="1"/>
  <x:c r="C5499" i="1"/>
  <x:c r="B5500" i="1"/>
  <x:c r="C5500" i="1"/>
  <x:c r="B5501" i="1"/>
  <x:c r="C5501" i="1"/>
  <x:c r="B5502" i="1"/>
  <x:c r="C5502" i="1"/>
  <x:c r="B5503" i="1"/>
  <x:c r="C5503" i="1"/>
  <x:c r="B5504" i="1"/>
  <x:c r="C5504" i="1"/>
  <x:c r="B5505" i="1"/>
  <x:c r="C5505" i="1"/>
  <x:c r="B5506" i="1"/>
  <x:c r="C5506" i="1"/>
  <x:c r="B5507" i="1"/>
  <x:c r="C5507" i="1"/>
  <x:c r="B5508" i="1"/>
  <x:c r="C5508" i="1"/>
  <x:c r="B5509" i="1"/>
  <x:c r="C5509" i="1"/>
  <x:c r="B5510" i="1"/>
  <x:c r="C5510" i="1"/>
  <x:c r="B5511" i="1"/>
  <x:c r="C5511" i="1"/>
  <x:c r="B5512" i="1"/>
  <x:c r="C5512" i="1"/>
  <x:c r="B5513" i="1"/>
  <x:c r="C5513" i="1"/>
  <x:c r="B5514" i="1"/>
  <x:c r="C5514" i="1"/>
  <x:c r="B5515" i="1"/>
  <x:c r="C5515" i="1"/>
  <x:c r="B5516" i="1"/>
  <x:c r="C5516" i="1"/>
  <x:c r="B5517" i="1"/>
  <x:c r="C5517" i="1"/>
  <x:c r="B5518" i="1"/>
  <x:c r="C5518" i="1"/>
  <x:c r="B5519" i="1"/>
  <x:c r="C5519" i="1"/>
  <x:c r="B5520" i="1"/>
  <x:c r="C5520" i="1"/>
  <x:c r="B5521" i="1"/>
  <x:c r="C5521" i="1"/>
  <x:c r="B5522" i="1"/>
  <x:c r="C5522" i="1"/>
  <x:c r="B5523" i="1"/>
  <x:c r="C5523" i="1"/>
  <x:c r="B5524" i="1"/>
  <x:c r="C5524" i="1"/>
  <x:c r="B5525" i="1"/>
  <x:c r="C5525" i="1"/>
  <x:c r="B5526" i="1"/>
  <x:c r="C5526" i="1"/>
  <x:c r="B5527" i="1"/>
  <x:c r="C5527" i="1"/>
  <x:c r="B5528" i="1"/>
  <x:c r="C5528" i="1"/>
  <x:c r="B5529" i="1"/>
  <x:c r="C5529" i="1"/>
  <x:c r="B5530" i="1"/>
  <x:c r="C5530" i="1"/>
  <x:c r="B5531" i="1"/>
  <x:c r="C5531" i="1"/>
  <x:c r="B5532" i="1"/>
  <x:c r="C5532" i="1"/>
  <x:c r="B5533" i="1"/>
  <x:c r="C5533" i="1"/>
  <x:c r="B5534" i="1"/>
  <x:c r="C5534" i="1"/>
  <x:c r="B5535" i="1"/>
  <x:c r="C5535" i="1"/>
  <x:c r="B5536" i="1"/>
  <x:c r="C5536" i="1"/>
  <x:c r="B5537" i="1"/>
  <x:c r="C5537" i="1"/>
  <x:c r="B5538" i="1"/>
  <x:c r="C5538" i="1"/>
  <x:c r="B5539" i="1"/>
  <x:c r="C5539" i="1"/>
  <x:c r="B5540" i="1"/>
  <x:c r="C5540" i="1"/>
  <x:c r="B5541" i="1"/>
  <x:c r="C5541" i="1"/>
  <x:c r="B5542" i="1"/>
  <x:c r="C5542" i="1"/>
  <x:c r="B5543" i="1"/>
  <x:c r="C5543" i="1"/>
  <x:c r="B5544" i="1"/>
  <x:c r="C5544" i="1"/>
  <x:c r="B5545" i="1"/>
  <x:c r="C5545" i="1"/>
  <x:c r="B5546" i="1"/>
  <x:c r="C5546" i="1"/>
  <x:c r="B5547" i="1"/>
  <x:c r="C5547" i="1"/>
  <x:c r="B5548" i="1"/>
  <x:c r="C5548" i="1"/>
  <x:c r="B5549" i="1"/>
  <x:c r="C5549" i="1"/>
  <x:c r="B5550" i="1"/>
  <x:c r="C5550" i="1"/>
  <x:c r="B5551" i="1"/>
  <x:c r="C5551" i="1"/>
  <x:c r="B5552" i="1"/>
  <x:c r="C5552" i="1"/>
  <x:c r="B5553" i="1"/>
  <x:c r="C5553" i="1"/>
  <x:c r="B5554" i="1"/>
  <x:c r="C5554" i="1"/>
  <x:c r="B5555" i="1"/>
  <x:c r="C5555" i="1"/>
  <x:c r="B5556" i="1"/>
  <x:c r="C5556" i="1"/>
  <x:c r="B5557" i="1"/>
  <x:c r="C5557" i="1"/>
  <x:c r="B5558" i="1"/>
  <x:c r="C5558" i="1"/>
  <x:c r="B5559" i="1"/>
  <x:c r="C5559" i="1"/>
  <x:c r="B5560" i="1"/>
  <x:c r="C5560" i="1"/>
  <x:c r="B5561" i="1"/>
  <x:c r="C5561" i="1"/>
  <x:c r="B5562" i="1"/>
  <x:c r="C5562" i="1"/>
  <x:c r="B5563" i="1"/>
  <x:c r="C5563" i="1"/>
  <x:c r="B5564" i="1"/>
  <x:c r="C5564" i="1"/>
  <x:c r="B5565" i="1"/>
  <x:c r="C5565" i="1"/>
  <x:c r="B5566" i="1"/>
  <x:c r="C5566" i="1"/>
  <x:c r="B5567" i="1"/>
  <x:c r="C5567" i="1"/>
  <x:c r="B5568" i="1"/>
  <x:c r="C5568" i="1"/>
  <x:c r="B5569" i="1"/>
  <x:c r="C5569" i="1"/>
  <x:c r="B5570" i="1"/>
  <x:c r="C5570" i="1"/>
  <x:c r="B5571" i="1"/>
  <x:c r="C5571" i="1"/>
  <x:c r="B5572" i="1"/>
  <x:c r="C5572" i="1"/>
  <x:c r="B5573" i="1"/>
  <x:c r="C5573" i="1"/>
  <x:c r="B5574" i="1"/>
  <x:c r="C5574" i="1"/>
  <x:c r="B5575" i="1"/>
  <x:c r="C5575" i="1"/>
  <x:c r="B5576" i="1"/>
  <x:c r="C5576" i="1"/>
  <x:c r="B5577" i="1"/>
  <x:c r="C5577" i="1"/>
  <x:c r="B5578" i="1"/>
  <x:c r="C5578" i="1"/>
  <x:c r="B5579" i="1"/>
  <x:c r="C5579" i="1"/>
  <x:c r="B5580" i="1"/>
  <x:c r="C5580" i="1"/>
  <x:c r="B5581" i="1"/>
  <x:c r="C5581" i="1"/>
  <x:c r="B5582" i="1"/>
  <x:c r="C5582" i="1"/>
  <x:c r="B5583" i="1"/>
  <x:c r="C5583" i="1"/>
  <x:c r="B5584" i="1"/>
  <x:c r="C5584" i="1"/>
  <x:c r="B5585" i="1"/>
  <x:c r="C5585" i="1"/>
  <x:c r="B5586" i="1"/>
  <x:c r="C5586" i="1"/>
  <x:c r="B5587" i="1"/>
  <x:c r="C5587" i="1"/>
  <x:c r="B5588" i="1"/>
  <x:c r="C5588" i="1"/>
  <x:c r="B5589" i="1"/>
  <x:c r="C5589" i="1"/>
  <x:c r="B5590" i="1"/>
  <x:c r="C5590" i="1"/>
  <x:c r="B5591" i="1"/>
  <x:c r="C5591" i="1"/>
  <x:c r="B5592" i="1"/>
  <x:c r="C5592" i="1"/>
  <x:c r="B5593" i="1"/>
  <x:c r="C5593" i="1"/>
  <x:c r="B5594" i="1"/>
  <x:c r="C5594" i="1"/>
  <x:c r="B5595" i="1"/>
  <x:c r="C5595" i="1"/>
  <x:c r="B5596" i="1"/>
  <x:c r="C5596" i="1"/>
  <x:c r="B5597" i="1"/>
  <x:c r="C5597" i="1"/>
  <x:c r="B5598" i="1"/>
  <x:c r="C5598" i="1"/>
  <x:c r="B5599" i="1"/>
  <x:c r="C5599" i="1"/>
  <x:c r="B5600" i="1"/>
  <x:c r="C5600" i="1"/>
  <x:c r="B5601" i="1"/>
  <x:c r="C5601" i="1"/>
  <x:c r="B5602" i="1"/>
  <x:c r="C5602" i="1"/>
  <x:c r="B5603" i="1"/>
  <x:c r="C5603" i="1"/>
  <x:c r="B5604" i="1"/>
  <x:c r="C5604" i="1"/>
  <x:c r="B5605" i="1"/>
  <x:c r="C5605" i="1"/>
  <x:c r="B5606" i="1"/>
  <x:c r="C5606" i="1"/>
  <x:c r="B5607" i="1"/>
  <x:c r="C5607" i="1"/>
  <x:c r="B5608" i="1"/>
  <x:c r="C5608" i="1"/>
  <x:c r="B5609" i="1"/>
  <x:c r="C5609" i="1"/>
  <x:c r="B5610" i="1"/>
  <x:c r="C5610" i="1"/>
  <x:c r="B5611" i="1"/>
  <x:c r="C5611" i="1"/>
  <x:c r="B5612" i="1"/>
  <x:c r="C5612" i="1"/>
  <x:c r="B5613" i="1"/>
  <x:c r="C5613" i="1"/>
  <x:c r="B5614" i="1"/>
  <x:c r="C5614" i="1"/>
  <x:c r="B5615" i="1"/>
  <x:c r="C5615" i="1"/>
  <x:c r="B5616" i="1"/>
  <x:c r="C5616" i="1"/>
  <x:c r="B5617" i="1"/>
  <x:c r="C5617" i="1"/>
  <x:c r="B5618" i="1"/>
  <x:c r="C5618" i="1"/>
  <x:c r="B5619" i="1"/>
  <x:c r="C5619" i="1"/>
  <x:c r="B5620" i="1"/>
  <x:c r="C5620" i="1"/>
  <x:c r="B5621" i="1"/>
  <x:c r="C5621" i="1"/>
  <x:c r="B5622" i="1"/>
  <x:c r="C5622" i="1"/>
  <x:c r="B5623" i="1"/>
  <x:c r="C5623" i="1"/>
  <x:c r="B5624" i="1"/>
  <x:c r="C5624" i="1"/>
  <x:c r="B5625" i="1"/>
  <x:c r="C5625" i="1"/>
  <x:c r="B5626" i="1"/>
  <x:c r="C5626" i="1"/>
  <x:c r="B5627" i="1"/>
  <x:c r="C5627" i="1"/>
  <x:c r="B5628" i="1"/>
  <x:c r="C5628" i="1"/>
  <x:c r="B5629" i="1"/>
  <x:c r="C5629" i="1"/>
  <x:c r="B5630" i="1"/>
  <x:c r="C5630" i="1"/>
  <x:c r="B5631" i="1"/>
  <x:c r="C5631" i="1"/>
  <x:c r="B5632" i="1"/>
  <x:c r="C5632" i="1"/>
  <x:c r="B5633" i="1"/>
  <x:c r="C5633" i="1"/>
  <x:c r="B5634" i="1"/>
  <x:c r="C5634" i="1"/>
  <x:c r="B5635" i="1"/>
  <x:c r="C5635" i="1"/>
  <x:c r="B5636" i="1"/>
  <x:c r="C5636" i="1"/>
  <x:c r="B5637" i="1"/>
  <x:c r="C5637" i="1"/>
  <x:c r="B5638" i="1"/>
  <x:c r="C5638" i="1"/>
  <x:c r="B5639" i="1"/>
  <x:c r="C5639" i="1"/>
  <x:c r="B5640" i="1"/>
  <x:c r="C5640" i="1"/>
  <x:c r="B5641" i="1"/>
  <x:c r="C5641" i="1"/>
  <x:c r="B5642" i="1"/>
  <x:c r="C5642" i="1"/>
  <x:c r="B5643" i="1"/>
  <x:c r="C5643" i="1"/>
  <x:c r="B5644" i="1"/>
  <x:c r="C5644" i="1"/>
  <x:c r="B5645" i="1"/>
  <x:c r="C5645" i="1"/>
  <x:c r="B5646" i="1"/>
  <x:c r="C5646" i="1"/>
  <x:c r="B5647" i="1"/>
  <x:c r="C5647" i="1"/>
  <x:c r="B5648" i="1"/>
  <x:c r="C5648" i="1"/>
  <x:c r="B5649" i="1"/>
  <x:c r="C5649" i="1"/>
  <x:c r="B5650" i="1"/>
  <x:c r="C5650" i="1"/>
  <x:c r="B5651" i="1"/>
  <x:c r="C5651" i="1"/>
  <x:c r="B5652" i="1"/>
  <x:c r="C5652" i="1"/>
  <x:c r="B5653" i="1"/>
  <x:c r="C5653" i="1"/>
  <x:c r="B5654" i="1"/>
  <x:c r="C5654" i="1"/>
  <x:c r="B5655" i="1"/>
  <x:c r="C5655" i="1"/>
  <x:c r="B5656" i="1"/>
  <x:c r="C5656" i="1"/>
  <x:c r="B5657" i="1"/>
  <x:c r="C5657" i="1"/>
  <x:c r="B5658" i="1"/>
  <x:c r="C5658" i="1"/>
  <x:c r="B5659" i="1"/>
  <x:c r="C5659" i="1"/>
  <x:c r="B5660" i="1"/>
  <x:c r="C5660" i="1"/>
  <x:c r="B5661" i="1"/>
  <x:c r="C5661" i="1"/>
  <x:c r="B5662" i="1"/>
  <x:c r="C5662" i="1"/>
  <x:c r="B5663" i="1"/>
  <x:c r="C5663" i="1"/>
  <x:c r="B5664" i="1"/>
  <x:c r="C5664" i="1"/>
  <x:c r="B5665" i="1"/>
  <x:c r="C5665" i="1"/>
  <x:c r="B5666" i="1"/>
  <x:c r="C5666" i="1"/>
  <x:c r="B5667" i="1"/>
  <x:c r="C5667" i="1"/>
  <x:c r="B5668" i="1"/>
  <x:c r="C5668" i="1"/>
  <x:c r="B5669" i="1"/>
  <x:c r="C5669" i="1"/>
  <x:c r="B5670" i="1"/>
  <x:c r="C5670" i="1"/>
  <x:c r="B5671" i="1"/>
  <x:c r="C5671" i="1"/>
  <x:c r="B5672" i="1"/>
  <x:c r="C5672" i="1"/>
  <x:c r="B5673" i="1"/>
  <x:c r="C5673" i="1"/>
  <x:c r="B5674" i="1"/>
  <x:c r="C5674" i="1"/>
  <x:c r="B5675" i="1"/>
  <x:c r="C5675" i="1"/>
  <x:c r="B5676" i="1"/>
  <x:c r="C5676" i="1"/>
  <x:c r="B5677" i="1"/>
  <x:c r="C5677" i="1"/>
  <x:c r="B5678" i="1"/>
  <x:c r="C5678" i="1"/>
  <x:c r="B5679" i="1"/>
  <x:c r="C5679" i="1"/>
  <x:c r="B5680" i="1"/>
  <x:c r="C5680" i="1"/>
  <x:c r="B5681" i="1"/>
  <x:c r="C5681" i="1"/>
  <x:c r="B5682" i="1"/>
  <x:c r="C5682" i="1"/>
  <x:c r="B5683" i="1"/>
  <x:c r="C5683" i="1"/>
  <x:c r="B5684" i="1"/>
  <x:c r="C5684" i="1"/>
  <x:c r="B5685" i="1"/>
  <x:c r="C5685" i="1"/>
  <x:c r="B5686" i="1"/>
  <x:c r="C5686" i="1"/>
  <x:c r="B5687" i="1"/>
  <x:c r="C5687" i="1"/>
  <x:c r="B5688" i="1"/>
  <x:c r="C5688" i="1"/>
  <x:c r="B5689" i="1"/>
  <x:c r="C5689" i="1"/>
  <x:c r="B5690" i="1"/>
  <x:c r="C5690" i="1"/>
  <x:c r="B5691" i="1"/>
  <x:c r="C5691" i="1"/>
  <x:c r="B5692" i="1"/>
  <x:c r="C5692" i="1"/>
  <x:c r="B5693" i="1"/>
  <x:c r="C5693" i="1"/>
  <x:c r="B5694" i="1"/>
  <x:c r="C5694" i="1"/>
  <x:c r="B5695" i="1"/>
  <x:c r="C5695" i="1"/>
  <x:c r="B5696" i="1"/>
  <x:c r="C5696" i="1"/>
  <x:c r="B5697" i="1"/>
  <x:c r="C5697" i="1"/>
  <x:c r="B5698" i="1"/>
  <x:c r="C5698" i="1"/>
  <x:c r="B5699" i="1"/>
  <x:c r="C5699" i="1"/>
  <x:c r="B5700" i="1"/>
  <x:c r="C5700" i="1"/>
  <x:c r="B5701" i="1"/>
  <x:c r="C5701" i="1"/>
  <x:c r="B5702" i="1"/>
  <x:c r="C5702" i="1"/>
  <x:c r="B5703" i="1"/>
  <x:c r="C5703" i="1"/>
  <x:c r="B5704" i="1"/>
  <x:c r="C5704" i="1"/>
  <x:c r="B5705" i="1"/>
  <x:c r="C5705" i="1"/>
  <x:c r="B5706" i="1"/>
  <x:c r="C5706" i="1"/>
  <x:c r="B5707" i="1"/>
  <x:c r="C5707" i="1"/>
  <x:c r="B5708" i="1"/>
  <x:c r="C5708" i="1"/>
  <x:c r="B5709" i="1"/>
  <x:c r="C5709" i="1"/>
  <x:c r="B5710" i="1"/>
  <x:c r="C5710" i="1"/>
  <x:c r="B5711" i="1"/>
  <x:c r="C5711" i="1"/>
  <x:c r="B5712" i="1"/>
  <x:c r="C5712" i="1"/>
  <x:c r="B5713" i="1"/>
  <x:c r="C5713" i="1"/>
  <x:c r="B5714" i="1"/>
  <x:c r="C5714" i="1"/>
  <x:c r="B5715" i="1"/>
  <x:c r="C5715" i="1"/>
  <x:c r="B5716" i="1"/>
  <x:c r="C5716" i="1"/>
  <x:c r="B5717" i="1"/>
  <x:c r="C5717" i="1"/>
  <x:c r="B5718" i="1"/>
  <x:c r="C5718" i="1"/>
  <x:c r="B5719" i="1"/>
  <x:c r="C5719" i="1"/>
  <x:c r="B5720" i="1"/>
  <x:c r="C5720" i="1"/>
  <x:c r="B5721" i="1"/>
  <x:c r="C5721" i="1"/>
  <x:c r="B5722" i="1"/>
  <x:c r="C5722" i="1"/>
  <x:c r="B5723" i="1"/>
  <x:c r="C5723" i="1"/>
  <x:c r="B5724" i="1"/>
  <x:c r="C5724" i="1"/>
  <x:c r="B5725" i="1"/>
  <x:c r="C5725" i="1"/>
  <x:c r="B5726" i="1"/>
  <x:c r="C5726" i="1"/>
  <x:c r="B5727" i="1"/>
  <x:c r="C5727" i="1"/>
  <x:c r="B5728" i="1"/>
  <x:c r="C5728" i="1"/>
  <x:c r="B5729" i="1"/>
  <x:c r="C5729" i="1"/>
  <x:c r="B5730" i="1"/>
  <x:c r="C5730" i="1"/>
  <x:c r="B5731" i="1"/>
  <x:c r="C5731" i="1"/>
  <x:c r="B5732" i="1"/>
  <x:c r="C5732" i="1"/>
  <x:c r="B5733" i="1"/>
  <x:c r="C5733" i="1"/>
  <x:c r="B5734" i="1"/>
  <x:c r="C5734" i="1"/>
  <x:c r="B5735" i="1"/>
  <x:c r="C5735" i="1"/>
  <x:c r="B5736" i="1"/>
  <x:c r="C5736" i="1"/>
  <x:c r="B5737" i="1"/>
  <x:c r="C5737" i="1"/>
  <x:c r="B5738" i="1"/>
  <x:c r="C5738" i="1"/>
  <x:c r="B5739" i="1"/>
  <x:c r="C5739" i="1"/>
  <x:c r="B5740" i="1"/>
  <x:c r="C5740" i="1"/>
  <x:c r="B5741" i="1"/>
  <x:c r="C5741" i="1"/>
  <x:c r="B5742" i="1"/>
  <x:c r="C5742" i="1"/>
  <x:c r="B5743" i="1"/>
  <x:c r="C5743" i="1"/>
  <x:c r="B5744" i="1"/>
  <x:c r="C5744" i="1"/>
  <x:c r="B5745" i="1"/>
  <x:c r="C5745" i="1"/>
  <x:c r="B5746" i="1"/>
  <x:c r="C5746" i="1"/>
  <x:c r="B5747" i="1"/>
  <x:c r="C5747" i="1"/>
  <x:c r="B5748" i="1"/>
  <x:c r="C5748" i="1"/>
  <x:c r="B5749" i="1"/>
  <x:c r="C5749" i="1"/>
  <x:c r="B5750" i="1"/>
  <x:c r="C5750" i="1"/>
  <x:c r="B5751" i="1"/>
  <x:c r="C5751" i="1"/>
  <x:c r="B5752" i="1"/>
  <x:c r="C5752" i="1"/>
  <x:c r="B5753" i="1"/>
  <x:c r="C5753" i="1"/>
  <x:c r="B5754" i="1"/>
  <x:c r="C5754" i="1"/>
  <x:c r="B5755" i="1"/>
  <x:c r="C5755" i="1"/>
  <x:c r="B5756" i="1"/>
  <x:c r="C5756" i="1"/>
  <x:c r="B5757" i="1"/>
  <x:c r="C5757" i="1"/>
  <x:c r="B5758" i="1"/>
  <x:c r="C5758" i="1"/>
  <x:c r="B5759" i="1"/>
  <x:c r="C5759" i="1"/>
  <x:c r="B5760" i="1"/>
  <x:c r="C5760" i="1"/>
  <x:c r="B5761" i="1"/>
  <x:c r="C5761" i="1"/>
  <x:c r="B5762" i="1"/>
  <x:c r="C5762" i="1"/>
  <x:c r="B5763" i="1"/>
  <x:c r="C5763" i="1"/>
  <x:c r="B5764" i="1"/>
  <x:c r="C5764" i="1"/>
  <x:c r="B5765" i="1"/>
  <x:c r="C5765" i="1"/>
  <x:c r="B5766" i="1"/>
  <x:c r="C5766" i="1"/>
  <x:c r="B5767" i="1"/>
  <x:c r="C5767" i="1"/>
  <x:c r="B5768" i="1"/>
  <x:c r="C5768" i="1"/>
  <x:c r="B5769" i="1"/>
  <x:c r="C5769" i="1"/>
  <x:c r="B5770" i="1"/>
  <x:c r="C5770" i="1"/>
  <x:c r="B5771" i="1"/>
  <x:c r="C5771" i="1"/>
  <x:c r="B5772" i="1"/>
  <x:c r="C5772" i="1"/>
  <x:c r="B5773" i="1"/>
  <x:c r="C5773" i="1"/>
  <x:c r="B5774" i="1"/>
  <x:c r="C5774" i="1"/>
  <x:c r="B5775" i="1"/>
  <x:c r="C5775" i="1"/>
  <x:c r="B5776" i="1"/>
  <x:c r="C5776" i="1"/>
  <x:c r="B5777" i="1"/>
  <x:c r="C5777" i="1"/>
  <x:c r="B5778" i="1"/>
  <x:c r="C5778" i="1"/>
  <x:c r="B5779" i="1"/>
  <x:c r="C5779" i="1"/>
  <x:c r="B5780" i="1"/>
  <x:c r="C5780" i="1"/>
  <x:c r="B5781" i="1"/>
  <x:c r="C5781" i="1"/>
  <x:c r="B5782" i="1"/>
  <x:c r="C5782" i="1"/>
  <x:c r="B5783" i="1"/>
  <x:c r="C5783" i="1"/>
  <x:c r="B5784" i="1"/>
  <x:c r="C5784" i="1"/>
  <x:c r="B5785" i="1"/>
  <x:c r="C5785" i="1"/>
  <x:c r="B5786" i="1"/>
  <x:c r="C5786" i="1"/>
  <x:c r="B5787" i="1"/>
  <x:c r="C5787" i="1"/>
  <x:c r="B5788" i="1"/>
  <x:c r="C5788" i="1"/>
  <x:c r="B5789" i="1"/>
  <x:c r="C5789" i="1"/>
  <x:c r="B5790" i="1"/>
  <x:c r="C5790" i="1"/>
  <x:c r="B5791" i="1"/>
  <x:c r="C5791" i="1"/>
  <x:c r="B5792" i="1"/>
  <x:c r="C5792" i="1"/>
  <x:c r="B5793" i="1"/>
  <x:c r="C5793" i="1"/>
  <x:c r="B5794" i="1"/>
  <x:c r="C5794" i="1"/>
  <x:c r="B5795" i="1"/>
  <x:c r="C5795" i="1"/>
  <x:c r="B5796" i="1"/>
  <x:c r="C5796" i="1"/>
  <x:c r="B5797" i="1"/>
  <x:c r="C5797" i="1"/>
  <x:c r="B5798" i="1"/>
  <x:c r="C5798" i="1"/>
  <x:c r="B5799" i="1"/>
  <x:c r="C5799" i="1"/>
  <x:c r="B5800" i="1"/>
  <x:c r="C5800" i="1"/>
  <x:c r="B5801" i="1"/>
  <x:c r="C5801" i="1"/>
  <x:c r="B5802" i="1"/>
  <x:c r="C5802" i="1"/>
  <x:c r="B5803" i="1"/>
  <x:c r="C5803" i="1"/>
  <x:c r="B5804" i="1"/>
  <x:c r="C5804" i="1"/>
  <x:c r="B5805" i="1"/>
  <x:c r="C5805" i="1"/>
  <x:c r="B5806" i="1"/>
  <x:c r="C5806" i="1"/>
  <x:c r="B5807" i="1"/>
  <x:c r="C5807" i="1"/>
  <x:c r="B5808" i="1"/>
  <x:c r="C5808" i="1"/>
  <x:c r="B5809" i="1"/>
  <x:c r="C5809" i="1"/>
  <x:c r="B5810" i="1"/>
  <x:c r="C5810" i="1"/>
  <x:c r="B5811" i="1"/>
  <x:c r="C5811" i="1"/>
  <x:c r="B5812" i="1"/>
  <x:c r="C5812" i="1"/>
  <x:c r="B5813" i="1"/>
  <x:c r="C5813" i="1"/>
  <x:c r="B5814" i="1"/>
  <x:c r="C5814" i="1"/>
  <x:c r="B5815" i="1"/>
  <x:c r="C5815" i="1"/>
  <x:c r="B5816" i="1"/>
  <x:c r="C5816" i="1"/>
  <x:c r="B5817" i="1"/>
  <x:c r="C5817" i="1"/>
  <x:c r="B5818" i="1"/>
  <x:c r="C5818" i="1"/>
  <x:c r="B5819" i="1"/>
  <x:c r="C5819" i="1"/>
  <x:c r="B5820" i="1"/>
  <x:c r="C5820" i="1"/>
  <x:c r="B5821" i="1"/>
  <x:c r="C5821" i="1"/>
  <x:c r="B5822" i="1"/>
  <x:c r="C5822" i="1"/>
  <x:c r="B5823" i="1"/>
  <x:c r="C5823" i="1"/>
  <x:c r="B5824" i="1"/>
  <x:c r="C5824" i="1"/>
  <x:c r="B5825" i="1"/>
  <x:c r="C5825" i="1"/>
  <x:c r="B5826" i="1"/>
  <x:c r="C5826" i="1"/>
  <x:c r="B5827" i="1"/>
  <x:c r="C5827" i="1"/>
  <x:c r="B5828" i="1"/>
  <x:c r="C5828" i="1"/>
  <x:c r="B5829" i="1"/>
  <x:c r="C5829" i="1"/>
  <x:c r="B5830" i="1"/>
  <x:c r="C5830" i="1"/>
  <x:c r="B5831" i="1"/>
  <x:c r="C5831" i="1"/>
  <x:c r="B5832" i="1"/>
  <x:c r="C5832" i="1"/>
  <x:c r="B5833" i="1"/>
  <x:c r="C5833" i="1"/>
  <x:c r="B5834" i="1"/>
  <x:c r="C5834" i="1"/>
  <x:c r="B5835" i="1"/>
  <x:c r="C5835" i="1"/>
  <x:c r="B5836" i="1"/>
  <x:c r="C5836" i="1"/>
  <x:c r="B5837" i="1"/>
  <x:c r="C5837" i="1"/>
  <x:c r="B5838" i="1"/>
  <x:c r="C5838" i="1"/>
  <x:c r="B5839" i="1"/>
  <x:c r="C5839" i="1"/>
  <x:c r="B5840" i="1"/>
  <x:c r="C5840" i="1"/>
  <x:c r="B5841" i="1"/>
  <x:c r="C5841" i="1"/>
  <x:c r="B5842" i="1"/>
  <x:c r="C5842" i="1"/>
  <x:c r="B5843" i="1"/>
  <x:c r="C5843" i="1"/>
  <x:c r="B5844" i="1"/>
  <x:c r="C5844" i="1"/>
  <x:c r="B5845" i="1"/>
  <x:c r="C5845" i="1"/>
  <x:c r="B5846" i="1"/>
  <x:c r="C5846" i="1"/>
  <x:c r="B5847" i="1"/>
  <x:c r="C5847" i="1"/>
  <x:c r="B5848" i="1"/>
  <x:c r="C5848" i="1"/>
  <x:c r="B5849" i="1"/>
  <x:c r="C5849" i="1"/>
  <x:c r="B5850" i="1"/>
  <x:c r="C5850" i="1"/>
  <x:c r="B5851" i="1"/>
  <x:c r="C5851" i="1"/>
  <x:c r="B5852" i="1"/>
  <x:c r="C5852" i="1"/>
  <x:c r="B5853" i="1"/>
  <x:c r="C5853" i="1"/>
  <x:c r="B5854" i="1"/>
  <x:c r="C5854" i="1"/>
  <x:c r="B5855" i="1"/>
  <x:c r="C5855" i="1"/>
  <x:c r="B5856" i="1"/>
  <x:c r="C5856" i="1"/>
  <x:c r="B5857" i="1"/>
  <x:c r="C5857" i="1"/>
  <x:c r="B5858" i="1"/>
  <x:c r="C5858" i="1"/>
  <x:c r="B5859" i="1"/>
  <x:c r="C5859" i="1"/>
  <x:c r="B5860" i="1"/>
  <x:c r="C5860" i="1"/>
  <x:c r="B5861" i="1"/>
  <x:c r="C5861" i="1"/>
  <x:c r="B5862" i="1"/>
  <x:c r="C5862" i="1"/>
  <x:c r="B5863" i="1"/>
  <x:c r="C5863" i="1"/>
  <x:c r="B5864" i="1"/>
  <x:c r="C5864" i="1"/>
  <x:c r="B5865" i="1"/>
  <x:c r="C5865" i="1"/>
  <x:c r="B5866" i="1"/>
  <x:c r="C5866" i="1"/>
  <x:c r="B5867" i="1"/>
  <x:c r="C5867" i="1"/>
  <x:c r="B5868" i="1"/>
  <x:c r="C5868" i="1"/>
  <x:c r="B5869" i="1"/>
  <x:c r="C5869" i="1"/>
  <x:c r="B5870" i="1"/>
  <x:c r="C5870" i="1"/>
  <x:c r="B5871" i="1"/>
  <x:c r="C5871" i="1"/>
  <x:c r="B5872" i="1"/>
  <x:c r="C5872" i="1"/>
  <x:c r="B5873" i="1"/>
  <x:c r="C5873" i="1"/>
  <x:c r="B5874" i="1"/>
  <x:c r="C5874" i="1"/>
  <x:c r="B5875" i="1"/>
  <x:c r="C5875" i="1"/>
  <x:c r="B5876" i="1"/>
  <x:c r="C5876" i="1"/>
  <x:c r="B5877" i="1"/>
  <x:c r="C5877" i="1"/>
  <x:c r="B5878" i="1"/>
  <x:c r="C5878" i="1"/>
  <x:c r="B5879" i="1"/>
  <x:c r="C5879" i="1"/>
  <x:c r="B5880" i="1"/>
  <x:c r="C5880" i="1"/>
  <x:c r="B5881" i="1"/>
  <x:c r="C5881" i="1"/>
  <x:c r="B5882" i="1"/>
  <x:c r="C5882" i="1"/>
  <x:c r="B5883" i="1"/>
  <x:c r="C5883" i="1"/>
  <x:c r="B5884" i="1"/>
  <x:c r="C5884" i="1"/>
  <x:c r="B5885" i="1"/>
  <x:c r="C5885" i="1"/>
  <x:c r="B5886" i="1"/>
  <x:c r="C5886" i="1"/>
  <x:c r="B5887" i="1"/>
  <x:c r="C5887" i="1"/>
  <x:c r="B5888" i="1"/>
  <x:c r="C5888" i="1"/>
  <x:c r="B5889" i="1"/>
  <x:c r="C5889" i="1"/>
  <x:c r="B5890" i="1"/>
  <x:c r="C5890" i="1"/>
  <x:c r="B5891" i="1"/>
  <x:c r="C5891" i="1"/>
  <x:c r="B5892" i="1"/>
  <x:c r="C5892" i="1"/>
  <x:c r="B5893" i="1"/>
  <x:c r="C5893" i="1"/>
  <x:c r="B5894" i="1"/>
  <x:c r="C5894" i="1"/>
  <x:c r="B5895" i="1"/>
  <x:c r="C5895" i="1"/>
  <x:c r="B5896" i="1"/>
  <x:c r="C5896" i="1"/>
  <x:c r="B5897" i="1"/>
  <x:c r="C5897" i="1"/>
  <x:c r="B5898" i="1"/>
  <x:c r="C5898" i="1"/>
  <x:c r="B5899" i="1"/>
  <x:c r="C5899" i="1"/>
  <x:c r="B5900" i="1"/>
  <x:c r="C5900" i="1"/>
  <x:c r="B5901" i="1"/>
  <x:c r="C5901" i="1"/>
  <x:c r="B5902" i="1"/>
  <x:c r="C5902" i="1"/>
  <x:c r="B5903" i="1"/>
  <x:c r="C5903" i="1"/>
  <x:c r="B5904" i="1"/>
  <x:c r="C5904" i="1"/>
  <x:c r="B5905" i="1"/>
  <x:c r="C5905" i="1"/>
  <x:c r="B5906" i="1"/>
  <x:c r="C5906" i="1"/>
  <x:c r="B5907" i="1"/>
  <x:c r="C5907" i="1"/>
  <x:c r="B5908" i="1"/>
  <x:c r="C5908" i="1"/>
  <x:c r="B5909" i="1"/>
  <x:c r="C5909" i="1"/>
  <x:c r="B5910" i="1"/>
  <x:c r="C5910" i="1"/>
  <x:c r="B5911" i="1"/>
  <x:c r="C5911" i="1"/>
  <x:c r="B5912" i="1"/>
  <x:c r="C5912" i="1"/>
  <x:c r="B5913" i="1"/>
  <x:c r="C5913" i="1"/>
  <x:c r="B5914" i="1"/>
  <x:c r="C5914" i="1"/>
  <x:c r="B5915" i="1"/>
  <x:c r="C5915" i="1"/>
  <x:c r="B5916" i="1"/>
  <x:c r="C5916" i="1"/>
  <x:c r="B5917" i="1"/>
  <x:c r="C5917" i="1"/>
  <x:c r="B5918" i="1"/>
  <x:c r="C5918" i="1"/>
  <x:c r="B5919" i="1"/>
  <x:c r="C5919" i="1"/>
  <x:c r="B5920" i="1"/>
  <x:c r="C5920" i="1"/>
  <x:c r="B5921" i="1"/>
  <x:c r="C5921" i="1"/>
  <x:c r="B5922" i="1"/>
  <x:c r="C5922" i="1"/>
  <x:c r="B5923" i="1"/>
  <x:c r="C5923" i="1"/>
  <x:c r="B5924" i="1"/>
  <x:c r="C5924" i="1"/>
  <x:c r="B5925" i="1"/>
  <x:c r="C5925" i="1"/>
  <x:c r="B5926" i="1"/>
  <x:c r="C5926" i="1"/>
  <x:c r="B5927" i="1"/>
  <x:c r="C5927" i="1"/>
  <x:c r="B5928" i="1"/>
  <x:c r="C5928" i="1"/>
  <x:c r="B5929" i="1"/>
  <x:c r="C5929" i="1"/>
  <x:c r="B5930" i="1"/>
  <x:c r="C5930" i="1"/>
  <x:c r="B5931" i="1"/>
  <x:c r="C5931" i="1"/>
  <x:c r="B5932" i="1"/>
  <x:c r="C5932" i="1"/>
  <x:c r="B5933" i="1"/>
  <x:c r="C5933" i="1"/>
  <x:c r="B5934" i="1"/>
  <x:c r="C5934" i="1"/>
  <x:c r="B5935" i="1"/>
  <x:c r="C5935" i="1"/>
  <x:c r="B5936" i="1"/>
  <x:c r="C5936" i="1"/>
  <x:c r="B5937" i="1"/>
  <x:c r="C5937" i="1"/>
  <x:c r="B5938" i="1"/>
  <x:c r="C5938" i="1"/>
  <x:c r="B5939" i="1"/>
  <x:c r="C5939" i="1"/>
  <x:c r="B5940" i="1"/>
  <x:c r="C5940" i="1"/>
  <x:c r="B5941" i="1"/>
  <x:c r="C5941" i="1"/>
  <x:c r="B5942" i="1"/>
  <x:c r="C5942" i="1"/>
  <x:c r="B5943" i="1"/>
  <x:c r="C5943" i="1"/>
  <x:c r="B5944" i="1"/>
  <x:c r="C5944" i="1"/>
  <x:c r="B5945" i="1"/>
  <x:c r="C5945" i="1"/>
  <x:c r="B5946" i="1"/>
  <x:c r="C5946" i="1"/>
  <x:c r="B5947" i="1"/>
  <x:c r="C5947" i="1"/>
  <x:c r="B5948" i="1"/>
  <x:c r="C5948" i="1"/>
  <x:c r="B5949" i="1"/>
  <x:c r="C5949" i="1"/>
  <x:c r="B5950" i="1"/>
  <x:c r="C5950" i="1"/>
  <x:c r="B5951" i="1"/>
  <x:c r="C5951" i="1"/>
  <x:c r="B5952" i="1"/>
  <x:c r="C5952" i="1"/>
  <x:c r="B5953" i="1"/>
  <x:c r="C5953" i="1"/>
  <x:c r="B5954" i="1"/>
  <x:c r="C5954" i="1"/>
  <x:c r="B5955" i="1"/>
  <x:c r="C5955" i="1"/>
  <x:c r="B5956" i="1"/>
  <x:c r="C5956" i="1"/>
  <x:c r="B5957" i="1"/>
  <x:c r="C5957" i="1"/>
  <x:c r="B5958" i="1"/>
  <x:c r="C5958" i="1"/>
  <x:c r="B5959" i="1"/>
  <x:c r="C5959" i="1"/>
  <x:c r="B5960" i="1"/>
  <x:c r="C5960" i="1"/>
  <x:c r="B5961" i="1"/>
  <x:c r="C5961" i="1"/>
  <x:c r="B5962" i="1"/>
  <x:c r="C5962" i="1"/>
  <x:c r="B5963" i="1"/>
  <x:c r="C5963" i="1"/>
  <x:c r="B5964" i="1"/>
  <x:c r="C5964" i="1"/>
  <x:c r="B5965" i="1"/>
  <x:c r="C5965" i="1"/>
  <x:c r="B5966" i="1"/>
  <x:c r="C5966" i="1"/>
  <x:c r="B5967" i="1"/>
  <x:c r="C5967" i="1"/>
  <x:c r="B5968" i="1"/>
  <x:c r="C5968" i="1"/>
  <x:c r="B5969" i="1"/>
  <x:c r="C5969" i="1"/>
  <x:c r="B5970" i="1"/>
  <x:c r="C5970" i="1"/>
  <x:c r="B5971" i="1"/>
  <x:c r="C5971" i="1"/>
  <x:c r="B5972" i="1"/>
  <x:c r="C5972" i="1"/>
  <x:c r="B5973" i="1"/>
  <x:c r="C5973" i="1"/>
  <x:c r="B5974" i="1"/>
  <x:c r="C5974" i="1"/>
  <x:c r="B5975" i="1"/>
  <x:c r="C5975" i="1"/>
  <x:c r="B5976" i="1"/>
  <x:c r="C5976" i="1"/>
  <x:c r="B5977" i="1"/>
  <x:c r="C5977" i="1"/>
  <x:c r="B5978" i="1"/>
  <x:c r="C5978" i="1"/>
  <x:c r="B5979" i="1"/>
  <x:c r="C5979" i="1"/>
  <x:c r="B5980" i="1"/>
  <x:c r="C5980" i="1"/>
  <x:c r="B5981" i="1"/>
  <x:c r="C5981" i="1"/>
  <x:c r="B5982" i="1"/>
  <x:c r="C5982" i="1"/>
  <x:c r="B5983" i="1"/>
  <x:c r="C5983" i="1"/>
  <x:c r="B5984" i="1"/>
  <x:c r="C5984" i="1"/>
  <x:c r="B5985" i="1"/>
  <x:c r="C5985" i="1"/>
  <x:c r="B5986" i="1"/>
  <x:c r="C5986" i="1"/>
  <x:c r="B5987" i="1"/>
  <x:c r="C5987" i="1"/>
  <x:c r="B5988" i="1"/>
  <x:c r="C5988" i="1"/>
  <x:c r="B5989" i="1"/>
  <x:c r="C5989" i="1"/>
  <x:c r="B5990" i="1"/>
  <x:c r="C5990" i="1"/>
  <x:c r="B5991" i="1"/>
  <x:c r="C5991" i="1"/>
  <x:c r="B5992" i="1"/>
  <x:c r="C5992" i="1"/>
  <x:c r="B5993" i="1"/>
  <x:c r="C5993" i="1"/>
  <x:c r="B5994" i="1"/>
  <x:c r="C5994" i="1"/>
  <x:c r="B5995" i="1"/>
  <x:c r="C5995" i="1"/>
  <x:c r="B5996" i="1"/>
  <x:c r="C5996" i="1"/>
  <x:c r="B5997" i="1"/>
  <x:c r="C5997" i="1"/>
  <x:c r="B5998" i="1"/>
  <x:c r="C5998" i="1"/>
  <x:c r="B5999" i="1"/>
  <x:c r="C5999" i="1"/>
  <x:c r="B6000" i="1"/>
  <x:c r="C6000" i="1"/>
  <x:c r="B6001" i="1"/>
  <x:c r="C6001" i="1"/>
  <x:c r="B6002" i="1"/>
  <x:c r="C6002" i="1"/>
  <x:c r="B6003" i="1"/>
  <x:c r="C6003" i="1"/>
  <x:c r="B6004" i="1"/>
  <x:c r="C6004" i="1"/>
  <x:c r="B6005" i="1"/>
  <x:c r="C6005" i="1"/>
  <x:c r="B6006" i="1"/>
  <x:c r="C6006" i="1"/>
  <x:c r="B6007" i="1"/>
  <x:c r="C6007" i="1"/>
  <x:c r="B6008" i="1"/>
  <x:c r="C6008" i="1"/>
  <x:c r="B6009" i="1"/>
  <x:c r="C6009" i="1"/>
  <x:c r="B6010" i="1"/>
  <x:c r="C6010" i="1"/>
  <x:c r="B6011" i="1"/>
  <x:c r="C6011" i="1"/>
  <x:c r="B6012" i="1"/>
  <x:c r="C6012" i="1"/>
  <x:c r="B6013" i="1"/>
  <x:c r="C6013" i="1"/>
  <x:c r="B6014" i="1"/>
  <x:c r="C6014" i="1"/>
  <x:c r="B6015" i="1"/>
  <x:c r="C6015" i="1"/>
  <x:c r="B6016" i="1"/>
  <x:c r="C6016" i="1"/>
  <x:c r="B6017" i="1"/>
  <x:c r="C6017" i="1"/>
  <x:c r="B6018" i="1"/>
  <x:c r="C6018" i="1"/>
  <x:c r="B6019" i="1"/>
  <x:c r="C6019" i="1"/>
  <x:c r="B6020" i="1"/>
  <x:c r="C6020" i="1"/>
  <x:c r="B6021" i="1"/>
  <x:c r="C6021" i="1"/>
  <x:c r="B6022" i="1"/>
  <x:c r="C6022" i="1"/>
  <x:c r="B6023" i="1"/>
  <x:c r="C6023" i="1"/>
  <x:c r="B6024" i="1"/>
  <x:c r="C6024" i="1"/>
  <x:c r="B6025" i="1"/>
  <x:c r="C6025" i="1"/>
  <x:c r="B6026" i="1"/>
  <x:c r="C6026" i="1"/>
  <x:c r="B6027" i="1"/>
  <x:c r="C6027" i="1"/>
  <x:c r="B6028" i="1"/>
  <x:c r="C6028" i="1"/>
  <x:c r="B6029" i="1"/>
  <x:c r="C6029" i="1"/>
  <x:c r="B6030" i="1"/>
  <x:c r="C6030" i="1"/>
  <x:c r="B6031" i="1"/>
  <x:c r="C6031" i="1"/>
  <x:c r="B6032" i="1"/>
  <x:c r="C6032" i="1"/>
  <x:c r="B6033" i="1"/>
  <x:c r="C6033" i="1"/>
  <x:c r="B6034" i="1"/>
  <x:c r="C6034" i="1"/>
  <x:c r="B6035" i="1"/>
  <x:c r="C6035" i="1"/>
  <x:c r="B6036" i="1"/>
  <x:c r="C6036" i="1"/>
  <x:c r="B6037" i="1"/>
  <x:c r="C6037" i="1"/>
  <x:c r="B6038" i="1"/>
  <x:c r="C6038" i="1"/>
  <x:c r="B6039" i="1"/>
  <x:c r="C6039" i="1"/>
  <x:c r="B6040" i="1"/>
  <x:c r="C6040" i="1"/>
  <x:c r="B6041" i="1"/>
  <x:c r="C6041" i="1"/>
  <x:c r="B6042" i="1"/>
  <x:c r="C6042" i="1"/>
  <x:c r="B6043" i="1"/>
  <x:c r="C6043" i="1"/>
  <x:c r="B6044" i="1"/>
  <x:c r="C6044" i="1"/>
  <x:c r="B6045" i="1"/>
  <x:c r="C6045" i="1"/>
  <x:c r="B6046" i="1"/>
  <x:c r="C6046" i="1"/>
  <x:c r="B6047" i="1"/>
  <x:c r="C6047" i="1"/>
  <x:c r="B6048" i="1"/>
  <x:c r="C6048" i="1"/>
  <x:c r="B6049" i="1"/>
  <x:c r="C6049" i="1"/>
  <x:c r="B6050" i="1"/>
  <x:c r="C6050" i="1"/>
  <x:c r="B6051" i="1"/>
  <x:c r="C6051" i="1"/>
  <x:c r="B6052" i="1"/>
  <x:c r="C6052" i="1"/>
  <x:c r="B6053" i="1"/>
  <x:c r="C6053" i="1"/>
  <x:c r="B6054" i="1"/>
  <x:c r="C6054" i="1"/>
  <x:c r="B6055" i="1"/>
  <x:c r="C6055" i="1"/>
  <x:c r="B6056" i="1"/>
  <x:c r="C6056" i="1"/>
  <x:c r="B6057" i="1"/>
  <x:c r="C6057" i="1"/>
  <x:c r="B6058" i="1"/>
  <x:c r="C6058" i="1"/>
  <x:c r="B6059" i="1"/>
  <x:c r="C6059" i="1"/>
  <x:c r="B6060" i="1"/>
  <x:c r="C6060" i="1"/>
  <x:c r="B6061" i="1"/>
  <x:c r="C6061" i="1"/>
  <x:c r="B6062" i="1"/>
  <x:c r="C6062" i="1"/>
  <x:c r="B6063" i="1"/>
  <x:c r="C6063" i="1"/>
  <x:c r="B6064" i="1"/>
  <x:c r="C6064" i="1"/>
  <x:c r="B6065" i="1"/>
  <x:c r="C6065" i="1"/>
  <x:c r="B6066" i="1"/>
  <x:c r="C6066" i="1"/>
  <x:c r="B6067" i="1"/>
  <x:c r="C6067" i="1"/>
  <x:c r="B6068" i="1"/>
  <x:c r="C6068" i="1"/>
  <x:c r="B6069" i="1"/>
  <x:c r="C6069" i="1"/>
  <x:c r="B6070" i="1"/>
  <x:c r="C6070" i="1"/>
  <x:c r="B6071" i="1"/>
  <x:c r="C6071" i="1"/>
  <x:c r="B6072" i="1"/>
  <x:c r="C6072" i="1"/>
  <x:c r="B6073" i="1"/>
  <x:c r="C6073" i="1"/>
  <x:c r="B6074" i="1"/>
  <x:c r="C6074" i="1"/>
  <x:c r="B6075" i="1"/>
  <x:c r="C6075" i="1"/>
  <x:c r="B6076" i="1"/>
  <x:c r="C6076" i="1"/>
  <x:c r="B6077" i="1"/>
  <x:c r="C6077" i="1"/>
  <x:c r="B6078" i="1"/>
  <x:c r="C6078" i="1"/>
  <x:c r="B6079" i="1"/>
  <x:c r="C6079" i="1"/>
  <x:c r="B6080" i="1"/>
  <x:c r="C6080" i="1"/>
  <x:c r="B6081" i="1"/>
  <x:c r="C6081" i="1"/>
  <x:c r="B6082" i="1"/>
  <x:c r="C6082" i="1"/>
  <x:c r="B6083" i="1"/>
  <x:c r="C6083" i="1"/>
  <x:c r="B6084" i="1"/>
  <x:c r="C6084" i="1"/>
  <x:c r="B6085" i="1"/>
  <x:c r="C6085" i="1"/>
  <x:c r="B6086" i="1"/>
  <x:c r="C6086" i="1"/>
  <x:c r="B6087" i="1"/>
  <x:c r="C6087" i="1"/>
  <x:c r="B6088" i="1"/>
  <x:c r="C6088" i="1"/>
  <x:c r="B6089" i="1"/>
  <x:c r="C6089" i="1"/>
  <x:c r="B6090" i="1"/>
  <x:c r="C6090" i="1"/>
  <x:c r="B6091" i="1"/>
  <x:c r="C6091" i="1"/>
  <x:c r="B6092" i="1"/>
  <x:c r="C6092" i="1"/>
  <x:c r="B6093" i="1"/>
  <x:c r="C6093" i="1"/>
  <x:c r="B6094" i="1"/>
  <x:c r="C6094" i="1"/>
  <x:c r="B6095" i="1"/>
  <x:c r="C6095" i="1"/>
  <x:c r="B6096" i="1"/>
  <x:c r="C6096" i="1"/>
  <x:c r="B6097" i="1"/>
  <x:c r="C6097" i="1"/>
  <x:c r="B6098" i="1"/>
  <x:c r="C6098" i="1"/>
  <x:c r="B6099" i="1"/>
  <x:c r="C6099" i="1"/>
  <x:c r="B6100" i="1"/>
  <x:c r="C6100" i="1"/>
  <x:c r="B6101" i="1"/>
  <x:c r="C6101" i="1"/>
  <x:c r="B6102" i="1"/>
  <x:c r="C6102" i="1"/>
  <x:c r="B6103" i="1"/>
  <x:c r="C6103" i="1"/>
  <x:c r="B6104" i="1"/>
  <x:c r="C6104" i="1"/>
  <x:c r="B6105" i="1"/>
  <x:c r="C6105" i="1"/>
  <x:c r="B6106" i="1"/>
  <x:c r="C6106" i="1"/>
  <x:c r="B6107" i="1"/>
  <x:c r="C6107" i="1"/>
  <x:c r="B6108" i="1"/>
  <x:c r="C6108" i="1"/>
  <x:c r="B6109" i="1"/>
  <x:c r="C6109" i="1"/>
  <x:c r="B6110" i="1"/>
  <x:c r="C6110" i="1"/>
  <x:c r="B6111" i="1"/>
  <x:c r="C6111" i="1"/>
  <x:c r="B6112" i="1"/>
  <x:c r="C6112" i="1"/>
  <x:c r="B6113" i="1"/>
  <x:c r="C6113" i="1"/>
  <x:c r="B6114" i="1"/>
  <x:c r="C6114" i="1"/>
  <x:c r="B6115" i="1"/>
  <x:c r="C6115" i="1"/>
  <x:c r="B6116" i="1"/>
  <x:c r="C6116" i="1"/>
  <x:c r="B6117" i="1"/>
  <x:c r="C6117" i="1"/>
  <x:c r="B6118" i="1"/>
  <x:c r="C6118" i="1"/>
  <x:c r="B6119" i="1"/>
  <x:c r="C6119" i="1"/>
  <x:c r="B6120" i="1"/>
  <x:c r="C6120" i="1"/>
  <x:c r="B6121" i="1"/>
  <x:c r="C6121" i="1"/>
  <x:c r="B6122" i="1"/>
  <x:c r="C6122" i="1"/>
  <x:c r="B6123" i="1"/>
  <x:c r="C6123" i="1"/>
  <x:c r="B6124" i="1"/>
  <x:c r="C6124" i="1"/>
  <x:c r="B6125" i="1"/>
  <x:c r="C6125" i="1"/>
  <x:c r="B6126" i="1"/>
  <x:c r="C6126" i="1"/>
  <x:c r="B6127" i="1"/>
  <x:c r="C6127" i="1"/>
  <x:c r="B6128" i="1"/>
  <x:c r="C6128" i="1"/>
  <x:c r="B6129" i="1"/>
  <x:c r="C6129" i="1"/>
  <x:c r="B6130" i="1"/>
  <x:c r="C6130" i="1"/>
  <x:c r="B6131" i="1"/>
  <x:c r="C6131" i="1"/>
  <x:c r="B6132" i="1"/>
  <x:c r="C6132" i="1"/>
  <x:c r="B6133" i="1"/>
  <x:c r="C6133" i="1"/>
  <x:c r="B6134" i="1"/>
  <x:c r="C6134" i="1"/>
  <x:c r="B6135" i="1"/>
  <x:c r="C6135" i="1"/>
  <x:c r="B6136" i="1"/>
  <x:c r="C6136" i="1"/>
  <x:c r="B6137" i="1"/>
  <x:c r="C6137" i="1"/>
  <x:c r="B6138" i="1"/>
  <x:c r="C6138" i="1"/>
  <x:c r="B6139" i="1"/>
  <x:c r="C6139" i="1"/>
  <x:c r="B6140" i="1"/>
  <x:c r="C6140" i="1"/>
  <x:c r="B6141" i="1"/>
  <x:c r="C6141" i="1"/>
  <x:c r="B6142" i="1"/>
  <x:c r="C6142" i="1"/>
  <x:c r="B6143" i="1"/>
  <x:c r="C6143" i="1"/>
  <x:c r="B6144" i="1"/>
  <x:c r="C6144" i="1"/>
  <x:c r="B6145" i="1"/>
  <x:c r="C6145" i="1"/>
  <x:c r="B6146" i="1"/>
  <x:c r="C6146" i="1"/>
  <x:c r="B6147" i="1"/>
  <x:c r="C6147" i="1"/>
  <x:c r="B6148" i="1"/>
  <x:c r="C6148" i="1"/>
  <x:c r="B6149" i="1"/>
  <x:c r="C6149" i="1"/>
  <x:c r="B6150" i="1"/>
  <x:c r="C6150" i="1"/>
  <x:c r="B6151" i="1"/>
  <x:c r="C6151" i="1"/>
  <x:c r="B6152" i="1"/>
  <x:c r="C6152" i="1"/>
  <x:c r="B6153" i="1"/>
  <x:c r="C6153" i="1"/>
  <x:c r="B6154" i="1"/>
  <x:c r="C6154" i="1"/>
  <x:c r="B6155" i="1"/>
  <x:c r="C6155" i="1"/>
  <x:c r="B6156" i="1"/>
  <x:c r="C6156" i="1"/>
  <x:c r="B6157" i="1"/>
  <x:c r="C6157" i="1"/>
  <x:c r="B6158" i="1"/>
  <x:c r="C6158" i="1"/>
  <x:c r="B6159" i="1"/>
  <x:c r="C6159" i="1"/>
  <x:c r="B6160" i="1"/>
  <x:c r="C6160" i="1"/>
  <x:c r="B6161" i="1"/>
  <x:c r="C6161" i="1"/>
  <x:c r="B6162" i="1"/>
  <x:c r="C6162" i="1"/>
  <x:c r="B6163" i="1"/>
  <x:c r="C6163" i="1"/>
  <x:c r="B6164" i="1"/>
  <x:c r="C6164" i="1"/>
  <x:c r="B6165" i="1"/>
  <x:c r="C6165" i="1"/>
  <x:c r="B6166" i="1"/>
  <x:c r="C6166" i="1"/>
  <x:c r="B6167" i="1"/>
  <x:c r="C6167" i="1"/>
  <x:c r="B6168" i="1"/>
  <x:c r="C6168" i="1"/>
  <x:c r="B6169" i="1"/>
  <x:c r="C6169" i="1"/>
  <x:c r="B6170" i="1"/>
  <x:c r="C6170" i="1"/>
  <x:c r="B6171" i="1"/>
  <x:c r="C6171" i="1"/>
  <x:c r="B6172" i="1"/>
  <x:c r="C6172" i="1"/>
  <x:c r="B6173" i="1"/>
  <x:c r="C6173" i="1"/>
  <x:c r="B6174" i="1"/>
  <x:c r="C6174" i="1"/>
  <x:c r="B6175" i="1"/>
  <x:c r="C6175" i="1"/>
  <x:c r="B6176" i="1"/>
  <x:c r="C6176" i="1"/>
  <x:c r="B6177" i="1"/>
  <x:c r="C6177" i="1"/>
  <x:c r="B6178" i="1"/>
  <x:c r="C6178" i="1"/>
  <x:c r="B6179" i="1"/>
  <x:c r="C6179" i="1"/>
  <x:c r="B6180" i="1"/>
  <x:c r="C6180" i="1"/>
  <x:c r="B6181" i="1"/>
  <x:c r="C6181" i="1"/>
  <x:c r="B6182" i="1"/>
  <x:c r="C6182" i="1"/>
  <x:c r="B6183" i="1"/>
  <x:c r="C6183" i="1"/>
  <x:c r="B6184" i="1"/>
  <x:c r="C6184" i="1"/>
  <x:c r="B6185" i="1"/>
  <x:c r="C6185" i="1"/>
  <x:c r="B6186" i="1"/>
  <x:c r="C6186" i="1"/>
  <x:c r="B6187" i="1"/>
  <x:c r="C6187" i="1"/>
  <x:c r="B6188" i="1"/>
  <x:c r="C6188" i="1"/>
  <x:c r="B6189" i="1"/>
  <x:c r="C6189" i="1"/>
  <x:c r="B6190" i="1"/>
  <x:c r="C6190" i="1"/>
  <x:c r="B6191" i="1"/>
  <x:c r="C6191" i="1"/>
  <x:c r="B6192" i="1"/>
  <x:c r="C6192" i="1"/>
  <x:c r="B6193" i="1"/>
  <x:c r="C6193" i="1"/>
  <x:c r="B6194" i="1"/>
  <x:c r="C6194" i="1"/>
  <x:c r="B6195" i="1"/>
  <x:c r="C6195" i="1"/>
  <x:c r="B6196" i="1"/>
  <x:c r="C6196" i="1"/>
  <x:c r="B6197" i="1"/>
  <x:c r="C6197" i="1"/>
  <x:c r="B6198" i="1"/>
  <x:c r="C6198" i="1"/>
  <x:c r="B6199" i="1"/>
  <x:c r="C6199" i="1"/>
  <x:c r="B6200" i="1"/>
  <x:c r="C6200" i="1"/>
  <x:c r="B6201" i="1"/>
  <x:c r="C6201" i="1"/>
  <x:c r="B6202" i="1"/>
  <x:c r="C6202" i="1"/>
  <x:c r="B6203" i="1"/>
  <x:c r="C6203" i="1"/>
  <x:c r="B6204" i="1"/>
  <x:c r="C6204" i="1"/>
  <x:c r="B6205" i="1"/>
  <x:c r="C6205" i="1"/>
  <x:c r="B6206" i="1"/>
  <x:c r="C6206" i="1"/>
  <x:c r="B6207" i="1"/>
  <x:c r="C6207" i="1"/>
  <x:c r="B6208" i="1"/>
  <x:c r="C6208" i="1"/>
  <x:c r="B6209" i="1"/>
  <x:c r="C6209" i="1"/>
  <x:c r="B6210" i="1"/>
  <x:c r="C6210" i="1"/>
  <x:c r="B6211" i="1"/>
  <x:c r="C6211" i="1"/>
  <x:c r="B6212" i="1"/>
  <x:c r="C6212" i="1"/>
  <x:c r="B6213" i="1"/>
  <x:c r="C6213" i="1"/>
  <x:c r="B6214" i="1"/>
  <x:c r="C6214" i="1"/>
  <x:c r="B6215" i="1"/>
  <x:c r="C6215" i="1"/>
  <x:c r="B6216" i="1"/>
  <x:c r="C6216" i="1"/>
  <x:c r="B6217" i="1"/>
  <x:c r="C6217" i="1"/>
  <x:c r="B6218" i="1"/>
  <x:c r="C6218" i="1"/>
  <x:c r="B6219" i="1"/>
  <x:c r="C6219" i="1"/>
  <x:c r="B6220" i="1"/>
  <x:c r="C6220" i="1"/>
  <x:c r="B6221" i="1"/>
  <x:c r="C6221" i="1"/>
  <x:c r="B6222" i="1"/>
  <x:c r="C6222" i="1"/>
  <x:c r="B6223" i="1"/>
  <x:c r="C6223" i="1"/>
  <x:c r="B6224" i="1"/>
  <x:c r="C6224" i="1"/>
  <x:c r="B6225" i="1"/>
  <x:c r="C6225" i="1"/>
  <x:c r="B6226" i="1"/>
  <x:c r="C6226" i="1"/>
  <x:c r="B6227" i="1"/>
  <x:c r="C6227" i="1"/>
  <x:c r="B6228" i="1"/>
  <x:c r="C6228" i="1"/>
  <x:c r="B6229" i="1"/>
  <x:c r="C6229" i="1"/>
  <x:c r="B6230" i="1"/>
  <x:c r="C6230" i="1"/>
  <x:c r="B6231" i="1"/>
  <x:c r="C6231" i="1"/>
  <x:c r="B6232" i="1"/>
  <x:c r="C6232" i="1"/>
  <x:c r="B6233" i="1"/>
  <x:c r="C6233" i="1"/>
  <x:c r="B6234" i="1"/>
  <x:c r="C6234" i="1"/>
  <x:c r="B6235" i="1"/>
  <x:c r="C6235" i="1"/>
  <x:c r="B6236" i="1"/>
  <x:c r="C6236" i="1"/>
  <x:c r="B6237" i="1"/>
  <x:c r="C6237" i="1"/>
  <x:c r="B6238" i="1"/>
  <x:c r="C6238" i="1"/>
  <x:c r="B6239" i="1"/>
  <x:c r="C6239" i="1"/>
  <x:c r="B6240" i="1"/>
  <x:c r="C6240" i="1"/>
  <x:c r="B6241" i="1"/>
  <x:c r="C6241" i="1"/>
  <x:c r="B6242" i="1"/>
  <x:c r="C6242" i="1"/>
  <x:c r="B6243" i="1"/>
  <x:c r="C6243" i="1"/>
  <x:c r="B6244" i="1"/>
  <x:c r="C6244" i="1"/>
  <x:c r="B6245" i="1"/>
  <x:c r="C6245" i="1"/>
  <x:c r="B6246" i="1"/>
  <x:c r="C6246" i="1"/>
  <x:c r="B6247" i="1"/>
  <x:c r="C6247" i="1"/>
  <x:c r="B6248" i="1"/>
  <x:c r="C6248" i="1"/>
  <x:c r="B6249" i="1"/>
  <x:c r="C6249" i="1"/>
  <x:c r="B6250" i="1"/>
  <x:c r="C6250" i="1"/>
  <x:c r="B6251" i="1"/>
  <x:c r="C6251" i="1"/>
  <x:c r="B6252" i="1"/>
  <x:c r="C6252" i="1"/>
  <x:c r="B6253" i="1"/>
  <x:c r="C6253" i="1"/>
  <x:c r="B6254" i="1"/>
  <x:c r="C6254" i="1"/>
  <x:c r="B6255" i="1"/>
  <x:c r="C6255" i="1"/>
  <x:c r="B6256" i="1"/>
  <x:c r="C6256" i="1"/>
  <x:c r="B6257" i="1"/>
  <x:c r="C6257" i="1"/>
  <x:c r="B6258" i="1"/>
  <x:c r="C6258" i="1"/>
  <x:c r="B6259" i="1"/>
  <x:c r="C6259" i="1"/>
  <x:c r="B6260" i="1"/>
  <x:c r="C6260" i="1"/>
  <x:c r="B6261" i="1"/>
  <x:c r="C6261" i="1"/>
  <x:c r="B6262" i="1"/>
  <x:c r="C6262" i="1"/>
  <x:c r="B6263" i="1"/>
  <x:c r="C6263" i="1"/>
  <x:c r="B6264" i="1"/>
  <x:c r="C6264" i="1"/>
  <x:c r="B6265" i="1"/>
  <x:c r="C6265" i="1"/>
  <x:c r="B6266" i="1"/>
  <x:c r="C6266" i="1"/>
  <x:c r="B6267" i="1"/>
  <x:c r="C6267" i="1"/>
  <x:c r="B6268" i="1"/>
  <x:c r="C6268" i="1"/>
  <x:c r="B6269" i="1"/>
  <x:c r="C6269" i="1"/>
  <x:c r="B6270" i="1"/>
  <x:c r="C6270" i="1"/>
  <x:c r="B6271" i="1"/>
  <x:c r="C6271" i="1"/>
  <x:c r="B6272" i="1"/>
  <x:c r="C6272" i="1"/>
  <x:c r="B6273" i="1"/>
  <x:c r="C6273" i="1"/>
  <x:c r="B6274" i="1"/>
  <x:c r="C6274" i="1"/>
  <x:c r="B6275" i="1"/>
  <x:c r="C6275" i="1"/>
  <x:c r="B6276" i="1"/>
  <x:c r="C6276" i="1"/>
  <x:c r="B6277" i="1"/>
  <x:c r="C6277" i="1"/>
  <x:c r="B6278" i="1"/>
  <x:c r="C6278" i="1"/>
  <x:c r="B6279" i="1"/>
  <x:c r="C6279" i="1"/>
  <x:c r="B6280" i="1"/>
  <x:c r="C6280" i="1"/>
  <x:c r="B6281" i="1"/>
  <x:c r="C6281" i="1"/>
  <x:c r="B6282" i="1"/>
  <x:c r="C6282" i="1"/>
  <x:c r="B6283" i="1"/>
  <x:c r="C6283" i="1"/>
  <x:c r="B6284" i="1"/>
  <x:c r="C6284" i="1"/>
  <x:c r="B6285" i="1"/>
  <x:c r="C6285" i="1"/>
  <x:c r="B6286" i="1"/>
  <x:c r="C6286" i="1"/>
  <x:c r="B6287" i="1"/>
  <x:c r="C6287" i="1"/>
  <x:c r="B6288" i="1"/>
  <x:c r="C6288" i="1"/>
  <x:c r="B6289" i="1"/>
  <x:c r="C6289" i="1"/>
  <x:c r="B6290" i="1"/>
  <x:c r="C6290" i="1"/>
  <x:c r="B6291" i="1"/>
  <x:c r="C6291" i="1"/>
  <x:c r="B6292" i="1"/>
  <x:c r="C6292" i="1"/>
  <x:c r="B6293" i="1"/>
  <x:c r="C6293" i="1"/>
  <x:c r="B6294" i="1"/>
  <x:c r="C6294" i="1"/>
  <x:c r="B6295" i="1"/>
  <x:c r="C6295" i="1"/>
  <x:c r="B6296" i="1"/>
  <x:c r="C6296" i="1"/>
  <x:c r="B6297" i="1"/>
  <x:c r="C6297" i="1"/>
  <x:c r="B6298" i="1"/>
  <x:c r="C6298" i="1"/>
  <x:c r="B6299" i="1"/>
  <x:c r="C6299" i="1"/>
  <x:c r="B6300" i="1"/>
  <x:c r="C6300" i="1"/>
  <x:c r="B6301" i="1"/>
  <x:c r="C6301" i="1"/>
  <x:c r="B6302" i="1"/>
  <x:c r="C6302" i="1"/>
  <x:c r="B6303" i="1"/>
  <x:c r="C6303" i="1"/>
  <x:c r="B6304" i="1"/>
  <x:c r="C6304" i="1"/>
  <x:c r="B6305" i="1"/>
  <x:c r="C6305" i="1"/>
  <x:c r="B6306" i="1"/>
  <x:c r="C6306" i="1"/>
  <x:c r="B6307" i="1"/>
  <x:c r="C6307" i="1"/>
  <x:c r="B6308" i="1"/>
  <x:c r="C6308" i="1"/>
  <x:c r="B6309" i="1"/>
  <x:c r="C6309" i="1"/>
  <x:c r="B6310" i="1"/>
  <x:c r="C6310" i="1"/>
  <x:c r="B6311" i="1"/>
  <x:c r="C6311" i="1"/>
  <x:c r="B6312" i="1"/>
  <x:c r="C6312" i="1"/>
  <x:c r="B6313" i="1"/>
  <x:c r="C6313" i="1"/>
  <x:c r="B6314" i="1"/>
  <x:c r="C6314" i="1"/>
  <x:c r="B6315" i="1"/>
  <x:c r="C6315" i="1"/>
  <x:c r="B6316" i="1"/>
  <x:c r="C6316" i="1"/>
  <x:c r="B6317" i="1"/>
  <x:c r="C6317" i="1"/>
  <x:c r="B6318" i="1"/>
  <x:c r="C6318" i="1"/>
  <x:c r="B6319" i="1"/>
  <x:c r="C6319" i="1"/>
  <x:c r="B6320" i="1"/>
  <x:c r="C6320" i="1"/>
  <x:c r="B6321" i="1"/>
  <x:c r="C6321" i="1"/>
  <x:c r="B6322" i="1"/>
  <x:c r="C6322" i="1"/>
  <x:c r="B6323" i="1"/>
  <x:c r="C6323" i="1"/>
  <x:c r="B6324" i="1"/>
  <x:c r="C6324" i="1"/>
  <x:c r="B6325" i="1"/>
  <x:c r="C6325" i="1"/>
  <x:c r="B6326" i="1"/>
  <x:c r="C6326" i="1"/>
  <x:c r="B6327" i="1"/>
  <x:c r="C6327" i="1"/>
  <x:c r="B6328" i="1"/>
  <x:c r="C6328" i="1"/>
  <x:c r="B6329" i="1"/>
  <x:c r="C6329" i="1"/>
  <x:c r="B6330" i="1"/>
  <x:c r="C6330" i="1"/>
  <x:c r="B6331" i="1"/>
  <x:c r="C6331" i="1"/>
  <x:c r="B6332" i="1"/>
  <x:c r="C6332" i="1"/>
  <x:c r="B6333" i="1"/>
  <x:c r="C6333" i="1"/>
  <x:c r="B6334" i="1"/>
  <x:c r="C6334" i="1"/>
  <x:c r="B6335" i="1"/>
  <x:c r="C6335" i="1"/>
  <x:c r="B6336" i="1"/>
  <x:c r="C6336" i="1"/>
  <x:c r="B6337" i="1"/>
  <x:c r="C6337" i="1"/>
  <x:c r="B6338" i="1"/>
  <x:c r="C6338" i="1"/>
  <x:c r="B6339" i="1"/>
  <x:c r="C6339" i="1"/>
  <x:c r="B6340" i="1"/>
  <x:c r="C6340" i="1"/>
  <x:c r="B6341" i="1"/>
  <x:c r="C6341" i="1"/>
  <x:c r="B6342" i="1"/>
  <x:c r="C6342" i="1"/>
  <x:c r="B6343" i="1"/>
  <x:c r="C6343" i="1"/>
  <x:c r="B6344" i="1"/>
  <x:c r="C6344" i="1"/>
  <x:c r="B6345" i="1"/>
  <x:c r="C6345" i="1"/>
  <x:c r="B6346" i="1"/>
  <x:c r="C6346" i="1"/>
  <x:c r="B6347" i="1"/>
  <x:c r="C6347" i="1"/>
  <x:c r="B6348" i="1"/>
  <x:c r="C6348" i="1"/>
  <x:c r="B6349" i="1"/>
  <x:c r="C6349" i="1"/>
  <x:c r="B6350" i="1"/>
  <x:c r="C6350" i="1"/>
  <x:c r="B6351" i="1"/>
  <x:c r="C6351" i="1"/>
  <x:c r="B6352" i="1"/>
  <x:c r="C6352" i="1"/>
  <x:c r="B6353" i="1"/>
  <x:c r="C6353" i="1"/>
  <x:c r="B6354" i="1"/>
  <x:c r="C6354" i="1"/>
  <x:c r="B6355" i="1"/>
  <x:c r="C6355" i="1"/>
  <x:c r="B6356" i="1"/>
  <x:c r="C6356" i="1"/>
  <x:c r="B6357" i="1"/>
  <x:c r="C6357" i="1"/>
  <x:c r="B6358" i="1"/>
  <x:c r="C6358" i="1"/>
  <x:c r="B6359" i="1"/>
  <x:c r="C6359" i="1"/>
  <x:c r="B6360" i="1"/>
  <x:c r="C6360" i="1"/>
  <x:c r="B6361" i="1"/>
  <x:c r="C6361" i="1"/>
  <x:c r="B6362" i="1"/>
  <x:c r="C6362" i="1"/>
  <x:c r="B6363" i="1"/>
  <x:c r="C6363" i="1"/>
  <x:c r="B6364" i="1"/>
  <x:c r="C6364" i="1"/>
  <x:c r="B6365" i="1"/>
  <x:c r="C6365" i="1"/>
  <x:c r="B6366" i="1"/>
  <x:c r="C6366" i="1"/>
  <x:c r="B6367" i="1"/>
  <x:c r="C6367" i="1"/>
  <x:c r="B6368" i="1"/>
  <x:c r="C6368" i="1"/>
  <x:c r="B6369" i="1"/>
  <x:c r="C6369" i="1"/>
  <x:c r="B6370" i="1"/>
  <x:c r="C6370" i="1"/>
  <x:c r="B6371" i="1"/>
  <x:c r="C6371" i="1"/>
  <x:c r="B6372" i="1"/>
  <x:c r="C6372" i="1"/>
  <x:c r="B6373" i="1"/>
  <x:c r="C6373" i="1"/>
  <x:c r="B6374" i="1"/>
  <x:c r="C6374" i="1"/>
  <x:c r="B6375" i="1"/>
  <x:c r="C6375" i="1"/>
  <x:c r="B6376" i="1"/>
  <x:c r="C6376" i="1"/>
  <x:c r="B6377" i="1"/>
  <x:c r="C6377" i="1"/>
  <x:c r="B6378" i="1"/>
  <x:c r="C6378" i="1"/>
  <x:c r="B6379" i="1"/>
  <x:c r="C6379" i="1"/>
  <x:c r="B6380" i="1"/>
  <x:c r="C6380" i="1"/>
  <x:c r="B6381" i="1"/>
  <x:c r="C6381" i="1"/>
  <x:c r="B6382" i="1"/>
  <x:c r="C6382" i="1"/>
  <x:c r="B6383" i="1"/>
  <x:c r="C6383" i="1"/>
  <x:c r="B6384" i="1"/>
  <x:c r="C6384" i="1"/>
  <x:c r="B6385" i="1"/>
  <x:c r="C6385" i="1"/>
  <x:c r="B6386" i="1"/>
  <x:c r="C6386" i="1"/>
  <x:c r="B6387" i="1"/>
  <x:c r="C6387" i="1"/>
  <x:c r="B6388" i="1"/>
  <x:c r="C6388" i="1"/>
  <x:c r="B6389" i="1"/>
  <x:c r="C6389" i="1"/>
  <x:c r="B6390" i="1"/>
  <x:c r="C6390" i="1"/>
  <x:c r="B6391" i="1"/>
  <x:c r="C6391" i="1"/>
  <x:c r="B6392" i="1"/>
  <x:c r="C6392" i="1"/>
  <x:c r="B6393" i="1"/>
  <x:c r="C6393" i="1"/>
  <x:c r="B6394" i="1"/>
  <x:c r="C6394" i="1"/>
  <x:c r="B6395" i="1"/>
  <x:c r="C6395" i="1"/>
  <x:c r="B6396" i="1"/>
  <x:c r="C6396" i="1"/>
  <x:c r="B6397" i="1"/>
  <x:c r="C6397" i="1"/>
  <x:c r="B6398" i="1"/>
  <x:c r="C6398" i="1"/>
  <x:c r="B6399" i="1"/>
  <x:c r="C6399" i="1"/>
  <x:c r="B6400" i="1"/>
  <x:c r="C6400" i="1"/>
  <x:c r="B6401" i="1"/>
  <x:c r="C6401" i="1"/>
  <x:c r="B6402" i="1"/>
  <x:c r="C6402" i="1"/>
  <x:c r="B6403" i="1"/>
  <x:c r="C6403" i="1"/>
  <x:c r="B6404" i="1"/>
  <x:c r="C6404" i="1"/>
  <x:c r="B6405" i="1"/>
  <x:c r="C6405" i="1"/>
  <x:c r="B6406" i="1"/>
  <x:c r="C6406" i="1"/>
  <x:c r="B6407" i="1"/>
  <x:c r="C6407" i="1"/>
  <x:c r="B6408" i="1"/>
  <x:c r="C6408" i="1"/>
  <x:c r="B6409" i="1"/>
  <x:c r="C6409" i="1"/>
  <x:c r="B6410" i="1"/>
  <x:c r="C6410" i="1"/>
  <x:c r="B6411" i="1"/>
  <x:c r="C6411" i="1"/>
  <x:c r="B6412" i="1"/>
  <x:c r="C6412" i="1"/>
  <x:c r="B6413" i="1"/>
  <x:c r="C6413" i="1"/>
  <x:c r="B6414" i="1"/>
  <x:c r="C6414" i="1"/>
  <x:c r="B6415" i="1"/>
  <x:c r="C6415" i="1"/>
  <x:c r="B6416" i="1"/>
  <x:c r="C6416" i="1"/>
  <x:c r="B6417" i="1"/>
  <x:c r="C6417" i="1"/>
  <x:c r="B6418" i="1"/>
  <x:c r="C6418" i="1"/>
  <x:c r="B6419" i="1"/>
  <x:c r="C6419" i="1"/>
  <x:c r="B6420" i="1"/>
  <x:c r="C6420" i="1"/>
  <x:c r="B6421" i="1"/>
  <x:c r="C6421" i="1"/>
  <x:c r="B6422" i="1"/>
  <x:c r="C6422" i="1"/>
  <x:c r="B6423" i="1"/>
  <x:c r="C6423" i="1"/>
  <x:c r="B6424" i="1"/>
  <x:c r="C6424" i="1"/>
  <x:c r="B6425" i="1"/>
  <x:c r="C6425" i="1"/>
  <x:c r="B6426" i="1"/>
  <x:c r="C6426" i="1"/>
  <x:c r="B6427" i="1"/>
  <x:c r="C6427" i="1"/>
  <x:c r="B6428" i="1"/>
  <x:c r="C6428" i="1"/>
  <x:c r="B6429" i="1"/>
  <x:c r="C6429" i="1"/>
  <x:c r="B6430" i="1"/>
  <x:c r="C6430" i="1"/>
  <x:c r="B6431" i="1"/>
  <x:c r="C6431" i="1"/>
  <x:c r="B6432" i="1"/>
  <x:c r="C6432" i="1"/>
  <x:c r="B6433" i="1"/>
  <x:c r="C6433" i="1"/>
  <x:c r="B6434" i="1"/>
  <x:c r="C6434" i="1"/>
  <x:c r="B6435" i="1"/>
  <x:c r="C6435" i="1"/>
  <x:c r="B6436" i="1"/>
  <x:c r="C6436" i="1"/>
  <x:c r="B6437" i="1"/>
  <x:c r="C6437" i="1"/>
  <x:c r="B6438" i="1"/>
  <x:c r="C6438" i="1"/>
  <x:c r="B6439" i="1"/>
  <x:c r="C6439" i="1"/>
  <x:c r="B6440" i="1"/>
  <x:c r="C6440" i="1"/>
  <x:c r="B6441" i="1"/>
  <x:c r="C6441" i="1"/>
  <x:c r="B6442" i="1"/>
  <x:c r="C6442" i="1"/>
  <x:c r="B6443" i="1"/>
  <x:c r="C6443" i="1"/>
  <x:c r="B6444" i="1"/>
  <x:c r="C6444" i="1"/>
  <x:c r="B6445" i="1"/>
  <x:c r="C6445" i="1"/>
  <x:c r="B6446" i="1"/>
  <x:c r="C6446" i="1"/>
  <x:c r="B6447" i="1"/>
  <x:c r="C6447" i="1"/>
  <x:c r="B6448" i="1"/>
  <x:c r="C6448" i="1"/>
  <x:c r="B6449" i="1"/>
  <x:c r="C6449" i="1"/>
  <x:c r="B6450" i="1"/>
  <x:c r="C6450" i="1"/>
  <x:c r="B6451" i="1"/>
  <x:c r="C6451" i="1"/>
  <x:c r="B6452" i="1"/>
  <x:c r="C6452" i="1"/>
  <x:c r="B6453" i="1"/>
  <x:c r="C6453" i="1"/>
  <x:c r="B6454" i="1"/>
  <x:c r="C6454" i="1"/>
  <x:c r="B6455" i="1"/>
  <x:c r="C6455" i="1"/>
  <x:c r="B6456" i="1"/>
  <x:c r="C6456" i="1"/>
  <x:c r="B6457" i="1"/>
  <x:c r="C6457" i="1"/>
  <x:c r="B6458" i="1"/>
  <x:c r="C6458" i="1"/>
  <x:c r="B6459" i="1"/>
  <x:c r="C6459" i="1"/>
  <x:c r="B6460" i="1"/>
  <x:c r="C6460" i="1"/>
  <x:c r="B6461" i="1"/>
  <x:c r="C6461" i="1"/>
  <x:c r="B6462" i="1"/>
  <x:c r="C6462" i="1"/>
  <x:c r="B6463" i="1"/>
  <x:c r="C6463" i="1"/>
  <x:c r="B6464" i="1"/>
  <x:c r="C6464" i="1"/>
  <x:c r="B6465" i="1"/>
  <x:c r="C6465" i="1"/>
  <x:c r="B6466" i="1"/>
  <x:c r="C6466" i="1"/>
  <x:c r="B6467" i="1"/>
  <x:c r="C6467" i="1"/>
  <x:c r="B6468" i="1"/>
  <x:c r="C6468" i="1"/>
  <x:c r="B6469" i="1"/>
  <x:c r="C6469" i="1"/>
  <x:c r="B6470" i="1"/>
  <x:c r="C6470" i="1"/>
  <x:c r="B6471" i="1"/>
  <x:c r="C6471" i="1"/>
  <x:c r="B6472" i="1"/>
  <x:c r="C6472" i="1"/>
  <x:c r="B6473" i="1"/>
  <x:c r="C6473" i="1"/>
  <x:c r="B6474" i="1"/>
  <x:c r="C6474" i="1"/>
  <x:c r="B6475" i="1"/>
  <x:c r="C6475" i="1"/>
  <x:c r="B6476" i="1"/>
  <x:c r="C6476" i="1"/>
  <x:c r="B6477" i="1"/>
  <x:c r="C6477" i="1"/>
  <x:c r="B6478" i="1"/>
  <x:c r="C6478" i="1"/>
  <x:c r="B6479" i="1"/>
  <x:c r="C6479" i="1"/>
  <x:c r="B6480" i="1"/>
  <x:c r="C6480" i="1"/>
  <x:c r="B6481" i="1"/>
  <x:c r="C6481" i="1"/>
  <x:c r="B6482" i="1"/>
  <x:c r="C6482" i="1"/>
  <x:c r="B6483" i="1"/>
  <x:c r="C6483" i="1"/>
  <x:c r="B6484" i="1"/>
  <x:c r="C6484" i="1"/>
  <x:c r="B6485" i="1"/>
  <x:c r="C6485" i="1"/>
  <x:c r="B6486" i="1"/>
  <x:c r="C6486" i="1"/>
  <x:c r="B6487" i="1"/>
  <x:c r="C6487" i="1"/>
  <x:c r="B6488" i="1"/>
  <x:c r="C6488" i="1"/>
  <x:c r="B6489" i="1"/>
  <x:c r="C6489" i="1"/>
  <x:c r="B6490" i="1"/>
  <x:c r="C6490" i="1"/>
  <x:c r="B6491" i="1"/>
  <x:c r="C6491" i="1"/>
  <x:c r="B6492" i="1"/>
  <x:c r="C6492" i="1"/>
  <x:c r="B6493" i="1"/>
  <x:c r="C6493" i="1"/>
  <x:c r="B6494" i="1"/>
  <x:c r="C6494" i="1"/>
  <x:c r="B6495" i="1"/>
  <x:c r="C6495" i="1"/>
  <x:c r="B6496" i="1"/>
  <x:c r="C6496" i="1"/>
  <x:c r="B6497" i="1"/>
  <x:c r="C6497" i="1"/>
  <x:c r="B6498" i="1"/>
  <x:c r="C6498" i="1"/>
  <x:c r="B6499" i="1"/>
  <x:c r="C6499" i="1"/>
  <x:c r="B6500" i="1"/>
  <x:c r="C6500" i="1"/>
  <x:c r="B6501" i="1"/>
  <x:c r="C6501" i="1"/>
  <x:c r="B6502" i="1"/>
  <x:c r="C6502" i="1"/>
  <x:c r="B6503" i="1"/>
  <x:c r="C6503" i="1"/>
  <x:c r="B6504" i="1"/>
  <x:c r="C6504" i="1"/>
  <x:c r="B6505" i="1"/>
  <x:c r="C6505" i="1"/>
  <x:c r="B6506" i="1"/>
  <x:c r="C6506" i="1"/>
  <x:c r="B6507" i="1"/>
  <x:c r="C6507" i="1"/>
  <x:c r="B6508" i="1"/>
  <x:c r="C6508" i="1"/>
  <x:c r="B6509" i="1"/>
  <x:c r="C6509" i="1"/>
  <x:c r="B6510" i="1"/>
  <x:c r="C6510" i="1"/>
  <x:c r="B6511" i="1"/>
  <x:c r="C6511" i="1"/>
  <x:c r="B6512" i="1"/>
  <x:c r="C6512" i="1"/>
  <x:c r="B6513" i="1"/>
  <x:c r="C6513" i="1"/>
  <x:c r="B6514" i="1"/>
  <x:c r="C6514" i="1"/>
  <x:c r="B6515" i="1"/>
  <x:c r="C6515" i="1"/>
  <x:c r="B6516" i="1"/>
  <x:c r="C6516" i="1"/>
  <x:c r="B6517" i="1"/>
  <x:c r="C6517" i="1"/>
  <x:c r="B6518" i="1"/>
  <x:c r="C6518" i="1"/>
  <x:c r="B6519" i="1"/>
  <x:c r="C6519" i="1"/>
  <x:c r="B6520" i="1"/>
  <x:c r="C6520" i="1"/>
  <x:c r="B6521" i="1"/>
  <x:c r="C6521" i="1"/>
  <x:c r="B6522" i="1"/>
  <x:c r="C6522" i="1"/>
  <x:c r="B6523" i="1"/>
  <x:c r="C6523" i="1"/>
  <x:c r="B6524" i="1"/>
  <x:c r="C6524" i="1"/>
  <x:c r="B6525" i="1"/>
  <x:c r="C6525" i="1"/>
  <x:c r="B6526" i="1"/>
  <x:c r="C6526" i="1"/>
  <x:c r="B6527" i="1"/>
  <x:c r="C6527" i="1"/>
  <x:c r="B6528" i="1"/>
  <x:c r="C6528" i="1"/>
  <x:c r="B6529" i="1"/>
  <x:c r="C6529" i="1"/>
  <x:c r="B6530" i="1"/>
  <x:c r="C6530" i="1"/>
  <x:c r="B6531" i="1"/>
  <x:c r="C6531" i="1"/>
  <x:c r="B6532" i="1"/>
  <x:c r="C6532" i="1"/>
  <x:c r="B6533" i="1"/>
  <x:c r="C6533" i="1"/>
  <x:c r="B6534" i="1"/>
  <x:c r="C6534" i="1"/>
  <x:c r="B6535" i="1"/>
  <x:c r="C6535" i="1"/>
  <x:c r="B6536" i="1"/>
  <x:c r="C6536" i="1"/>
  <x:c r="B6537" i="1"/>
  <x:c r="C6537" i="1"/>
  <x:c r="B6538" i="1"/>
  <x:c r="C6538" i="1"/>
  <x:c r="B6539" i="1"/>
  <x:c r="C6539" i="1"/>
  <x:c r="B6540" i="1"/>
  <x:c r="C6540" i="1"/>
  <x:c r="B6541" i="1"/>
  <x:c r="C6541" i="1"/>
  <x:c r="B6542" i="1"/>
  <x:c r="C6542" i="1"/>
  <x:c r="B6543" i="1"/>
  <x:c r="C6543" i="1"/>
  <x:c r="B6544" i="1"/>
  <x:c r="C6544" i="1"/>
  <x:c r="B6545" i="1"/>
  <x:c r="C6545" i="1"/>
  <x:c r="B6546" i="1"/>
  <x:c r="C6546" i="1"/>
  <x:c r="B6547" i="1"/>
  <x:c r="C6547" i="1"/>
  <x:c r="B6548" i="1"/>
  <x:c r="C6548" i="1"/>
  <x:c r="B6549" i="1"/>
  <x:c r="C6549" i="1"/>
  <x:c r="B6550" i="1"/>
  <x:c r="C6550" i="1"/>
  <x:c r="B6551" i="1"/>
  <x:c r="C6551" i="1"/>
  <x:c r="B6552" i="1"/>
  <x:c r="C6552" i="1"/>
  <x:c r="B6553" i="1"/>
  <x:c r="C6553" i="1"/>
  <x:c r="B6554" i="1"/>
  <x:c r="C6554" i="1"/>
  <x:c r="B6555" i="1"/>
  <x:c r="C6555" i="1"/>
  <x:c r="B6556" i="1"/>
  <x:c r="C6556" i="1"/>
  <x:c r="B6557" i="1"/>
  <x:c r="C6557" i="1"/>
  <x:c r="B6558" i="1"/>
  <x:c r="C6558" i="1"/>
  <x:c r="B6559" i="1"/>
  <x:c r="C6559" i="1"/>
  <x:c r="B6560" i="1"/>
  <x:c r="C6560" i="1"/>
  <x:c r="B6561" i="1"/>
  <x:c r="C6561" i="1"/>
  <x:c r="B6562" i="1"/>
  <x:c r="C6562" i="1"/>
  <x:c r="B6563" i="1"/>
  <x:c r="C6563" i="1"/>
  <x:c r="B6564" i="1"/>
  <x:c r="C6564" i="1"/>
  <x:c r="B6565" i="1"/>
  <x:c r="C6565" i="1"/>
  <x:c r="B6566" i="1"/>
  <x:c r="C6566" i="1"/>
  <x:c r="B6567" i="1"/>
  <x:c r="C6567" i="1"/>
  <x:c r="B6568" i="1"/>
  <x:c r="C6568" i="1"/>
  <x:c r="B6569" i="1"/>
  <x:c r="C6569" i="1"/>
  <x:c r="B6570" i="1"/>
  <x:c r="C6570" i="1"/>
  <x:c r="B6571" i="1"/>
  <x:c r="C6571" i="1"/>
  <x:c r="B6572" i="1"/>
  <x:c r="C6572" i="1"/>
  <x:c r="B6573" i="1"/>
  <x:c r="C6573" i="1"/>
  <x:c r="B6574" i="1"/>
  <x:c r="C6574" i="1"/>
  <x:c r="B6575" i="1"/>
  <x:c r="C6575" i="1"/>
  <x:c r="B6576" i="1"/>
  <x:c r="C6576" i="1"/>
  <x:c r="B6577" i="1"/>
  <x:c r="C6577" i="1"/>
  <x:c r="B6578" i="1"/>
  <x:c r="C6578" i="1"/>
  <x:c r="B6579" i="1"/>
  <x:c r="C6579" i="1"/>
  <x:c r="B6580" i="1"/>
  <x:c r="C6580" i="1"/>
  <x:c r="B6581" i="1"/>
  <x:c r="C6581" i="1"/>
  <x:c r="B6582" i="1"/>
  <x:c r="C6582" i="1"/>
  <x:c r="B6583" i="1"/>
  <x:c r="C6583" i="1"/>
  <x:c r="B6584" i="1"/>
  <x:c r="C6584" i="1"/>
  <x:c r="B6585" i="1"/>
  <x:c r="C6585" i="1"/>
  <x:c r="B6586" i="1"/>
  <x:c r="C6586" i="1"/>
  <x:c r="B6587" i="1"/>
  <x:c r="C6587" i="1"/>
  <x:c r="B6588" i="1"/>
  <x:c r="C6588" i="1"/>
  <x:c r="B6589" i="1"/>
  <x:c r="C6589" i="1"/>
  <x:c r="B6590" i="1"/>
  <x:c r="C6590" i="1"/>
  <x:c r="B6591" i="1"/>
  <x:c r="C6591" i="1"/>
  <x:c r="B6592" i="1"/>
  <x:c r="C6592" i="1"/>
  <x:c r="B6593" i="1"/>
  <x:c r="C6593" i="1"/>
  <x:c r="B6594" i="1"/>
  <x:c r="C6594" i="1"/>
  <x:c r="B6595" i="1"/>
  <x:c r="C6595" i="1"/>
  <x:c r="B6596" i="1"/>
  <x:c r="C6596" i="1"/>
  <x:c r="B6597" i="1"/>
  <x:c r="C6597" i="1"/>
  <x:c r="B6598" i="1"/>
  <x:c r="C6598" i="1"/>
  <x:c r="B6599" i="1"/>
  <x:c r="C6599" i="1"/>
  <x:c r="B6600" i="1"/>
  <x:c r="C6600" i="1"/>
  <x:c r="B6601" i="1"/>
  <x:c r="C6601" i="1"/>
  <x:c r="B6602" i="1"/>
  <x:c r="C6602" i="1"/>
  <x:c r="B6603" i="1"/>
  <x:c r="C6603" i="1"/>
  <x:c r="B6604" i="1"/>
  <x:c r="C6604" i="1"/>
  <x:c r="B6605" i="1"/>
  <x:c r="C6605" i="1"/>
  <x:c r="B6606" i="1"/>
  <x:c r="C6606" i="1"/>
  <x:c r="B6607" i="1"/>
  <x:c r="C6607" i="1"/>
  <x:c r="B6608" i="1"/>
  <x:c r="C6608" i="1"/>
  <x:c r="B6609" i="1"/>
  <x:c r="C6609" i="1"/>
  <x:c r="B6610" i="1"/>
  <x:c r="C6610" i="1"/>
  <x:c r="B6611" i="1"/>
  <x:c r="C6611" i="1"/>
  <x:c r="B6612" i="1"/>
  <x:c r="C6612" i="1"/>
  <x:c r="B6613" i="1"/>
  <x:c r="C6613" i="1"/>
  <x:c r="B6614" i="1"/>
  <x:c r="C6614" i="1"/>
  <x:c r="B6615" i="1"/>
  <x:c r="C6615" i="1"/>
  <x:c r="B6616" i="1"/>
  <x:c r="C6616" i="1"/>
  <x:c r="B6617" i="1"/>
  <x:c r="C6617" i="1"/>
  <x:c r="B6618" i="1"/>
  <x:c r="C6618" i="1"/>
  <x:c r="B6619" i="1"/>
  <x:c r="C6619" i="1"/>
  <x:c r="B6620" i="1"/>
  <x:c r="C6620" i="1"/>
  <x:c r="B6621" i="1"/>
  <x:c r="C6621" i="1"/>
  <x:c r="B6622" i="1"/>
  <x:c r="C6622" i="1"/>
  <x:c r="B6623" i="1"/>
  <x:c r="C6623" i="1"/>
  <x:c r="B6624" i="1"/>
  <x:c r="C6624" i="1"/>
  <x:c r="B6625" i="1"/>
  <x:c r="C6625" i="1"/>
  <x:c r="B6626" i="1"/>
  <x:c r="C6626" i="1"/>
  <x:c r="B6627" i="1"/>
  <x:c r="C6627" i="1"/>
  <x:c r="B6628" i="1"/>
  <x:c r="C6628" i="1"/>
  <x:c r="B6629" i="1"/>
  <x:c r="C6629" i="1"/>
  <x:c r="B6630" i="1"/>
  <x:c r="C6630" i="1"/>
  <x:c r="B6631" i="1"/>
  <x:c r="C6631" i="1"/>
  <x:c r="B6632" i="1"/>
  <x:c r="C6632" i="1"/>
  <x:c r="B6633" i="1"/>
  <x:c r="C6633" i="1"/>
  <x:c r="B6634" i="1"/>
  <x:c r="C6634" i="1"/>
  <x:c r="B6635" i="1"/>
  <x:c r="C6635" i="1"/>
  <x:c r="B6636" i="1"/>
  <x:c r="C6636" i="1"/>
  <x:c r="B6637" i="1"/>
  <x:c r="C6637" i="1"/>
  <x:c r="B6638" i="1"/>
  <x:c r="C6638" i="1"/>
  <x:c r="B6639" i="1"/>
  <x:c r="C6639" i="1"/>
  <x:c r="B6640" i="1"/>
  <x:c r="C6640" i="1"/>
  <x:c r="B6641" i="1"/>
  <x:c r="C6641" i="1"/>
  <x:c r="B6642" i="1"/>
  <x:c r="C6642" i="1"/>
  <x:c r="B6643" i="1"/>
  <x:c r="C6643" i="1"/>
  <x:c r="B6644" i="1"/>
  <x:c r="C6644" i="1"/>
  <x:c r="B6645" i="1"/>
  <x:c r="C6645" i="1"/>
  <x:c r="B6646" i="1"/>
  <x:c r="C6646" i="1"/>
  <x:c r="B6647" i="1"/>
  <x:c r="C6647" i="1"/>
  <x:c r="B6648" i="1"/>
  <x:c r="C6648" i="1"/>
  <x:c r="B6649" i="1"/>
  <x:c r="C6649" i="1"/>
  <x:c r="B6650" i="1"/>
  <x:c r="C6650" i="1"/>
  <x:c r="B6651" i="1"/>
  <x:c r="C6651" i="1"/>
  <x:c r="B6652" i="1"/>
  <x:c r="C6652" i="1"/>
  <x:c r="B6653" i="1"/>
  <x:c r="C6653" i="1"/>
  <x:c r="B6654" i="1"/>
  <x:c r="C6654" i="1"/>
  <x:c r="B6655" i="1"/>
  <x:c r="C6655" i="1"/>
  <x:c r="B6656" i="1"/>
  <x:c r="C6656" i="1"/>
  <x:c r="B6657" i="1"/>
  <x:c r="C6657" i="1"/>
  <x:c r="B6658" i="1"/>
  <x:c r="C6658" i="1"/>
  <x:c r="B6659" i="1"/>
  <x:c r="C6659" i="1"/>
  <x:c r="B6660" i="1"/>
  <x:c r="C6660" i="1"/>
  <x:c r="B6661" i="1"/>
  <x:c r="C6661" i="1"/>
  <x:c r="B6662" i="1"/>
  <x:c r="C6662" i="1"/>
  <x:c r="B6663" i="1"/>
  <x:c r="C6663" i="1"/>
  <x:c r="B6664" i="1"/>
  <x:c r="C6664" i="1"/>
  <x:c r="B6665" i="1"/>
  <x:c r="C6665" i="1"/>
  <x:c r="B6666" i="1"/>
  <x:c r="C6666" i="1"/>
  <x:c r="B6667" i="1"/>
  <x:c r="C6667" i="1"/>
  <x:c r="B6668" i="1"/>
  <x:c r="C6668" i="1"/>
  <x:c r="B6669" i="1"/>
  <x:c r="C6669" i="1"/>
  <x:c r="B6670" i="1"/>
  <x:c r="C6670" i="1"/>
  <x:c r="B6671" i="1"/>
  <x:c r="C6671" i="1"/>
  <x:c r="B6672" i="1"/>
  <x:c r="C6672" i="1"/>
  <x:c r="B6673" i="1"/>
  <x:c r="C6673" i="1"/>
  <x:c r="B6674" i="1"/>
  <x:c r="C6674" i="1"/>
  <x:c r="B6675" i="1"/>
  <x:c r="C6675" i="1"/>
  <x:c r="B6676" i="1"/>
  <x:c r="C6676" i="1"/>
  <x:c r="B6677" i="1"/>
  <x:c r="C6677" i="1"/>
  <x:c r="B6678" i="1"/>
  <x:c r="C6678" i="1"/>
  <x:c r="B6679" i="1"/>
  <x:c r="C6679" i="1"/>
  <x:c r="B6680" i="1"/>
  <x:c r="C6680" i="1"/>
  <x:c r="B6681" i="1"/>
  <x:c r="C6681" i="1"/>
  <x:c r="B6682" i="1"/>
  <x:c r="C6682" i="1"/>
  <x:c r="B6683" i="1"/>
  <x:c r="C6683" i="1"/>
  <x:c r="B6684" i="1"/>
  <x:c r="C6684" i="1"/>
  <x:c r="B6685" i="1"/>
  <x:c r="C6685" i="1"/>
  <x:c r="B6686" i="1"/>
  <x:c r="C6686" i="1"/>
  <x:c r="B6687" i="1"/>
  <x:c r="C6687" i="1"/>
  <x:c r="B6688" i="1"/>
  <x:c r="C6688" i="1"/>
  <x:c r="B6689" i="1"/>
  <x:c r="C6689" i="1"/>
  <x:c r="B6690" i="1"/>
  <x:c r="C6690" i="1"/>
  <x:c r="B6691" i="1"/>
  <x:c r="C6691" i="1"/>
  <x:c r="B6692" i="1"/>
  <x:c r="C6692" i="1"/>
  <x:c r="B6693" i="1"/>
  <x:c r="C6693" i="1"/>
  <x:c r="B6694" i="1"/>
  <x:c r="C6694" i="1"/>
  <x:c r="B6695" i="1"/>
  <x:c r="C6695" i="1"/>
  <x:c r="B6696" i="1"/>
  <x:c r="C6696" i="1"/>
  <x:c r="B6697" i="1"/>
  <x:c r="C6697" i="1"/>
  <x:c r="B6698" i="1"/>
  <x:c r="C6698" i="1"/>
  <x:c r="B6699" i="1"/>
  <x:c r="C6699" i="1"/>
  <x:c r="B6700" i="1"/>
  <x:c r="C6700" i="1"/>
  <x:c r="B6701" i="1"/>
  <x:c r="C6701" i="1"/>
  <x:c r="B6702" i="1"/>
  <x:c r="C6702" i="1"/>
  <x:c r="B6703" i="1"/>
  <x:c r="C6703" i="1"/>
  <x:c r="B6704" i="1"/>
  <x:c r="C6704" i="1"/>
  <x:c r="B6705" i="1"/>
  <x:c r="C6705" i="1"/>
  <x:c r="B6706" i="1"/>
  <x:c r="C6706" i="1"/>
  <x:c r="B6707" i="1"/>
  <x:c r="C6707" i="1"/>
  <x:c r="B6708" i="1"/>
  <x:c r="C6708" i="1"/>
  <x:c r="B6709" i="1"/>
  <x:c r="C6709" i="1"/>
  <x:c r="B6710" i="1"/>
  <x:c r="C6710" i="1"/>
  <x:c r="B6711" i="1"/>
  <x:c r="C6711" i="1"/>
  <x:c r="B6712" i="1"/>
  <x:c r="C6712" i="1"/>
  <x:c r="B6713" i="1"/>
  <x:c r="C6713" i="1"/>
  <x:c r="B6714" i="1"/>
  <x:c r="C6714" i="1"/>
  <x:c r="B6715" i="1"/>
  <x:c r="C6715" i="1"/>
  <x:c r="B6716" i="1"/>
  <x:c r="C6716" i="1"/>
  <x:c r="B6717" i="1"/>
  <x:c r="C6717" i="1"/>
  <x:c r="B6718" i="1"/>
  <x:c r="C6718" i="1"/>
  <x:c r="B6719" i="1"/>
  <x:c r="C6719" i="1"/>
  <x:c r="B6720" i="1"/>
  <x:c r="C6720" i="1"/>
  <x:c r="B6721" i="1"/>
  <x:c r="C6721" i="1"/>
  <x:c r="B6722" i="1"/>
  <x:c r="C6722" i="1"/>
  <x:c r="B6723" i="1"/>
  <x:c r="C6723" i="1"/>
  <x:c r="B6724" i="1"/>
  <x:c r="C6724" i="1"/>
  <x:c r="B6725" i="1"/>
  <x:c r="C6725" i="1"/>
  <x:c r="B6726" i="1"/>
  <x:c r="C6726" i="1"/>
  <x:c r="B6727" i="1"/>
  <x:c r="C6727" i="1"/>
  <x:c r="B6728" i="1"/>
  <x:c r="C6728" i="1"/>
  <x:c r="B6729" i="1"/>
  <x:c r="C6729" i="1"/>
  <x:c r="B6730" i="1"/>
  <x:c r="C6730" i="1"/>
  <x:c r="B6731" i="1"/>
  <x:c r="C6731" i="1"/>
  <x:c r="B6732" i="1"/>
  <x:c r="C6732" i="1"/>
  <x:c r="B6733" i="1"/>
  <x:c r="C6733" i="1"/>
  <x:c r="B6734" i="1"/>
  <x:c r="C6734" i="1"/>
  <x:c r="B6735" i="1"/>
  <x:c r="C6735" i="1"/>
  <x:c r="B6736" i="1"/>
  <x:c r="C6736" i="1"/>
  <x:c r="B6737" i="1"/>
  <x:c r="C6737" i="1"/>
  <x:c r="B6738" i="1"/>
  <x:c r="C6738" i="1"/>
  <x:c r="B6739" i="1"/>
  <x:c r="C6739" i="1"/>
  <x:c r="B6740" i="1"/>
  <x:c r="C6740" i="1"/>
  <x:c r="B6741" i="1"/>
  <x:c r="C6741" i="1"/>
  <x:c r="B6742" i="1"/>
  <x:c r="C6742" i="1"/>
  <x:c r="B6743" i="1"/>
  <x:c r="C6743" i="1"/>
  <x:c r="B6744" i="1"/>
  <x:c r="C6744" i="1"/>
  <x:c r="B6745" i="1"/>
  <x:c r="C6745" i="1"/>
  <x:c r="B6746" i="1"/>
  <x:c r="C6746" i="1"/>
  <x:c r="B6747" i="1"/>
  <x:c r="C6747" i="1"/>
  <x:c r="B6748" i="1"/>
  <x:c r="C6748" i="1"/>
  <x:c r="B6749" i="1"/>
  <x:c r="C6749" i="1"/>
  <x:c r="B6750" i="1"/>
  <x:c r="C6750" i="1"/>
  <x:c r="B6751" i="1"/>
  <x:c r="C6751" i="1"/>
  <x:c r="B6752" i="1"/>
  <x:c r="C6752" i="1"/>
  <x:c r="B6753" i="1"/>
  <x:c r="C6753" i="1"/>
  <x:c r="B6754" i="1"/>
  <x:c r="C6754" i="1"/>
  <x:c r="B6755" i="1"/>
  <x:c r="C6755" i="1"/>
  <x:c r="B6756" i="1"/>
  <x:c r="C6756" i="1"/>
  <x:c r="B6757" i="1"/>
  <x:c r="C6757" i="1"/>
  <x:c r="B6758" i="1"/>
  <x:c r="C6758" i="1"/>
  <x:c r="B6759" i="1"/>
  <x:c r="C6759" i="1"/>
  <x:c r="B6760" i="1"/>
  <x:c r="C6760" i="1"/>
  <x:c r="B6761" i="1"/>
  <x:c r="C6761" i="1"/>
  <x:c r="B6762" i="1"/>
  <x:c r="C6762" i="1"/>
  <x:c r="B6763" i="1"/>
  <x:c r="C6763" i="1"/>
  <x:c r="B6764" i="1"/>
  <x:c r="C6764" i="1"/>
  <x:c r="B6765" i="1"/>
  <x:c r="C6765" i="1"/>
  <x:c r="B6766" i="1"/>
  <x:c r="C6766" i="1"/>
  <x:c r="B6767" i="1"/>
  <x:c r="C6767" i="1"/>
  <x:c r="B6768" i="1"/>
  <x:c r="C6768" i="1"/>
  <x:c r="B6769" i="1"/>
  <x:c r="C6769" i="1"/>
  <x:c r="B6770" i="1"/>
  <x:c r="C6770" i="1"/>
  <x:c r="B6771" i="1"/>
  <x:c r="C6771" i="1"/>
  <x:c r="B6772" i="1"/>
  <x:c r="C6772" i="1"/>
  <x:c r="B6773" i="1"/>
  <x:c r="C6773" i="1"/>
  <x:c r="B6774" i="1"/>
  <x:c r="C6774" i="1"/>
  <x:c r="B6775" i="1"/>
  <x:c r="C6775" i="1"/>
  <x:c r="B6776" i="1"/>
  <x:c r="C6776" i="1"/>
  <x:c r="B6777" i="1"/>
  <x:c r="C6777" i="1"/>
  <x:c r="B6778" i="1"/>
  <x:c r="C6778" i="1"/>
  <x:c r="B6779" i="1"/>
  <x:c r="C6779" i="1"/>
  <x:c r="B6780" i="1"/>
  <x:c r="C6780" i="1"/>
  <x:c r="B6781" i="1"/>
  <x:c r="C6781" i="1"/>
  <x:c r="B6782" i="1"/>
  <x:c r="C6782" i="1"/>
  <x:c r="B6783" i="1"/>
  <x:c r="C6783" i="1"/>
  <x:c r="B6784" i="1"/>
  <x:c r="C6784" i="1"/>
  <x:c r="B6785" i="1"/>
  <x:c r="C6785" i="1"/>
  <x:c r="B6786" i="1"/>
  <x:c r="C6786" i="1"/>
  <x:c r="B6787" i="1"/>
  <x:c r="C6787" i="1"/>
  <x:c r="B6788" i="1"/>
  <x:c r="C6788" i="1"/>
  <x:c r="B6789" i="1"/>
  <x:c r="C6789" i="1"/>
  <x:c r="B6790" i="1"/>
  <x:c r="C6790" i="1"/>
  <x:c r="B6791" i="1"/>
  <x:c r="C6791" i="1"/>
  <x:c r="B6792" i="1"/>
  <x:c r="C6792" i="1"/>
  <x:c r="B6793" i="1"/>
  <x:c r="C6793" i="1"/>
  <x:c r="B6794" i="1"/>
  <x:c r="C6794" i="1"/>
  <x:c r="B6795" i="1"/>
  <x:c r="C6795" i="1"/>
  <x:c r="B6796" i="1"/>
  <x:c r="C6796" i="1"/>
  <x:c r="B6797" i="1"/>
  <x:c r="C6797" i="1"/>
  <x:c r="B6798" i="1"/>
  <x:c r="C6798" i="1"/>
  <x:c r="B6799" i="1"/>
  <x:c r="C6799" i="1"/>
  <x:c r="B6800" i="1"/>
  <x:c r="C6800" i="1"/>
  <x:c r="B6801" i="1"/>
  <x:c r="C6801" i="1"/>
  <x:c r="B6802" i="1"/>
  <x:c r="C6802" i="1"/>
  <x:c r="B6803" i="1"/>
  <x:c r="C6803" i="1"/>
  <x:c r="B6804" i="1"/>
  <x:c r="C6804" i="1"/>
  <x:c r="B6805" i="1"/>
  <x:c r="C6805" i="1"/>
  <x:c r="B6806" i="1"/>
  <x:c r="C6806" i="1"/>
  <x:c r="B6807" i="1"/>
  <x:c r="C6807" i="1"/>
  <x:c r="B6808" i="1"/>
  <x:c r="C6808" i="1"/>
  <x:c r="B6809" i="1"/>
  <x:c r="C6809" i="1"/>
  <x:c r="B6810" i="1"/>
  <x:c r="C6810" i="1"/>
  <x:c r="B6811" i="1"/>
  <x:c r="C6811" i="1"/>
  <x:c r="B6812" i="1"/>
  <x:c r="C6812" i="1"/>
  <x:c r="B6813" i="1"/>
  <x:c r="C6813" i="1"/>
  <x:c r="B6814" i="1"/>
  <x:c r="C6814" i="1"/>
  <x:c r="B6815" i="1"/>
  <x:c r="C6815" i="1"/>
  <x:c r="B6816" i="1"/>
  <x:c r="C6816" i="1"/>
  <x:c r="B6817" i="1"/>
  <x:c r="C6817" i="1"/>
  <x:c r="B6818" i="1"/>
  <x:c r="C6818" i="1"/>
  <x:c r="B6819" i="1"/>
  <x:c r="C6819" i="1"/>
  <x:c r="B6820" i="1"/>
  <x:c r="C6820" i="1"/>
  <x:c r="B6821" i="1"/>
  <x:c r="C6821" i="1"/>
  <x:c r="B6822" i="1"/>
  <x:c r="C6822" i="1"/>
  <x:c r="B6823" i="1"/>
  <x:c r="C6823" i="1"/>
  <x:c r="B6824" i="1"/>
  <x:c r="C6824" i="1"/>
  <x:c r="B6825" i="1"/>
  <x:c r="C6825" i="1"/>
  <x:c r="B6826" i="1"/>
  <x:c r="C6826" i="1"/>
  <x:c r="B6827" i="1"/>
  <x:c r="C6827" i="1"/>
  <x:c r="B6828" i="1"/>
  <x:c r="C6828" i="1"/>
  <x:c r="B6829" i="1"/>
  <x:c r="C6829" i="1"/>
  <x:c r="B6830" i="1"/>
  <x:c r="C6830" i="1"/>
  <x:c r="B6831" i="1"/>
  <x:c r="C6831" i="1"/>
  <x:c r="B6832" i="1"/>
  <x:c r="C6832" i="1"/>
  <x:c r="B6833" i="1"/>
  <x:c r="C6833" i="1"/>
  <x:c r="B6834" i="1"/>
  <x:c r="C6834" i="1"/>
  <x:c r="B6835" i="1"/>
  <x:c r="C6835" i="1"/>
  <x:c r="B6836" i="1"/>
  <x:c r="C6836" i="1"/>
  <x:c r="B6837" i="1"/>
  <x:c r="C6837" i="1"/>
  <x:c r="B6838" i="1"/>
  <x:c r="C6838" i="1"/>
  <x:c r="B6839" i="1"/>
  <x:c r="C6839" i="1"/>
  <x:c r="B6840" i="1"/>
  <x:c r="C6840" i="1"/>
  <x:c r="B6841" i="1"/>
  <x:c r="C6841" i="1"/>
  <x:c r="B6842" i="1"/>
  <x:c r="C6842" i="1"/>
  <x:c r="B6843" i="1"/>
  <x:c r="C6843" i="1"/>
  <x:c r="B6844" i="1"/>
  <x:c r="C6844" i="1"/>
  <x:c r="B6845" i="1"/>
  <x:c r="C6845" i="1"/>
  <x:c r="B6846" i="1"/>
  <x:c r="C6846" i="1"/>
  <x:c r="B6847" i="1"/>
  <x:c r="C6847" i="1"/>
  <x:c r="B6848" i="1"/>
  <x:c r="C6848" i="1"/>
  <x:c r="B6849" i="1"/>
  <x:c r="C6849" i="1"/>
  <x:c r="B6850" i="1"/>
  <x:c r="C6850" i="1"/>
  <x:c r="B6851" i="1"/>
  <x:c r="C6851" i="1"/>
  <x:c r="B6852" i="1"/>
  <x:c r="C6852" i="1"/>
  <x:c r="B6853" i="1"/>
  <x:c r="C6853" i="1"/>
  <x:c r="B6854" i="1"/>
  <x:c r="C6854" i="1"/>
  <x:c r="B6855" i="1"/>
  <x:c r="C6855" i="1"/>
  <x:c r="B6856" i="1"/>
  <x:c r="C6856" i="1"/>
  <x:c r="B6857" i="1"/>
  <x:c r="C6857" i="1"/>
  <x:c r="B6858" i="1"/>
  <x:c r="C6858" i="1"/>
  <x:c r="B6859" i="1"/>
  <x:c r="C6859" i="1"/>
  <x:c r="B6860" i="1"/>
  <x:c r="C6860" i="1"/>
  <x:c r="B6861" i="1"/>
  <x:c r="C6861" i="1"/>
  <x:c r="B6862" i="1"/>
  <x:c r="C6862" i="1"/>
  <x:c r="B6863" i="1"/>
  <x:c r="C6863" i="1"/>
  <x:c r="B6864" i="1"/>
  <x:c r="C6864" i="1"/>
  <x:c r="B6865" i="1"/>
  <x:c r="C6865" i="1"/>
  <x:c r="B6866" i="1"/>
  <x:c r="C6866" i="1"/>
  <x:c r="B6867" i="1"/>
  <x:c r="C6867" i="1"/>
  <x:c r="B6868" i="1"/>
  <x:c r="C6868" i="1"/>
  <x:c r="B6869" i="1"/>
  <x:c r="C6869" i="1"/>
  <x:c r="B6870" i="1"/>
  <x:c r="C6870" i="1"/>
  <x:c r="B6871" i="1"/>
  <x:c r="C6871" i="1"/>
  <x:c r="B6872" i="1"/>
  <x:c r="C6872" i="1"/>
  <x:c r="B6873" i="1"/>
  <x:c r="C6873" i="1"/>
  <x:c r="B6874" i="1"/>
  <x:c r="C6874" i="1"/>
  <x:c r="B6875" i="1"/>
  <x:c r="C6875" i="1"/>
  <x:c r="B6876" i="1"/>
  <x:c r="C6876" i="1"/>
  <x:c r="B6877" i="1"/>
  <x:c r="C6877" i="1"/>
  <x:c r="B6878" i="1"/>
  <x:c r="C6878" i="1"/>
  <x:c r="B6879" i="1"/>
  <x:c r="C6879" i="1"/>
  <x:c r="B6880" i="1"/>
  <x:c r="C6880" i="1"/>
  <x:c r="B6881" i="1"/>
  <x:c r="C6881" i="1"/>
  <x:c r="B6882" i="1"/>
  <x:c r="C6882" i="1"/>
  <x:c r="B6883" i="1"/>
  <x:c r="C6883" i="1"/>
  <x:c r="B6884" i="1"/>
  <x:c r="C6884" i="1"/>
  <x:c r="B6885" i="1"/>
  <x:c r="C6885" i="1"/>
  <x:c r="B6886" i="1"/>
  <x:c r="C6886" i="1"/>
  <x:c r="B6887" i="1"/>
  <x:c r="C6887" i="1"/>
  <x:c r="B6888" i="1"/>
  <x:c r="C6888" i="1"/>
  <x:c r="B6889" i="1"/>
  <x:c r="C6889" i="1"/>
  <x:c r="B6890" i="1"/>
  <x:c r="C6890" i="1"/>
  <x:c r="B6891" i="1"/>
  <x:c r="C6891" i="1"/>
  <x:c r="B6892" i="1"/>
  <x:c r="C6892" i="1"/>
  <x:c r="B6893" i="1"/>
  <x:c r="C6893" i="1"/>
  <x:c r="B6894" i="1"/>
  <x:c r="C6894" i="1"/>
  <x:c r="B6895" i="1"/>
  <x:c r="C6895" i="1"/>
  <x:c r="B6896" i="1"/>
  <x:c r="C6896" i="1"/>
  <x:c r="B6897" i="1"/>
  <x:c r="C6897" i="1"/>
  <x:c r="B6898" i="1"/>
  <x:c r="C6898" i="1"/>
  <x:c r="B6899" i="1"/>
  <x:c r="C6899" i="1"/>
  <x:c r="B6900" i="1"/>
  <x:c r="C6900" i="1"/>
  <x:c r="B6901" i="1"/>
  <x:c r="C6901" i="1"/>
  <x:c r="B6902" i="1"/>
  <x:c r="C6902" i="1"/>
  <x:c r="B6903" i="1"/>
  <x:c r="C6903" i="1"/>
  <x:c r="B6904" i="1"/>
  <x:c r="C6904" i="1"/>
  <x:c r="B6905" i="1"/>
  <x:c r="C6905" i="1"/>
  <x:c r="B6906" i="1"/>
  <x:c r="C6906" i="1"/>
  <x:c r="B6907" i="1"/>
  <x:c r="C6907" i="1"/>
  <x:c r="B6908" i="1"/>
  <x:c r="C6908" i="1"/>
  <x:c r="B6909" i="1"/>
  <x:c r="C6909" i="1"/>
  <x:c r="B6910" i="1"/>
  <x:c r="C6910" i="1"/>
  <x:c r="B6911" i="1"/>
  <x:c r="C6911" i="1"/>
  <x:c r="B6912" i="1"/>
  <x:c r="C6912" i="1"/>
  <x:c r="B6913" i="1"/>
  <x:c r="C6913" i="1"/>
  <x:c r="B6914" i="1"/>
  <x:c r="C6914" i="1"/>
  <x:c r="B6915" i="1"/>
  <x:c r="C6915" i="1"/>
  <x:c r="B6916" i="1"/>
  <x:c r="C6916" i="1"/>
  <x:c r="B6917" i="1"/>
  <x:c r="C6917" i="1"/>
  <x:c r="B6918" i="1"/>
  <x:c r="C6918" i="1"/>
  <x:c r="B6919" i="1"/>
  <x:c r="C6919" i="1"/>
  <x:c r="B6920" i="1"/>
  <x:c r="C6920" i="1"/>
  <x:c r="B6921" i="1"/>
  <x:c r="C6921" i="1"/>
  <x:c r="B6922" i="1"/>
  <x:c r="C6922" i="1"/>
  <x:c r="B6923" i="1"/>
  <x:c r="C6923" i="1"/>
  <x:c r="B6924" i="1"/>
  <x:c r="C6924" i="1"/>
  <x:c r="B6925" i="1"/>
  <x:c r="C6925" i="1"/>
  <x:c r="B6926" i="1"/>
  <x:c r="C6926" i="1"/>
  <x:c r="B6927" i="1"/>
  <x:c r="C6927" i="1"/>
  <x:c r="B6928" i="1"/>
  <x:c r="C6928" i="1"/>
  <x:c r="B6929" i="1"/>
  <x:c r="C6929" i="1"/>
  <x:c r="B6930" i="1"/>
  <x:c r="C6930" i="1"/>
  <x:c r="B6931" i="1"/>
  <x:c r="C6931" i="1"/>
  <x:c r="B6932" i="1"/>
  <x:c r="C6932" i="1"/>
  <x:c r="B6933" i="1"/>
  <x:c r="C6933" i="1"/>
  <x:c r="B6934" i="1"/>
  <x:c r="C6934" i="1"/>
  <x:c r="B6935" i="1"/>
  <x:c r="C6935" i="1"/>
  <x:c r="B6936" i="1"/>
  <x:c r="C6936" i="1"/>
  <x:c r="B6937" i="1"/>
  <x:c r="C6937" i="1"/>
  <x:c r="B6938" i="1"/>
  <x:c r="C6938" i="1"/>
  <x:c r="B6939" i="1"/>
  <x:c r="C6939" i="1"/>
  <x:c r="B6940" i="1"/>
  <x:c r="C6940" i="1"/>
  <x:c r="B6941" i="1"/>
  <x:c r="C6941" i="1"/>
  <x:c r="B6942" i="1"/>
  <x:c r="C6942" i="1"/>
  <x:c r="B6943" i="1"/>
  <x:c r="C6943" i="1"/>
  <x:c r="B6944" i="1"/>
  <x:c r="C6944" i="1"/>
  <x:c r="B6945" i="1"/>
  <x:c r="C6945" i="1"/>
  <x:c r="B6946" i="1"/>
  <x:c r="C6946" i="1"/>
  <x:c r="B6947" i="1"/>
  <x:c r="C6947" i="1"/>
  <x:c r="B6948" i="1"/>
  <x:c r="C6948" i="1"/>
  <x:c r="B6949" i="1"/>
  <x:c r="C6949" i="1"/>
  <x:c r="B6950" i="1"/>
  <x:c r="C6950" i="1"/>
  <x:c r="B6951" i="1"/>
  <x:c r="C6951" i="1"/>
  <x:c r="B6952" i="1"/>
  <x:c r="C6952" i="1"/>
  <x:c r="B6953" i="1"/>
  <x:c r="C6953" i="1"/>
  <x:c r="B6954" i="1"/>
  <x:c r="C6954" i="1"/>
  <x:c r="B6955" i="1"/>
  <x:c r="C6955" i="1"/>
  <x:c r="B6956" i="1"/>
  <x:c r="C6956" i="1"/>
  <x:c r="B6957" i="1"/>
  <x:c r="C6957" i="1"/>
  <x:c r="B6958" i="1"/>
  <x:c r="C6958" i="1"/>
  <x:c r="B6959" i="1"/>
  <x:c r="C6959" i="1"/>
  <x:c r="B6960" i="1"/>
  <x:c r="C6960" i="1"/>
  <x:c r="B6961" i="1"/>
  <x:c r="C6961" i="1"/>
  <x:c r="B6962" i="1"/>
  <x:c r="C6962" i="1"/>
  <x:c r="B6963" i="1"/>
  <x:c r="C6963" i="1"/>
  <x:c r="B6964" i="1"/>
  <x:c r="C6964" i="1"/>
  <x:c r="B6965" i="1"/>
  <x:c r="C6965" i="1"/>
  <x:c r="B6966" i="1"/>
  <x:c r="C6966" i="1"/>
  <x:c r="B6967" i="1"/>
  <x:c r="C6967" i="1"/>
  <x:c r="B6968" i="1"/>
  <x:c r="C6968" i="1"/>
  <x:c r="B6969" i="1"/>
  <x:c r="C6969" i="1"/>
  <x:c r="B6970" i="1"/>
  <x:c r="C6970" i="1"/>
  <x:c r="B6971" i="1"/>
  <x:c r="C6971" i="1"/>
  <x:c r="B6972" i="1"/>
  <x:c r="C6972" i="1"/>
  <x:c r="B6973" i="1"/>
  <x:c r="C6973" i="1"/>
  <x:c r="B6974" i="1"/>
  <x:c r="C6974" i="1"/>
  <x:c r="B6975" i="1"/>
  <x:c r="C6975" i="1"/>
  <x:c r="B6976" i="1"/>
  <x:c r="C6976" i="1"/>
  <x:c r="B6977" i="1"/>
  <x:c r="C6977" i="1"/>
  <x:c r="B6978" i="1"/>
  <x:c r="C6978" i="1"/>
  <x:c r="B6979" i="1"/>
  <x:c r="C6979" i="1"/>
  <x:c r="B6980" i="1"/>
  <x:c r="C6980" i="1"/>
  <x:c r="B6981" i="1"/>
  <x:c r="C6981" i="1"/>
  <x:c r="B6982" i="1"/>
  <x:c r="C6982" i="1"/>
  <x:c r="B6983" i="1"/>
  <x:c r="C6983" i="1"/>
  <x:c r="B6984" i="1"/>
  <x:c r="C6984" i="1"/>
  <x:c r="B6985" i="1"/>
  <x:c r="C6985" i="1"/>
  <x:c r="B6986" i="1"/>
  <x:c r="C6986" i="1"/>
  <x:c r="B6987" i="1"/>
  <x:c r="C6987" i="1"/>
  <x:c r="B6988" i="1"/>
  <x:c r="C6988" i="1"/>
  <x:c r="B6989" i="1"/>
  <x:c r="C6989" i="1"/>
  <x:c r="B6990" i="1"/>
  <x:c r="C6990" i="1"/>
  <x:c r="B6991" i="1"/>
  <x:c r="C6991" i="1"/>
  <x:c r="B6992" i="1"/>
  <x:c r="C6992" i="1"/>
  <x:c r="B6993" i="1"/>
  <x:c r="C6993" i="1"/>
  <x:c r="B6994" i="1"/>
  <x:c r="C6994" i="1"/>
  <x:c r="B6995" i="1"/>
  <x:c r="C6995" i="1"/>
  <x:c r="B6996" i="1"/>
  <x:c r="C6996" i="1"/>
  <x:c r="B6997" i="1"/>
  <x:c r="C6997" i="1"/>
  <x:c r="B6998" i="1"/>
  <x:c r="C6998" i="1"/>
  <x:c r="B6999" i="1"/>
  <x:c r="C6999" i="1"/>
  <x:c r="B7000" i="1"/>
  <x:c r="C7000" i="1"/>
  <x:c r="B7001" i="1"/>
  <x:c r="C7001" i="1"/>
  <x:c r="B7002" i="1"/>
  <x:c r="C7002" i="1"/>
  <x:c r="B7003" i="1"/>
  <x:c r="C7003" i="1"/>
  <x:c r="B7004" i="1"/>
  <x:c r="C7004" i="1"/>
  <x:c r="B7005" i="1"/>
  <x:c r="C7005" i="1"/>
  <x:c r="B7006" i="1"/>
  <x:c r="C7006" i="1"/>
  <x:c r="B7007" i="1"/>
  <x:c r="C7007" i="1"/>
  <x:c r="B7008" i="1"/>
  <x:c r="C7008" i="1"/>
  <x:c r="B7009" i="1"/>
  <x:c r="C7009" i="1"/>
  <x:c r="B7010" i="1"/>
  <x:c r="C7010" i="1"/>
</x:calcChain>
</file>

<file path=xl/sharedStrings.xml><?xml version="1.0" encoding="utf-8"?>
<x:sst xmlns:x="http://schemas.openxmlformats.org/spreadsheetml/2006/main">
  <x:si>
    <x:t>Full name</x:t>
  </x:si>
  <x:si>
    <x:t>Title</x:t>
  </x:si>
  <x:si>
    <x:t>year</x:t>
  </x:si>
  <x:si>
    <x:t>Director</x:t>
  </x:si>
  <x:si>
    <x:t>Genre</x:t>
  </x:si>
  <x:si>
    <x:t>Pais</x:t>
  </x:si>
  <x:si>
    <x:t>titol original</x:t>
  </x:si>
  <x:si>
    <x:t>Idioma</x:t>
  </x:si>
  <x:si>
    <x:t>sinopsis</x:t>
  </x:si>
  <x:si>
    <x:t>Status</x:t>
  </x:si>
  <x:si>
    <x:t>007 al servei secret de Sa Majestat (1969)</x:t>
  </x:si>
  <x:si>
    <x:t>Error: Not Found</x:t>
  </x:si>
  <x:si>
    <x:t>007 contra el Dr. No (1962)</x:t>
  </x:si>
  <x:si>
    <x:t>1-O (2017)</x:t>
  </x:si>
  <x:si>
    <x:t>1-O. Cas obert (2019)</x:t>
  </x:si>
  <x:si>
    <x:t>1.000 maneres de menjar-se un ou (2013)</x:t>
  </x:si>
  <x:si>
    <x:t>10 anys i divorciada (2014)</x:t>
  </x:si>
  <x:si>
    <x:t>10 anys recordant Miquel Martí i Pol (2013)</x:t>
  </x:si>
  <x:si>
    <x:t>10 Coses que heu de saber sobre el son (2009)</x:t>
  </x:si>
  <x:si>
    <x:t>10 Coses que heu de saber sobre perdre pes (2009)</x:t>
  </x:si>
  <x:si>
    <x:t>10 dies sense la mama (2019)</x:t>
  </x:si>
  <x:si>
    <x:t>10.000 km (2014)</x:t>
  </x:si>
  <x:si>
    <x:t>10+2: El gran secret (2001)</x:t>
  </x:si>
  <x:si>
    <x:t>10+2: La nit màgica (1998)</x:t>
  </x:si>
  <x:si>
    <x:t>100 metres (2016)</x:t>
  </x:si>
  <x:si>
    <x:t>100 vagines (2019)</x:t>
  </x:si>
  <x:si>
    <x:t>10000 aC (2008)</x:t>
  </x:si>
  <x:si>
    <x:t>100x100 Tito (2020)</x:t>
  </x:si>
  <x:si>
    <x:t>101 dàlmates (1961)</x:t>
  </x:si>
  <x:si>
    <x:t>10x10 (2018)</x:t>
  </x:si>
  <x:si>
    <x:t>11:14 (2003)</x:t>
  </x:si>
  <x:si>
    <x:t>12 anys d'esclavitud (2013)</x:t>
  </x:si>
  <x:si>
    <x:t>12 d'octubre, cultura de l'odi i legítima autodefensa (2017)</x:t>
  </x:si>
  <x:si>
    <x:t>12 dies de terror (2004)</x:t>
  </x:si>
  <x:si>
    <x:t>12 hores desesperades (2006)</x:t>
  </x:si>
  <x:si>
    <x:t>12 valents (2018)</x:t>
  </x:si>
  <x:si>
    <x:t>127 hores (2010)</x:t>
  </x:si>
  <x:si>
    <x:t>13 (2010)</x:t>
  </x:si>
  <x:si>
    <x:t>13 dies d'octubre (2015)</x:t>
  </x:si>
  <x:si>
    <x:t>13 Fantasmes (2001)</x:t>
  </x:si>
  <x:si>
    <x:t>13 minuts (2021)</x:t>
  </x:si>
  <x:si>
    <x:t>13 minuts per matar Hitler (2015)</x:t>
  </x:si>
  <x:si>
    <x:t>14 d'abril, Macià contra Companys (2011)</x:t>
  </x:si>
  <x:si>
    <x:t>15 hores (2021)</x:t>
  </x:si>
  <x:si>
    <x:t>15.17 Tren a París (2018)</x:t>
  </x:si>
  <x:si>
    <x:t>16 carrers (2006)</x:t>
  </x:si>
  <x:si>
    <x:t>1612 (2007)</x:t>
  </x:si>
  <x:si>
    <x:t>17 un altre cop (2009)</x:t>
  </x:si>
  <x:si>
    <x:t>1711. El setge (2012)</x:t>
  </x:si>
  <x:si>
    <x:t>19 [VOSC] (2021)</x:t>
  </x:si>
  <x:si>
    <x:t>1917 (2019)</x:t>
  </x:si>
  <x:si>
    <x:t>1941 (1979)</x:t>
  </x:si>
  <x:si>
    <x:t>2 dies a Nova York (2012)</x:t>
  </x:si>
  <x:si>
    <x:t>2 Guns (2013)</x:t>
  </x:si>
  <x:si>
    <x:t>20 anys d'Amics. La festa major (2025)</x:t>
  </x:si>
  <x:si>
    <x:t>20-S (2018)</x:t>
  </x:si>
  <x:si>
    <x:t>20.000 espècies d'abelles (2023)</x:t>
  </x:si>
  <x:si>
    <x:t>20.000 llegües sota el mar (1997)</x:t>
  </x:si>
  <x:si>
    <x:t>2001: Una odissea de l'espai (1968)</x:t>
  </x:si>
  <x:si>
    <x:t>2012 (2009)</x:t>
  </x:si>
  <x:si>
    <x:t>2012 El repte de decidir (2012)</x:t>
  </x:si>
  <x:si>
    <x:t>2012, la profecia final (2011)</x:t>
  </x:si>
  <x:si>
    <x:t>2046 (2004)</x:t>
  </x:si>
  <x:si>
    <x:t>2067 (2020)</x:t>
  </x:si>
  <x:si>
    <x:t>20th Century Boys I (2008)</x:t>
  </x:si>
  <x:si>
    <x:t>20th Century Boys II (2009)</x:t>
  </x:si>
  <x:si>
    <x:t>20th Century Boys III (2009)</x:t>
  </x:si>
  <x:si>
    <x:t>21 Black Jack (2008)</x:t>
  </x:si>
  <x:si>
    <x:t>23 passejos (2020)</x:t>
  </x:si>
  <x:si>
    <x:t>23F: el dia més difícil del rei (2009)</x:t>
  </x:si>
  <x:si>
    <x:t>24 hores a l'escola dels somnis (2011)</x:t>
  </x:si>
  <x:si>
    <x:t>24 hores al límit (2003)</x:t>
  </x:si>
  <x:si>
    <x:t>24 vaques de llet i cap home (2013)</x:t>
  </x:si>
  <x:si>
    <x:t>25 anys d'«Un pont de mar blava» (2018)</x:t>
  </x:si>
  <x:si>
    <x:t>25 quirats (2008)</x:t>
  </x:si>
  <x:si>
    <x:t>27 Vestits (2008)</x:t>
  </x:si>
  <x:si>
    <x:t>3 (2010)</x:t>
  </x:si>
  <x:si>
    <x:t>3 agulles (2005)</x:t>
  </x:si>
  <x:si>
    <x:t>3 Dies per matar (2014)</x:t>
  </x:si>
  <x:si>
    <x:t>3.450 km, de Montblanc al món (2020)</x:t>
  </x:si>
  <x:si>
    <x:t>30 dies de foscor (2007)</x:t>
  </x:si>
  <x:si>
    <x:t>30 minuts o menys (2011)</x:t>
  </x:si>
  <x:si>
    <x:t>300: El naixement d'un imperi (2014)</x:t>
  </x:si>
  <x:si>
    <x:t>3055 Jean Leon (2006)</x:t>
  </x:si>
  <x:si>
    <x:t>30è. Aniversari dels JJOO de Barcelona 92 (2022)</x:t>
  </x:si>
  <x:si>
    <x:t>360 (2011)</x:t>
  </x:si>
  <x:si>
    <x:t>4 nens i ''allò'' (2020)</x:t>
  </x:si>
  <x:si>
    <x:t>400 KM (2013)</x:t>
  </x:si>
  <x:si>
    <x:t>42 segons (2022)</x:t>
  </x:si>
  <x:si>
    <x:t>42'195: la distància incerta (2009)</x:t>
  </x:si>
  <x:si>
    <x:t>50 anys d'havaneres - El meu avi no va anar a Cuba (2017)</x:t>
  </x:si>
  <x:si>
    <x:t>50 homes morts que caminen (2008)</x:t>
  </x:si>
  <x:si>
    <x:t>508 dies (2023)</x:t>
  </x:si>
  <x:si>
    <x:t>53 dies d'hivern (2006)</x:t>
  </x:si>
  <x:si>
    <x:t>7 raons per fugir (2018)</x:t>
  </x:si>
  <x:si>
    <x:t>7 segons (2005)</x:t>
  </x:si>
  <x:si>
    <x:t>71 (2014)</x:t>
  </x:si>
  <x:si>
    <x:t>72 dies al límit (2020)</x:t>
  </x:si>
  <x:si>
    <x:t>75a Nit de les Lletres Catalanes - 66è Premi Sant Jordi (2026)</x:t>
  </x:si>
  <x:si>
    <x:t>78/52 [VOSC] (2017)</x:t>
  </x:si>
  <x:si>
    <x:t>88 (2012)</x:t>
  </x:si>
  <x:si>
    <x:t>88 minuts (2007)</x:t>
  </x:si>
  <x:si>
    <x:t>9 (2009)</x:t>
  </x:si>
  <x:si>
    <x:t>99 cases (2014)</x:t>
  </x:si>
  <x:si>
    <x:t>A 20 milions de milles de la Terra (1957)</x:t>
  </x:si>
  <x:si>
    <x:t>A 47 metres (2017)</x:t>
  </x:si>
  <x:si>
    <x:t>A casa per Nadal (2010)</x:t>
  </x:si>
  <x:si>
    <x:t>A cegues (2008)</x:t>
  </x:si>
  <x:si>
    <x:t>A dieta (2026)</x:t>
  </x:si>
  <x:si>
    <x:t>A dins de Gaza (2025)</x:t>
  </x:si>
  <x:si>
    <x:t>A foc lent (2023)</x:t>
  </x:si>
  <x:si>
    <x:t>A fons (2016)</x:t>
  </x:si>
  <x:si>
    <x:t>A good american. El preu de la nostra seguretat [VOSC] (2015)</x:t>
  </x:si>
  <x:si>
    <x:t>A hard day's night [VOSC] (1964)</x:t>
  </x:si>
  <x:si>
    <x:t>A Haunted House (2013)</x:t>
  </x:si>
  <x:si>
    <x:t>A l'altra banda del món (2009)</x:t>
  </x:si>
  <x:si>
    <x:t>A l'altre costat [VOSC] (2007)</x:t>
  </x:si>
  <x:si>
    <x:t>A l'antiga (2024)</x:t>
  </x:si>
  <x:si>
    <x:t>A l'aventura, El Nepal (2006)</x:t>
  </x:si>
  <x:si>
    <x:t>A l'est de Java (1968)</x:t>
  </x:si>
  <x:si>
    <x:t>A l'Olivia (2021)</x:t>
  </x:si>
  <x:si>
    <x:t>A l'ombra (2017)</x:t>
  </x:si>
  <x:si>
    <x:t>A l'ombra de Kennedy (2016)</x:t>
  </x:si>
  <x:si>
    <x:t>A l'ull de la tempesta (2014)</x:t>
  </x:si>
  <x:si>
    <x:t>A la boira (2012)</x:t>
  </x:si>
  <x:si>
    <x:t>A la casa (2012)</x:t>
  </x:si>
  <x:si>
    <x:t>A la ciutat (2003)</x:t>
  </x:si>
  <x:si>
    <x:t>A la corda fluixa (2005)</x:t>
  </x:si>
  <x:si>
    <x:t>A la deriva (2009)</x:t>
  </x:si>
  <x:si>
    <x:t>A la deriva (2018)</x:t>
  </x:si>
  <x:si>
    <x:t>A la flor de la vida (2012)</x:t>
  </x:si>
  <x:si>
    <x:t>A la recerca d'en Forrester (2000)</x:t>
  </x:si>
  <x:si>
    <x:t>A la recerca de l'Estel de Nadal (2012)</x:t>
  </x:si>
  <x:si>
    <x:t>A la recerca de la vall encantada (1988)</x:t>
  </x:si>
  <x:si>
    <x:t>A la recerca de la Vall Encantada 2: Aventura a la gran vall (1994)</x:t>
  </x:si>
  <x:si>
    <x:t>A la recerca de la Vall Encantada 3: La font de la vida (1995)</x:t>
  </x:si>
  <x:si>
    <x:t>A la recerca de la Vall Encantada 4: Viatge a la terra de les boires (1996)</x:t>
  </x:si>
  <x:si>
    <x:t>A la recerca de la Vall Encantada 5: L'Illa Misteriosa (1997)</x:t>
  </x:si>
  <x:si>
    <x:t>A la recerca de Steele (2013)</x:t>
  </x:si>
  <x:si>
    <x:t>A la recerca de Sugar Man (2012)</x:t>
  </x:si>
  <x:si>
    <x:t>A la recerca del Grial (2005)</x:t>
  </x:si>
  <x:si>
    <x:t>A la soledat (2008)</x:t>
  </x:si>
  <x:si>
    <x:t>A la vall d'Elah (2007)</x:t>
  </x:si>
  <x:si>
    <x:t>A Lab Story [VOSC] (2024)</x:t>
  </x:si>
  <x:si>
    <x:t>A les seves mans (2010)</x:t>
  </x:si>
  <x:si>
    <x:t>A les seves sabates (2005)</x:t>
  </x:si>
  <x:si>
    <x:t>A les verdes i a les madures (2023)</x:t>
  </x:si>
  <x:si>
    <x:t>A Pink Christmas (1978)</x:t>
  </x:si>
  <x:si>
    <x:t>A qualsevol preu (2012)</x:t>
  </x:si>
  <x:si>
    <x:t>A qui estima, en Gilbert Grape? (1993)</x:t>
  </x:si>
  <x:si>
    <x:t>A Roma amb amor (2012)</x:t>
  </x:si>
  <x:si>
    <x:t>A Scanner Darkly [VOSC] (2006)</x:t>
  </x:si>
  <x:si>
    <x:t>A Seattle amb amor (2015)</x:t>
  </x:si>
  <x:si>
    <x:t>A tal mare, tal filla (2017)</x:t>
  </x:si>
  <x:si>
    <x:t>A temps complet (2021)</x:t>
  </x:si>
  <x:si>
    <x:t>A tocar del cel (2026)</x:t>
  </x:si>
  <x:si>
    <x:t>A totes (2009)</x:t>
  </x:si>
  <x:si>
    <x:t>A trenc d’alba - part I (2011)</x:t>
  </x:si>
  <x:si>
    <x:t>A trenc d’alba - part II (2012)</x:t>
  </x:si>
  <x:si>
    <x:t>A vida o mort (1946)</x:t>
  </x:si>
  <x:si>
    <x:t>Abaixa el cap, maleït! (1972)</x:t>
  </x:si>
  <x:si>
    <x:t>Abans de demà (2017)</x:t>
  </x:si>
  <x:si>
    <x:t>Abans de tu (2016)</x:t>
  </x:si>
  <x:si>
    <x:t>Abans del capvespre (2013)</x:t>
  </x:si>
  <x:si>
    <x:t>Abans del fred hivern (2013)</x:t>
  </x:si>
  <x:si>
    <x:t>Abans que el diable sàpiga que has mort (2007)</x:t>
  </x:si>
  <x:si>
    <x:t>Abans que te'n vagis (2014)</x:t>
  </x:si>
  <x:si>
    <x:t>Absolon (2003)</x:t>
  </x:si>
  <x:si>
    <x:t>Absolutament tot (2015)</x:t>
  </x:si>
  <x:si>
    <x:t>Acadèmia de vampirs (2014)</x:t>
  </x:si>
  <x:si>
    <x:t>Acció Exterior, al cor de la diplomàcia europea (2024)</x:t>
  </x:si>
  <x:si>
    <x:t>Acer blau (1990)</x:t>
  </x:si>
  <x:si>
    <x:t>Achille Lauro: el creuer del terror (2025)</x:t>
  </x:si>
  <x:si>
    <x:t>Acords i desacords (1999)</x:t>
  </x:si>
  <x:si>
    <x:t>Actriu per telèfon (1988)</x:t>
  </x:si>
  <x:si>
    <x:t>Actrius (1997)</x:t>
  </x:si>
  <x:si>
    <x:t>Acusada per error (2021)</x:t>
  </x:si>
  <x:si>
    <x:t>Acusat (2023)</x:t>
  </x:si>
  <x:si>
    <x:t>Adam (2019)</x:t>
  </x:si>
  <x:si>
    <x:t>Adaptation: el lladre d'orquídies (2002)</x:t>
  </x:si>
  <x:si>
    <x:t>Adèle i el misteri de la mòmia (2010)</x:t>
  </x:si>
  <x:si>
    <x:t>Adéu a la reina (2012)</x:t>
  </x:si>
  <x:si>
    <x:t>Adéu a les armes (1932)</x:t>
  </x:si>
  <x:si>
    <x:t>Adeu, Arturo (2023)</x:t>
  </x:si>
  <x:si>
    <x:t>Adéu, Espanya? (2010)</x:t>
  </x:si>
  <x:si>
    <x:t>Adéu, nena, adéu (2007)</x:t>
  </x:si>
  <x:si>
    <x:t>Adeu, senyor Haffmann (2021)</x:t>
  </x:si>
  <x:si>
    <x:t>Admiradora secreta (1985)</x:t>
  </x:si>
  <x:si>
    <x:t>Adolescent i desapareguda (2007)</x:t>
  </x:si>
  <x:si>
    <x:t>Adossats (2019)</x:t>
  </x:si>
  <x:si>
    <x:t>Advocate [VOSC] (2019)</x:t>
  </x:si>
  <x:si>
    <x:t>Aeon Flux (2005)</x:t>
  </x:si>
  <x:si>
    <x:t>Afers extramatrimonials entre amics (2016)</x:t>
  </x:si>
  <x:si>
    <x:t>Afganistan, error letal (2015)</x:t>
  </x:si>
  <x:si>
    <x:t>Àfrica: Torneu-nos l'art robat (2022)</x:t>
  </x:si>
  <x:si>
    <x:t>After Earth (2013)</x:t>
  </x:si>
  <x:si>
    <x:t>After: Aquí s'acaba tot (2023)</x:t>
  </x:si>
  <x:si>
    <x:t>After. Aquí comença tot (2019)</x:t>
  </x:si>
  <x:si>
    <x:t>Afterglow (1997)</x:t>
  </x:si>
  <x:si>
    <x:t>Agent 007 contra el Dr. No (1962)</x:t>
  </x:si>
  <x:si>
    <x:t>Agent doble (2012)</x:t>
  </x:si>
  <x:si>
    <x:t>Agent especial (1955)</x:t>
  </x:si>
  <x:si>
    <x:t>Agent juvenil (1991)</x:t>
  </x:si>
  <x:si>
    <x:t>Agent secret (1936)</x:t>
  </x:si>
  <x:si>
    <x:t>Agent Sicre, l'amic americà (2014)</x:t>
  </x:si>
  <x:si>
    <x:t>Agents 355 (2022)</x:t>
  </x:si>
  <x:si>
    <x:t>Agnes Browne (1999)</x:t>
  </x:si>
  <x:si>
    <x:t>Agnès de Déu (1985)</x:t>
  </x:si>
  <x:si>
    <x:t>Agnòsia (2010)</x:t>
  </x:si>
  <x:si>
    <x:t>Agost (2013)</x:t>
  </x:si>
  <x:si>
    <x:t>Aguestes montanhes: Istòries de Baqueira (2015)</x:t>
  </x:si>
  <x:si>
    <x:t>Agulles d'or (1974)</x:t>
  </x:si>
  <x:si>
    <x:t>Ahir no ens coneixíem (2012)</x:t>
  </x:si>
  <x:si>
    <x:t>Ahir, avui i demà (1963)</x:t>
  </x:si>
  <x:si>
    <x:t>Aigua fosca (2002)</x:t>
  </x:si>
  <x:si>
    <x:t>Aigua per a elefants (2011)</x:t>
  </x:si>
  <x:si>
    <x:t>Aiguamarina (2006)</x:t>
  </x:si>
  <x:si>
    <x:t>Aigües fosques (2019)</x:t>
  </x:si>
  <x:si>
    <x:t>Aigües profundes (2022)</x:t>
  </x:si>
  <x:si>
    <x:t>Aigües tranquil·les [VOSC] (2014)</x:t>
  </x:si>
  <x:si>
    <x:t>Ainbo: La guerrera de l’Amazones (2021)</x:t>
  </x:si>
  <x:si>
    <x:t>Air Doll (2009)</x:t>
  </x:si>
  <x:si>
    <x:t>Aisha (2022)</x:t>
  </x:si>
  <x:si>
    <x:t>Aita [VOSC] (2010)</x:t>
  </x:si>
  <x:si>
    <x:t>Així com ets (1978)</x:t>
  </x:si>
  <x:si>
    <x:t>Així és la vida (1986)</x:t>
  </x:si>
  <x:si>
    <x:t>Això és ritme! (2004)</x:t>
  </x:si>
  <x:si>
    <x:t>Això no funciona, o potser sí? (2012)</x:t>
  </x:si>
  <x:si>
    <x:t>Akira (1988)</x:t>
  </x:si>
  <x:si>
    <x:t>Akira Kurosawa's Dreams [VOSC] (1990)</x:t>
  </x:si>
  <x:si>
    <x:t>Al cap del carrer [VOSC] (1950)</x:t>
  </x:si>
  <x:si>
    <x:t>Al carrer (2014)</x:t>
  </x:si>
  <x:si>
    <x:t>Al cor del mar (2015)</x:t>
  </x:si>
  <x:si>
    <x:t>Al costat de casa (2016)</x:t>
  </x:si>
  <x:si>
    <x:t>Al costat de l'enemic (2013)</x:t>
  </x:si>
  <x:si>
    <x:t>Al final de l'escapada (2010)</x:t>
  </x:si>
  <x:si>
    <x:t>Al final de la mentida (2013)</x:t>
  </x:si>
  <x:si>
    <x:t>Al fossat (2011)</x:t>
  </x:si>
  <x:si>
    <x:t>Al límit (2010)</x:t>
  </x:si>
  <x:si>
    <x:t>Al límit de l'endemà (2014)</x:t>
  </x:si>
  <x:si>
    <x:t>Al límit de la sospita (1985)</x:t>
  </x:si>
  <x:si>
    <x:t>Al Nadal toca fusta (2021)</x:t>
  </x:si>
  <x:si>
    <x:t>Al setè cel (2008)</x:t>
  </x:si>
  <x:si>
    <x:t>Al sostre del mon (2015)</x:t>
  </x:si>
  <x:si>
    <x:t>Al Tall per sempre - Últim concert (2013)</x:t>
  </x:si>
  <x:si>
    <x:t>Alabama Monroe (2012)</x:t>
  </x:si>
  <x:si>
    <x:t>Alarma a l'exprés (1938)</x:t>
  </x:si>
  <x:si>
    <x:t>Alaska indòmita (2009)</x:t>
  </x:si>
  <x:si>
    <x:t>Alaska, terra d'aventures (1996)</x:t>
  </x:si>
  <x:si>
    <x:t>Alba zulú (1979)</x:t>
  </x:si>
  <x:si>
    <x:t>Albert (2015)</x:t>
  </x:si>
  <x:si>
    <x:t>Albert Nobbs (2011)</x:t>
  </x:si>
  <x:si>
    <x:t>Alcarràs (2022)</x:t>
  </x:si>
  <x:si>
    <x:t>Alegria, tristesa (2018)</x:t>
  </x:si>
  <x:si>
    <x:t>Alemanya any zero [VOSC] (1948)</x:t>
  </x:si>
  <x:si>
    <x:t>Alerta: Segrest (2015)</x:t>
  </x:si>
  <x:si>
    <x:t>Alex Rider: Operació Stormbreaker (2006)</x:t>
  </x:si>
  <x:si>
    <x:t>Alexandre (2004)</x:t>
  </x:si>
  <x:si>
    <x:t>Alexandre Deulofeu: L'historiador del futur (2016)</x:t>
  </x:si>
  <x:si>
    <x:t>Alexia Putellas: Perseguint un somni (2022)</x:t>
  </x:si>
  <x:si>
    <x:t>Alger (1938)</x:t>
  </x:si>
  <x:si>
    <x:t>Algú ens vigila (2015)</x:t>
  </x:si>
  <x:si>
    <x:t>Algú ha vist la meva xicota? (1952)</x:t>
  </x:si>
  <x:si>
    <x:t>Algú va volar sobre el niu del cucut [VOSC] (1975)</x:t>
  </x:si>
  <x:si>
    <x:t>Alguna cosa per recordar (1993)</x:t>
  </x:si>
  <x:si>
    <x:t>Alguna cosa prestada (2011)</x:t>
  </x:si>
  <x:si>
    <x:t>Alguna cosa salvatge (1986)</x:t>
  </x:si>
  <x:si>
    <x:t>Alguns dies d'ahir (2022)</x:t>
  </x:si>
  <x:si>
    <x:t>Alguns homes bons (1992)</x:t>
  </x:si>
  <x:si>
    <x:t>Alguns neixen estrellats (2021)</x:t>
  </x:si>
  <x:si>
    <x:t>Ali (2001)</x:t>
  </x:si>
  <x:si>
    <x:t>Alibi.com (2017)</x:t>
  </x:si>
  <x:si>
    <x:t>Alice (1990)</x:t>
  </x:si>
  <x:si>
    <x:t>Alien (1979)</x:t>
  </x:si>
  <x:si>
    <x:t>Alien hunter (2003)</x:t>
  </x:si>
  <x:si>
    <x:t>Alien vs. Predator (2004)</x:t>
  </x:si>
  <x:si>
    <x:t>Aliens (1986)</x:t>
  </x:si>
  <x:si>
    <x:t>Alimentem el món (2005)</x:t>
  </x:si>
  <x:si>
    <x:t>Aline (2020)</x:t>
  </x:si>
  <x:si>
    <x:t>Alita, Àngel de combat (1993)</x:t>
  </x:si>
  <x:si>
    <x:t>Allà on viuen els monstres (2009)</x:t>
  </x:si>
  <x:si>
    <x:t>Allau d'amor (2022)</x:t>
  </x:si>
  <x:si>
    <x:t>Allibereu Willy 1 (1993)</x:t>
  </x:si>
  <x:si>
    <x:t>Allibereu Willy 2 (1995)</x:t>
  </x:si>
  <x:si>
    <x:t>Allibereu Willy 3, el rescat (1997)</x:t>
  </x:si>
  <x:si>
    <x:t>Allibereu Willy 4, aventura a Sud-Àfrica (2010)</x:t>
  </x:si>
  <x:si>
    <x:t>Alló que Darwin no sabia (2009)</x:t>
  </x:si>
  <x:si>
    <x:t>Allò que el vent s'endugué (1939)</x:t>
  </x:si>
  <x:si>
    <x:t>Almanya - Benvingut a Alemanya (2011)</x:t>
  </x:si>
  <x:si>
    <x:t>Aloha, Scooby-Doo! (2005)</x:t>
  </x:si>
  <x:si>
    <x:t>Along the way [VOSC] (2022)</x:t>
  </x:si>
  <x:si>
    <x:t>Alpha (2013)</x:t>
  </x:si>
  <x:si>
    <x:t>Alpha Dog (2006)</x:t>
  </x:si>
  <x:si>
    <x:t>Alta mar (2022)</x:t>
  </x:si>
  <x:si>
    <x:t>Alta societat (2005)</x:t>
  </x:si>
  <x:si>
    <x:t>Alta tensió (1987)</x:t>
  </x:si>
  <x:si>
    <x:t>Alvin i els esquirols III (2011)</x:t>
  </x:si>
  <x:si>
    <x:t>Amadeus (1984)</x:t>
  </x:si>
  <x:si>
    <x:t>Amador (2010)</x:t>
  </x:si>
  <x:si>
    <x:t>Amagat [VOSC] (2005)</x:t>
  </x:si>
  <x:si>
    <x:t>Amants (2020)</x:t>
  </x:si>
  <x:si>
    <x:t>Amazònia, la vida per un dòlar (2008)</x:t>
  </x:si>
  <x:si>
    <x:t>Amb el cap ple de mel (2018)</x:t>
  </x:si>
  <x:si>
    <x:t>Amb el món no n'hi ha prou (1999)</x:t>
  </x:si>
  <x:si>
    <x:t>Amb ell va arribar l'escàndol (1960)</x:t>
  </x:si>
  <x:si>
    <x:t>Amb els braços oberts (2017)</x:t>
  </x:si>
  <x:si>
    <x:t>Amb l'aigua al coll (1975)</x:t>
  </x:si>
  <x:si>
    <x:t>Amb les hores comptades (1949)</x:t>
  </x:si>
  <x:si>
    <x:t>Amb les mateixes armes (1940)</x:t>
  </x:si>
  <x:si>
    <x:t>Amb un somriure, la revolució! (2019)</x:t>
  </x:si>
  <x:si>
    <x:t>Amelia (2009)</x:t>
  </x:si>
  <x:si>
    <x:t>Amélie (2001)</x:t>
  </x:si>
  <x:si>
    <x:t>Amenaça totalitària (2019)</x:t>
  </x:si>
  <x:si>
    <x:t>American beauty (1999)</x:t>
  </x:si>
  <x:si>
    <x:t>American Gangster (2007)</x:t>
  </x:si>
  <x:si>
    <x:t>American Gun (2005)</x:t>
  </x:si>
  <x:si>
    <x:t>American History X (1998)</x:t>
  </x:si>
  <x:si>
    <x:t>American Pie (1999)</x:t>
  </x:si>
  <x:si>
    <x:t>American Playboy (2009)</x:t>
  </x:si>
  <x:si>
    <x:t>American Psycho (2000)</x:t>
  </x:si>
  <x:si>
    <x:t>Amic/Amat (1999)</x:t>
  </x:si>
  <x:si>
    <x:t>Amics amb diners (2006)</x:t>
  </x:si>
  <x:si>
    <x:t>Amics amb dret a alguna cosa més (2011)</x:t>
  </x:si>
  <x:si>
    <x:t>Amics amb fills (2011)</x:t>
  </x:si>
  <x:si>
    <x:t>Amics i veïns (1998)</x:t>
  </x:si>
  <x:si>
    <x:t>Amics per sempre (2017)</x:t>
  </x:si>
  <x:si>
    <x:t>Amics per sempre (2019)</x:t>
  </x:si>
  <x:si>
    <x:t>Amics: En Rondinaire i l'illa dels monstres (2011)</x:t>
  </x:si>
  <x:si>
    <x:t>Amigues mortals (2021)</x:t>
  </x:si>
  <x:si>
    <x:t>Amor (2012)</x:t>
  </x:si>
  <x:si>
    <x:t>Amor a la polonesa (2018)</x:t>
  </x:si>
  <x:si>
    <x:t>Amor a la siciliana (2016)</x:t>
  </x:si>
  <x:si>
    <x:t>Amor al primer lladruc (2017)</x:t>
  </x:si>
  <x:si>
    <x:t>Amor amb preavís (2002)</x:t>
  </x:si>
  <x:si>
    <x:t>Amor col·lateral (2013)</x:t>
  </x:si>
  <x:si>
    <x:t>Amor descontrolat (2012)</x:t>
  </x:si>
  <x:si>
    <x:t>Amor en el fiord (2013)</x:t>
  </x:si>
  <x:si>
    <x:t>Amor en temps de guerra (1997)</x:t>
  </x:si>
  <x:si>
    <x:t>Amor és tot el que necessites (2012)</x:t>
  </x:si>
  <x:si>
    <x:t>Amor i lletres (2012)</x:t>
  </x:si>
  <x:si>
    <x:t>Amor idiota (2004)</x:t>
  </x:si>
  <x:si>
    <x:t>Amor inesperat (2015)</x:t>
  </x:si>
  <x:si>
    <x:t>Amor meu, com t'odio (2021)</x:t>
  </x:si>
  <x:si>
    <x:t>Amor sense menta (2011)</x:t>
  </x:si>
  <x:si>
    <x:t>Amor sota l'arç blanc (2010)</x:t>
  </x:si>
  <x:si>
    <x:t>Amor, bodes i altres desastres (2020)</x:t>
  </x:si>
  <x:si>
    <x:t>Amor, boig i estúpid (2011)</x:t>
  </x:si>
  <x:si>
    <x:t>Amors bojos (2009)</x:t>
  </x:si>
  <x:si>
    <x:t>Amors nadalencs al dente (2020)</x:t>
  </x:si>
  <x:si>
    <x:t>Amundsen (2019)</x:t>
  </x:si>
  <x:si>
    <x:t>Amys Vilje. El retorn d'una noia (2019)</x:t>
  </x:si>
  <x:si>
    <x:t>Anacleto: Agent secret (2015)</x:t>
  </x:si>
  <x:si>
    <x:t>Anaconda (1997)</x:t>
  </x:si>
  <x:si>
    <x:t>Anacondes: la recerca de l'orquídia de sang (2004)</x:t>
  </x:si>
  <x:si>
    <x:t>Anàlisi Final (1992)</x:t>
  </x:si>
  <x:si>
    <x:t>Anamorph (2007)</x:t>
  </x:si>
  <x:si>
    <x:t>Anastàsia (1997)</x:t>
  </x:si>
  <x:si>
    <x:t>Anatomia (2000)</x:t>
  </x:si>
  <x:si>
    <x:t>Anatomia d'un Rei (2010)</x:t>
  </x:si>
  <x:si>
    <x:t>Andrea Motis i Joan Chamorro Grup - Teatre Coliseum de Barcelona (2011)</x:t>
  </x:si>
  <x:si>
    <x:t>Andrés Iniesta, "La última passada" (2018)</x:t>
  </x:si>
  <x:si>
    <x:t>Anem a caçar un os (2016)</x:t>
  </x:si>
  <x:si>
    <x:t>Anem-nos-en, Bàrbara (1978)</x:t>
  </x:si>
  <x:si>
    <x:t>Àngel de venjança (2015)</x:t>
  </x:si>
  <x:si>
    <x:t>Àngels a prova de bala (2025)</x:t>
  </x:si>
  <x:si>
    <x:t>Àngels i dimonis (2009)</x:t>
  </x:si>
  <x:si>
    <x:t>Àngels sense cel (1993)</x:t>
  </x:si>
  <x:si>
    <x:t>Angoixa (1987)</x:t>
  </x:si>
  <x:si>
    <x:t>Angry Birds I La pel·lícula (2016)</x:t>
  </x:si>
  <x:si>
    <x:t>Angry Birds II La pel·lícula (2019)</x:t>
  </x:si>
  <x:si>
    <x:t>Angry Indian Goddesses (2015)</x:t>
  </x:si>
  <x:si>
    <x:t>Ànima d'actor (2018)</x:t>
  </x:si>
  <x:si>
    <x:t>Animadores assassinades (2016)</x:t>
  </x:si>
  <x:si>
    <x:t>Animalades de cine (2017)</x:t>
  </x:si>
  <x:si>
    <x:t>Animals (2012)</x:t>
  </x:si>
  <x:si>
    <x:t>Animals ferits (2006)</x:t>
  </x:si>
  <x:si>
    <x:t>Animals United (2010)</x:t>
  </x:si>
  <x:si>
    <x:t>Ànimes de metall (1973)</x:t>
  </x:si>
  <x:si>
    <x:t>Aniré on vagis tu (2019)</x:t>
  </x:si>
  <x:si>
    <x:t>Anita no perd el tren (2000)</x:t>
  </x:si>
  <x:si>
    <x:t>Anita. La miliciana tenia nom (2024)</x:t>
  </x:si>
  <x:si>
    <x:t>Anna (2019)</x:t>
  </x:si>
  <x:si>
    <x:t>Anna i el rei (1999)</x:t>
  </x:si>
  <x:si>
    <x:t>Anna Karènina (1948)</x:t>
  </x:si>
  <x:si>
    <x:t>Anna Karenina (2012)</x:t>
  </x:si>
  <x:si>
    <x:t>Anna Karènina la revenja és el perdó (2017)</x:t>
  </x:si>
  <x:si>
    <x:t>Annabelle (2014)</x:t>
  </x:si>
  <x:si>
    <x:t>Annabelle: Creation (2017)</x:t>
  </x:si>
  <x:si>
    <x:t>Annette (2021)</x:t>
  </x:si>
  <x:si>
    <x:t>Anníbal l'home, el mite, el misteri (2006)</x:t>
  </x:si>
  <x:si>
    <x:t>Anníbal, l’home, el mite, el misteri (2006)</x:t>
  </x:si>
  <x:si>
    <x:t>Annie (2014)</x:t>
  </x:si>
  <x:si>
    <x:t>Annie Hall (1977)</x:t>
  </x:si>
  <x:si>
    <x:t>Annika Bengtzon - El llop roig (2012)</x:t>
  </x:si>
  <x:si>
    <x:t>Annika Bengtzon - El testament de Nobel (2012)</x:t>
  </x:si>
  <x:si>
    <x:t>Annika Bengtzon - Estudio Se* (2012)</x:t>
  </x:si>
  <x:si>
    <x:t>Annika Bengtzon - Per a tota la vida (2012)</x:t>
  </x:si>
  <x:si>
    <x:t>Annika Bengtzon - Prime time (2012)</x:t>
  </x:si>
  <x:si>
    <x:t>Annika Bengtzon - Un lloc al sol (2012)</x:t>
  </x:si>
  <x:si>
    <x:t>Anomalous (2016)</x:t>
  </x:si>
  <x:si>
    <x:t>Anonymous (2011)</x:t>
  </x:si>
  <x:si>
    <x:t>Another WolfCop (2017)</x:t>
  </x:si>
  <x:si>
    <x:t>Another Year (2010)</x:t>
  </x:si>
  <x:si>
    <x:t>Ànsia de viure (2017)</x:t>
  </x:si>
  <x:si>
    <x:t>Ant Bully, benvingut al formiguer (2006)</x:t>
  </x:si>
  <x:si>
    <x:t>Antaviana (1978)</x:t>
  </x:si>
  <x:si>
    <x:t>Antaviana (1983)</x:t>
  </x:si>
  <x:si>
    <x:t>Antboy (2013)</x:t>
  </x:si>
  <x:si>
    <x:t>Antebellum (2020)</x:t>
  </x:si>
  <x:si>
    <x:t>Anthony Zimmer (2005)</x:t>
  </x:si>
  <x:si>
    <x:t>Anticòs (2002)</x:t>
  </x:si>
  <x:si>
    <x:t>Antònia Font - Gran Teatre Del Liceu - The New Royal Philarmonic Cuatro Quesos Orchestra (2008)</x:t>
  </x:si>
  <x:si>
    <x:t>Antonia llàgrimes al paradís (2003)</x:t>
  </x:si>
  <x:si>
    <x:t>Antonia: entre l’amor i el poder (2001)</x:t>
  </x:si>
  <x:si>
    <x:t>Any de Gràcia (2011)</x:t>
  </x:si>
  <x:si>
    <x:t>Any u (2009)</x:t>
  </x:si>
  <x:si>
    <x:t>Anzu, gat fantasma (2024)</x:t>
  </x:si>
  <x:si>
    <x:t>AP-7, al límit (2026)</x:t>
  </x:si>
  <x:si>
    <x:t>Apareguts (2007)</x:t>
  </x:si>
  <x:si>
    <x:t>Apartament per a tres (1966)</x:t>
  </x:si>
  <x:si>
    <x:t>Apatxe (1954)</x:t>
  </x:si>
  <x:si>
    <x:t>Apocalypse Now Redux (1979)</x:t>
  </x:si>
  <x:si>
    <x:t>Apocalypto [VOSC] (2006)</x:t>
  </x:si>
  <x:si>
    <x:t>Apol·lo 13 (1995)</x:t>
  </x:si>
  <x:si>
    <x:t>Apol·lo 18 (2011)</x:t>
  </x:si>
  <x:si>
    <x:t>Apollo, les missions a la Lluna (2019)</x:t>
  </x:si>
  <x:si>
    <x:t>Appaloosa (2008)</x:t>
  </x:si>
  <x:si>
    <x:t>Aprenent a conduir (2015)</x:t>
  </x:si>
  <x:si>
    <x:t>Aprenent de cavaller (2007)</x:t>
  </x:si>
  <x:si>
    <x:t>Aprenent de gigoló (2013)</x:t>
  </x:si>
  <x:si>
    <x:t>Aquell Nadal (2024)</x:t>
  </x:si>
  <x:si>
    <x:t>Aquella època de l'any (2018)</x:t>
  </x:si>
  <x:si>
    <x:t>Aquells dies feliços (2006)</x:t>
  </x:si>
  <x:si>
    <x:t>Aquest any, cent: Wembley'92 (1999)</x:t>
  </x:si>
  <x:si>
    <x:t>Aquesta nit (2010)</x:t>
  </x:si>
  <x:si>
    <x:t>Aquesta nit o mai (1992)</x:t>
  </x:si>
  <x:si>
    <x:t>Ara (2018)</x:t>
  </x:si>
  <x:si>
    <x:t>Ara els pares són ells (2010)</x:t>
  </x:si>
  <x:si>
    <x:t>Ara em veus (2013)</x:t>
  </x:si>
  <x:si>
    <x:t>Ara em veus 2 (2016)</x:t>
  </x:si>
  <x:si>
    <x:t>Ara és diferent (1985)</x:t>
  </x:si>
  <x:si>
    <x:t>Ara o mai (2015)</x:t>
  </x:si>
  <x:si>
    <x:t>Aràbia (2009)</x:t>
  </x:si>
  <x:si>
    <x:t>Arac Attack (2002)</x:t>
  </x:si>
  <x:si>
    <x:t>Arachnid (2001)</x:t>
  </x:si>
  <x:si>
    <x:t>Aranya sagrada (2022)</x:t>
  </x:si>
  <x:si>
    <x:t>Aranyes (2000)</x:t>
  </x:si>
  <x:si>
    <x:t>Ardara (2019)</x:t>
  </x:si>
  <x:si>
    <x:t>Área de descanso (2011)</x:t>
  </x:si>
  <x:si>
    <x:t>Arena a les butxaques (2006)</x:t>
  </x:si>
  <x:si>
    <x:t>Argo (2012)</x:t>
  </x:si>
  <x:si>
    <x:t>Arma Fatal (2007)</x:t>
  </x:si>
  <x:si>
    <x:t>Arma letal I (1987)</x:t>
  </x:si>
  <x:si>
    <x:t>Arma letal II (1989)</x:t>
  </x:si>
  <x:si>
    <x:t>Arma letal III (1991)</x:t>
  </x:si>
  <x:si>
    <x:t>Arma letal IV (1998)</x:t>
  </x:si>
  <x:si>
    <x:t>Armadillo (2010)</x:t>
  </x:si>
  <x:si>
    <x:t>Armaguedon (1983)</x:t>
  </x:si>
  <x:si>
    <x:t>Armats i perillosos (1986)</x:t>
  </x:si>
  <x:si>
    <x:t>Armènia, història d'un genocidi (2014)</x:t>
  </x:si>
  <x:si>
    <x:t>Aro Tolbukhin, dins la ment de l'assassí (2002)</x:t>
  </x:si>
  <x:si>
    <x:t>Arriba de nit (2017)</x:t>
  </x:si>
  <x:si>
    <x:t>Arriba un genet (1978)</x:t>
  </x:si>
  <x:si>
    <x:t>Arrietty i el món dels remenuts (2010)</x:t>
  </x:si>
  <x:si>
    <x:t>Arropiero, el vagabund de la mort (2008)</x:t>
  </x:si>
  <x:si>
    <x:t>Arrossega'm a l'infern (2009)</x:t>
  </x:si>
  <x:si>
    <x:t>Arrugues (2011)</x:t>
  </x:si>
  <x:si>
    <x:t>Art Heist (2004)</x:t>
  </x:si>
  <x:si>
    <x:t>Arthur 3: La guerra dels mons (2010)</x:t>
  </x:si>
  <x:si>
    <x:t>Arthur Christmas: operació regal (2011)</x:t>
  </x:si>
  <x:si>
    <x:t>Arthur i la venjança d'en Maltazard (2009)</x:t>
  </x:si>
  <x:si>
    <x:t>Arthur Rambo (2021)</x:t>
  </x:si>
  <x:si>
    <x:t>Arthur, el solter d'or (1981)</x:t>
  </x:si>
  <x:si>
    <x:t>Àrtic (2018)</x:t>
  </x:si>
  <x:si>
    <x:t>Artur i l'algorisme (2021)</x:t>
  </x:si>
  <x:si>
    <x:t>Arzak Rhapsody [VOSC] (2003)</x:t>
  </x:si>
  <x:si>
    <x:t>Assalt a la comissaria del districte 13 (1976)</x:t>
  </x:si>
  <x:si>
    <x:t>Assalt al poder (2013)</x:t>
  </x:si>
  <x:si>
    <x:t>Assalt al tren Pelham 1.2.3. (2009)</x:t>
  </x:si>
  <x:si>
    <x:t>Assange, el preu de la veritat (2021)</x:t>
  </x:si>
  <x:si>
    <x:t>Assassin's Creed (2016)</x:t>
  </x:si>
  <x:si>
    <x:t>Assassinat 1,2,3 (2002)</x:t>
  </x:si>
  <x:si>
    <x:t>Assassinat a Biòt (2021)</x:t>
  </x:si>
  <x:si>
    <x:t>Assassinat a Dinard (2023)</x:t>
  </x:si>
  <x:si>
    <x:t>Assassinat a l'Alta Provença (2021)</x:t>
  </x:si>
  <x:si>
    <x:t>Assassinat a l'Orient Express (1974)</x:t>
  </x:si>
  <x:si>
    <x:t>Assassinat a la Casa Blanca (1997)</x:t>
  </x:si>
  <x:si>
    <x:t>Assassinat a Le Mans (2023)</x:t>
  </x:si>
  <x:si>
    <x:t>Assassinat a Losera (2014)</x:t>
  </x:si>
  <x:si>
    <x:t>Assassinat a Luberon (2018)</x:t>
  </x:si>
  <x:si>
    <x:t>Assassinat a Ramatuelle (2022)</x:t>
  </x:si>
  <x:si>
    <x:t>Assassinat a Yellowstone (2022)</x:t>
  </x:si>
  <x:si>
    <x:t>Assassinat al Larzac (2020)</x:t>
  </x:si>
  <x:si>
    <x:t>Assassinat al pantà (2019)</x:t>
  </x:si>
  <x:si>
    <x:t>Assassinat en 8 mil·límetres (1999)</x:t>
  </x:si>
  <x:si>
    <x:t>Assassinat entre amics (2001)</x:t>
  </x:si>
  <x:si>
    <x:t>Assassinat just (2008)</x:t>
  </x:si>
  <x:si>
    <x:t>Assassinats a Albi (2020)</x:t>
  </x:si>
  <x:si>
    <x:t>Assassinats a Amboise (2022)</x:t>
  </x:si>
  <x:si>
    <x:t>Assassinats a Amiens (2022)</x:t>
  </x:si>
  <x:si>
    <x:t>Assassinats a Avinyó (2016)</x:t>
  </x:si>
  <x:si>
    <x:t>Assassinats a Bayeux (2023)</x:t>
  </x:si>
  <x:si>
    <x:t>Assassinats a Bearn (2023)</x:t>
  </x:si>
  <x:si>
    <x:t>Assassinats a Berry (2021)</x:t>
  </x:si>
  <x:si>
    <x:t>Assassinats a Caiena (2020)</x:t>
  </x:si>
  <x:si>
    <x:t>Assassinats a Chantilly (2023)</x:t>
  </x:si>
  <x:si>
    <x:t>Assassinats a Cornualla (2018)</x:t>
  </x:si>
  <x:si>
    <x:t>Assassinats a Font-Romeu (2023)</x:t>
  </x:si>
  <x:si>
    <x:t>Assassinats a Guadalupe (2023)</x:t>
  </x:si>
  <x:si>
    <x:t>Assassinats a Kermadec (2022)</x:t>
  </x:si>
  <x:si>
    <x:t>Assassinats a l'abadia de Rouen (2014)</x:t>
  </x:si>
  <x:si>
    <x:t>Assassinats a l'alta societat (2006)</x:t>
  </x:si>
  <x:si>
    <x:t>Assassinats a l'illa (2015)</x:t>
  </x:si>
  <x:si>
    <x:t>Assassinats a la Bretanya (2020)</x:t>
  </x:si>
  <x:si>
    <x:t>Assassinats a la Corresa (2019)</x:t>
  </x:si>
  <x:si>
    <x:t>Assassinats a les illes de Lerins (2023)</x:t>
  </x:si>
  <x:si>
    <x:t>Assassinats a les illes del Frieu (2021)</x:t>
  </x:si>
  <x:si>
    <x:t>Assassinats a les Petites Antilles (2021)</x:t>
  </x:si>
  <x:si>
    <x:t>Assassinats a Martigues (2016)</x:t>
  </x:si>
  <x:si>
    <x:t>Assassinats a Mauçana (2017)</x:t>
  </x:si>
  <x:si>
    <x:t>Assassinats a Mulhouse (2021)</x:t>
  </x:si>
  <x:si>
    <x:t>Assassinats a Pont L'Évêque (2020)</x:t>
  </x:si>
  <x:si>
    <x:t>Assassinats a Pont-Aven (2022)</x:t>
  </x:si>
  <x:si>
    <x:t>Assassinats a Porquerolles (2022)</x:t>
  </x:si>
  <x:si>
    <x:t>Assassinats al Cantal (2023)</x:t>
  </x:si>
  <x:si>
    <x:t>Assassinats al Mont-Saint-Michel (2013)</x:t>
  </x:si>
  <x:si>
    <x:t>Assassins (1995)</x:t>
  </x:si>
  <x:si>
    <x:t>Assassins (2015)</x:t>
  </x:si>
  <x:si>
    <x:t>Assassins d'elit (2011)</x:t>
  </x:si>
  <x:si>
    <x:t>Assetjament (1994)</x:t>
  </x:si>
  <x:si>
    <x:t>Assetjament a l'exèrcit: Trencant el silenci (2022)</x:t>
  </x:si>
  <x:si>
    <x:t>Assumptes de família (2009)</x:t>
  </x:si>
  <x:si>
    <x:t>Assumptes privats en llocs públics (2006)</x:t>
  </x:si>
  <x:si>
    <x:t>Astèrix a Amèrica (1994)</x:t>
  </x:si>
  <x:si>
    <x:t>Astèrix a Bretanya (1986)</x:t>
  </x:si>
  <x:si>
    <x:t>Astèrix als Jocs Olímpics (2008)</x:t>
  </x:si>
  <x:si>
    <x:t>Astèrix el Gal (1967)</x:t>
  </x:si>
  <x:si>
    <x:t>Astèrix i Cleopatra (1968)</x:t>
  </x:si>
  <x:si>
    <x:t>Astèrix i el cop de Menhir (1989)</x:t>
  </x:si>
  <x:si>
    <x:t>Astèrix i els víkings (2006)</x:t>
  </x:si>
  <x:si>
    <x:t>Astèrix i la sorpresa del Cèsar (1985)</x:t>
  </x:si>
  <x:si>
    <x:t>Asterix i Obelix, al servei de Sa Majestat (2012)</x:t>
  </x:si>
  <x:si>
    <x:t>Astèrix. La residència dels déus (2014)</x:t>
  </x:si>
  <x:si>
    <x:t>Astro Boy (2009)</x:t>
  </x:si>
  <x:si>
    <x:t>Astrònoms de la prehistòria (2009)</x:t>
  </x:si>
  <x:si>
    <x:t>Àtic sense ascensor (2014)</x:t>
  </x:si>
  <x:si>
    <x:t>Atlantis: L'Imperi Perdut (2001)</x:t>
  </x:si>
  <x:si>
    <x:t>Atmosfera zero (1981)</x:t>
  </x:si>
  <x:si>
    <x:t>Atolladero (1995)</x:t>
  </x:si>
  <x:si>
    <x:t>Atracament en 7 minuts (2014)</x:t>
  </x:si>
  <x:si>
    <x:t>Atracament per duplicat (2011)</x:t>
  </x:si>
  <x:si>
    <x:t>Atracament Perfecte (1956)</x:t>
  </x:si>
  <x:si>
    <x:t>Atracció mortal (2015)</x:t>
  </x:si>
  <x:si>
    <x:t>Atrapa la bandera (2015)</x:t>
  </x:si>
  <x:si>
    <x:t>Atrapada (2002)</x:t>
  </x:si>
  <x:si>
    <x:t>Atrapada (2015)</x:t>
  </x:si>
  <x:si>
    <x:t>Atrapada a la xarxa (2015)</x:t>
  </x:si>
  <x:si>
    <x:t>Atrapada en la foscor (2013)</x:t>
  </x:si>
  <x:si>
    <x:t>Atrapat (2021)</x:t>
  </x:si>
  <x:si>
    <x:t>Atrapat al túnel (2016)</x:t>
  </x:si>
  <x:si>
    <x:t>Atrapat en el temps (1993)</x:t>
  </x:si>
  <x:si>
    <x:t>Atrapat pel futur (2001)</x:t>
  </x:si>
  <x:si>
    <x:t>Atrapat pel passat (1993)</x:t>
  </x:si>
  <x:si>
    <x:t>Atrapat. Tres dies al fons de l'Atlàntic  (2023)</x:t>
  </x:si>
  <x:si>
    <x:t>Atrapats (2011)</x:t>
  </x:si>
  <x:si>
    <x:t>Atrapats a l'Afganistan (2008)</x:t>
  </x:si>
  <x:si>
    <x:t>Atrapats a Txernòbil (2012)</x:t>
  </x:si>
  <x:si>
    <x:t>Atrapats sense sortida (1986)</x:t>
  </x:si>
  <x:si>
    <x:t>Aurora (1927)</x:t>
  </x:si>
  <x:si>
    <x:t>Aurora boreal (2007)</x:t>
  </x:si>
  <x:si>
    <x:t>Austràlia (2008)</x:t>
  </x:si>
  <x:si>
    <x:t>Autòmat (2014)</x:t>
  </x:si>
  <x:si>
    <x:t>Autòpsia a un alienígena (2006)</x:t>
  </x:si>
  <x:si>
    <x:t>Ava (2020)</x:t>
  </x:si>
  <x:si>
    <x:t>Avalon (1990)</x:t>
  </x:si>
  <x:si>
    <x:t>Avatar [VOSC] (2009)</x:t>
  </x:si>
  <x:si>
    <x:t>Avatar: El sentit de l'aigua (2022)</x:t>
  </x:si>
  <x:si>
    <x:t>Avatar: Foc i cendra (2025)</x:t>
  </x:si>
  <x:si>
    <x:t>AveMaria (2022)</x:t>
  </x:si>
  <x:si>
    <x:t>Aventura al riu Yukon (2007)</x:t>
  </x:si>
  <x:si>
    <x:t>Aventura! (2020)</x:t>
  </x:si>
  <x:si>
    <x:t>Avi, et trauré d'aquí! (2013)</x:t>
  </x:si>
  <x:si>
    <x:t>Avions I (2013)</x:t>
  </x:si>
  <x:si>
    <x:t>Avions II Equip de rescat (2014)</x:t>
  </x:si>
  <x:si>
    <x:t>Avril (2006)</x:t>
  </x:si>
  <x:si>
    <x:t>Avui: 50 anys en portada (2026)</x:t>
  </x:si>
  <x:si>
    <x:t>Awareness (2023)</x:t>
  </x:si>
  <x:si>
    <x:t>Axel: el petit gran heroi (2014)</x:t>
  </x:si>
  <x:si>
    <x:t>Aydinlar (2020)</x:t>
  </x:si>
  <x:si>
    <x:t>Azaña (2008)</x:t>
  </x:si>
  <x:si>
    <x:t>Azrael (2024)</x:t>
  </x:si>
  <x:si>
    <x:t>Azur i Asmar (2006)</x:t>
  </x:si>
  <x:si>
    <x:t>B9 (2026)</x:t>
  </x:si>
  <x:si>
    <x:t>Baaria (2009)</x:t>
  </x:si>
  <x:si>
    <x:t>Babaouo (2000)</x:t>
  </x:si>
  <x:si>
    <x:t>Babe, el porquet a la ciutat (1998)</x:t>
  </x:si>
  <x:si>
    <x:t>Babe, el porquet valent (1995)</x:t>
  </x:si>
  <x:si>
    <x:t>Baby Assassins (2021)</x:t>
  </x:si>
  <x:si>
    <x:t>Babylon A.D. (2008)</x:t>
  </x:si>
  <x:si>
    <x:t>Bach - La Passió segons Sant Joan (2002)</x:t>
  </x:si>
  <x:si>
    <x:t>Bach i mil·lenari de Montserrat (2025)</x:t>
  </x:si>
  <x:si>
    <x:t>Bad Santa (2003)</x:t>
  </x:si>
  <x:si>
    <x:t>Bad Teacher (2011)</x:t>
  </x:si>
  <x:si>
    <x:t>Bala de fogueig (2010)</x:t>
  </x:si>
  <x:si>
    <x:t>Balandrau, infern glaçat (2021)</x:t>
  </x:si>
  <x:si>
    <x:t>Balansiya (2024)</x:t>
  </x:si>
  <x:si>
    <x:t>Bales sobre Broadway (1994)</x:t>
  </x:si>
  <x:si>
    <x:t>Ballant amb llops (1990)</x:t>
  </x:si>
  <x:si>
    <x:t>Ballant la vida (2017)</x:t>
  </x:si>
  <x:si>
    <x:t>Ballem? (2004)</x:t>
  </x:si>
  <x:si>
    <x:t>Ballerina (2016)</x:t>
  </x:si>
  <x:si>
    <x:t>Balto: La llegenda del gos esquimal (1995)</x:t>
  </x:si>
  <x:si>
    <x:t>Bambi, una vida al bosc (2024)</x:t>
  </x:si>
  <x:si>
    <x:t>Bambi: La venjança (2025)</x:t>
  </x:si>
  <x:si>
    <x:t>Banda a part [VOSC] (1964)</x:t>
  </x:si>
  <x:si>
    <x:t>Bandar Band [VOSC] (2020)</x:t>
  </x:si>
  <x:si>
    <x:t>Banderes dels nostres pares (2006)</x:t>
  </x:si>
  <x:si>
    <x:t>Bandides (2006)</x:t>
  </x:si>
  <x:si>
    <x:t>Bandido (1956)</x:t>
  </x:si>
  <x:si>
    <x:t>Bangkok Dangerous (2008)</x:t>
  </x:si>
  <x:si>
    <x:t>Banksy, el més buscat (2020)</x:t>
  </x:si>
  <x:si>
    <x:t>Bar-cel-ona (1987)</x:t>
  </x:si>
  <x:si>
    <x:t>Baraka (1992)</x:t>
  </x:si>
  <x:si>
    <x:t>Barbablava (1944)</x:t>
  </x:si>
  <x:si>
    <x:t>Barbacoa d'amics (2014)</x:t>
  </x:si>
  <x:si>
    <x:t>Barbara (2012)</x:t>
  </x:si>
  <x:si>
    <x:t>Barbie (2023)</x:t>
  </x:si>
  <x:si>
    <x:t>Barcelona (2013)</x:t>
  </x:si>
  <x:si>
    <x:t>Barcelona [un mapa] (2007)</x:t>
  </x:si>
  <x:si>
    <x:t>Barcelona 1714 (2019)</x:t>
  </x:si>
  <x:si>
    <x:t>Barcelona Connection (1988)</x:t>
  </x:si>
  <x:si>
    <x:t>Barcelona sud (1981)</x:t>
  </x:si>
  <x:si>
    <x:t>Barcelona, Abans que el temps ho esborri (2010)</x:t>
  </x:si>
  <x:si>
    <x:t>Barcelona, Any 39: Arriba Franco (2014)</x:t>
  </x:si>
  <x:si>
    <x:t>Barcelona, la rosa de foc (2014)</x:t>
  </x:si>
  <x:si>
    <x:t>Barcelona, nit d'estiu (2013)</x:t>
  </x:si>
  <x:si>
    <x:t>Barcelona, nit d'hivern (2015)</x:t>
  </x:si>
  <x:si>
    <x:t>Barra lliure (2019)</x:t>
  </x:si>
  <x:si>
    <x:t>Barrabàs (1962)</x:t>
  </x:si>
  <x:si>
    <x:t>Barrufets (2025)</x:t>
  </x:si>
  <x:si>
    <x:t>Barry Lyndon [VOSC] (1975)</x:t>
  </x:si>
  <x:si>
    <x:t>Barton Fink (1991)</x:t>
  </x:si>
  <x:si>
    <x:t>Basada en fets reals (2017)</x:t>
  </x:si>
  <x:si>
    <x:t>Basia (2018)</x:t>
  </x:si>
  <x:si>
    <x:t>Basic (2003)</x:t>
  </x:si>
  <x:si>
    <x:t>Bàsil,el ratolí detectiu (1986)</x:t>
  </x:si>
  <x:si>
    <x:t>Batalla a l'espai exterior (1959)</x:t>
  </x:si>
  <x:si>
    <x:t>Batalla a Seattle (2007)</x:t>
  </x:si>
  <x:si>
    <x:t>Batalla de reines (1985)</x:t>
  </x:si>
  <x:si>
    <x:t>Batalles mutants. L'heroïna fantasma (2022)</x:t>
  </x:si>
  <x:si>
    <x:t>Batman (1989)</x:t>
  </x:si>
  <x:si>
    <x:t>Batman Begins (2005)</x:t>
  </x:si>
  <x:si>
    <x:t>Batman contra Superman: l'alba de la justícia (2016)</x:t>
  </x:si>
  <x:si>
    <x:t>Batman forever (1995)</x:t>
  </x:si>
  <x:si>
    <x:t>Batman i Robin (1997)</x:t>
  </x:si>
  <x:si>
    <x:t>Batman. La LEGO pel·lícula (2017)</x:t>
  </x:si>
  <x:si>
    <x:t>Battleship (2012)</x:t>
  </x:si>
  <x:si>
    <x:t>BCN Knockout! [VOSC] (2013)</x:t>
  </x:si>
  <x:si>
    <x:t>Be Happy! (2019)</x:t>
  </x:si>
  <x:si>
    <x:t>Beach House (2023)</x:t>
  </x:si>
  <x:si>
    <x:t>Bean (1997)</x:t>
  </x:si>
  <x:si>
    <x:t>Bearn o La sala de les nines (1983)</x:t>
  </x:si>
  <x:si>
    <x:t>Beatriz Barcelona (2006)</x:t>
  </x:si>
  <x:si>
    <x:t>Beautiful Boxer (2004)</x:t>
  </x:si>
  <x:si>
    <x:t>Beautiful boy: Sempre seràs el meu fill (2018)</x:t>
  </x:si>
  <x:si>
    <x:t>Beautiful girls (1996)</x:t>
  </x:si>
  <x:si>
    <x:t>Becket (1964)</x:t>
  </x:si>
  <x:si>
    <x:t>Bee Movie (2007)</x:t>
  </x:si>
  <x:si>
    <x:t>Beekeeper: El protector (2024)</x:t>
  </x:si>
  <x:si>
    <x:t>Beethoven - Simfonies 7 i 8 (2017)</x:t>
  </x:si>
  <x:si>
    <x:t>Beetlejuice (1988)</x:t>
  </x:si>
  <x:si>
    <x:t>Beetlejuice Beetlejuice (2024)</x:t>
  </x:si>
  <x:si>
    <x:t>Begin Again (2013)</x:t>
  </x:si>
  <x:si>
    <x:t>Bel Ami, història d'un seductor (2012)</x:t>
  </x:si>
  <x:si>
    <x:t>Bel Canto (2018)</x:t>
  </x:si>
  <x:si>
    <x:t>Bella (2006)</x:t>
  </x:si>
  <x:si>
    <x:t>Bella joventut (2014)</x:t>
  </x:si>
  <x:si>
    <x:t>Belle (2021)</x:t>
  </x:si>
  <x:si>
    <x:t>Bellesa oculta (2016)</x:t>
  </x:si>
  <x:si>
    <x:t>Bellesa prohibida (2004)</x:t>
  </x:si>
  <x:si>
    <x:t>Bellingcat, la veritat en un món de postveritat (2018)</x:t>
  </x:si>
  <x:si>
    <x:t>Ben X (2007)</x:t>
  </x:si>
  <x:si>
    <x:t>Ben-Hur (1959)</x:t>
  </x:si>
  <x:si>
    <x:t>Ben-Hur (2016)</x:t>
  </x:si>
  <x:si>
    <x:t>Benedetta (2021)</x:t>
  </x:si>
  <x:si>
    <x:t>Beneïda disbauxa (2018)</x:t>
  </x:si>
  <x:si>
    <x:t>Benvinguda a Kolleda (2012)</x:t>
  </x:si>
  <x:si>
    <x:t>Benvingudes a Carolina (2017)</x:t>
  </x:si>
  <x:si>
    <x:t>Benvingut a Farewell-Gutmann (2008)</x:t>
  </x:si>
  <x:si>
    <x:t>Benvingut a Mooseport (2004)</x:t>
  </x:si>
  <x:si>
    <x:t>Benvinguts a Normal (2013)</x:t>
  </x:si>
  <x:si>
    <x:t>Benvinguts a Txetxènia (2020)</x:t>
  </x:si>
  <x:si>
    <x:t>Benvinguts a Vil·la Capri (2017)</x:t>
  </x:si>
  <x:si>
    <x:t>Benvinguts a Zombieland (2009)</x:t>
  </x:si>
  <x:si>
    <x:t>Benvinguts al barri (2019)</x:t>
  </x:si>
  <x:si>
    <x:t>Benvinguts al nord (2008)</x:t>
  </x:si>
  <x:si>
    <x:t>Benvinguts al sud (2010)</x:t>
  </x:si>
  <x:si>
    <x:t>Benvolguts camarades (2020)</x:t>
  </x:si>
  <x:si>
    <x:t>Beowulf i Grendel (2005)</x:t>
  </x:si>
  <x:si>
    <x:t>Beowulf: El muntatge del director (2007)</x:t>
  </x:si>
  <x:si>
    <x:t>Berberian Sound Studio [VOSC] (2012)</x:t>
  </x:si>
  <x:si>
    <x:t>Berenàveu a les fosques (2021)</x:t>
  </x:si>
  <x:si>
    <x:t>Berlin 1. Brigada d'homicidis (2015)</x:t>
  </x:si>
  <x:si>
    <x:t>Bernie [VOSC] (2011)</x:t>
  </x:si>
  <x:si>
    <x:t>Bessons però no gaire (2022)</x:t>
  </x:si>
  <x:si>
    <x:t>Bèsties assassines (2001)</x:t>
  </x:si>
  <x:si>
    <x:t>Bèsties del sud salvatge (2012)</x:t>
  </x:si>
  <x:si>
    <x:t>Bèsties fantàstiques i on trobar-les (2016)</x:t>
  </x:si>
  <x:si>
    <x:t>Bèsties fantàstiques. Els crims de Grindelwald (2018)</x:t>
  </x:si>
  <x:si>
    <x:t>Bèsties fantàstiques. Els secrets de Dumbledore (2022)</x:t>
  </x:si>
  <x:si>
    <x:t>Betrayal (2012)</x:t>
  </x:si>
  <x:si>
    <x:t>Betty Anne Waters (2010)</x:t>
  </x:si>
  <x:si>
    <x:t>Beyond Beyond (2014)</x:t>
  </x:si>
  <x:si>
    <x:t>Beyond Re-Animator (2003)</x:t>
  </x:si>
  <x:si>
    <x:t>Beyond the Sea (2004)</x:t>
  </x:si>
  <x:si>
    <x:t>Bicicleta, cullera, poma (2010)</x:t>
  </x:si>
  <x:si>
    <x:t>Big Bad Wolves (2013)</x:t>
  </x:si>
  <x:si>
    <x:t>Big Buck Bunny (2008)</x:t>
  </x:si>
  <x:si>
    <x:t>Big Data. Ciutadans sota control (2015)</x:t>
  </x:si>
  <x:si>
    <x:t>Big Fish (2003)</x:t>
  </x:si>
  <x:si>
    <x:t>Big Hero 6 (2014)</x:t>
  </x:si>
  <x:si>
    <x:t>Bigas x Bigas (2016)</x:t>
  </x:si>
  <x:si>
    <x:t>Bikes (2018)</x:t>
  </x:si>
  <x:si>
    <x:t>Bilby (2018)</x:t>
  </x:si>
  <x:si>
    <x:t>Bill (2007)</x:t>
  </x:si>
  <x:si>
    <x:t>Billy Dos Barrets (1974)</x:t>
  </x:si>
  <x:si>
    <x:t>Billy Elliot (2000)</x:t>
  </x:si>
  <x:si>
    <x:t>Bim - Le ballon rouge - Crin-Blanc [VOSC] (1951)</x:t>
  </x:si>
  <x:si>
    <x:t>Binti (2019)</x:t>
  </x:si>
  <x:si>
    <x:t>Bird Karma (2018)</x:t>
  </x:si>
  <x:si>
    <x:t>Birmània, la revolució oblidada (2023)</x:t>
  </x:si>
  <x:si>
    <x:t>Bits (2016)</x:t>
  </x:si>
  <x:si>
    <x:t>Black 47 (2018)</x:t>
  </x:si>
  <x:si>
    <x:t>Black Box (2021)</x:t>
  </x:si>
  <x:si>
    <x:t>Black Coal (2014)</x:t>
  </x:si>
  <x:si>
    <x:t>Black Friday (2021)</x:t>
  </x:si>
  <x:si>
    <x:t>Black Hawk abatut (2001)</x:t>
  </x:si>
  <x:si>
    <x:t>Black Mass (2015)</x:t>
  </x:si>
  <x:si>
    <x:t>Blackfish (2013)</x:t>
  </x:si>
  <x:si>
    <x:t>Blackwater Lane (2024)</x:t>
  </x:si>
  <x:si>
    <x:t>Blade (1998)</x:t>
  </x:si>
  <x:si>
    <x:t>Blade Runner (1982)</x:t>
  </x:si>
  <x:si>
    <x:t>Blade Runner: El muntatge del director (1982)</x:t>
  </x:si>
  <x:si>
    <x:t>Blade Runner: Muntatge final (2007)</x:t>
  </x:si>
  <x:si>
    <x:t>Blancaneu (2012)</x:t>
  </x:si>
  <x:si>
    <x:t>Blancaneu (Mirror, Mirror) (2012)</x:t>
  </x:si>
  <x:si>
    <x:t>Blancaneu i la llegenda del caçador (2012)</x:t>
  </x:si>
  <x:si>
    <x:t>Blaze [VOSC] (2022)</x:t>
  </x:si>
  <x:si>
    <x:t>Blind Horizon (2003)</x:t>
  </x:si>
  <x:si>
    <x:t>Blindat (2009)</x:t>
  </x:si>
  <x:si>
    <x:t>Blinky Bill, el coala (2015)</x:t>
  </x:si>
  <x:si>
    <x:t>Blitz (2011)</x:t>
  </x:si>
  <x:si>
    <x:t>Blob (1988)</x:t>
  </x:si>
  <x:si>
    <x:t>Blood and Wine: Laberint criminal (1996)</x:t>
  </x:si>
  <x:si>
    <x:t>Blood Father (2016)</x:t>
  </x:si>
  <x:si>
    <x:t>Blood: L'últim vampir (2000)</x:t>
  </x:si>
  <x:si>
    <x:t>Bloodline [VOSC] (2018)</x:t>
  </x:si>
  <x:si>
    <x:t>Blue Giant (2023)</x:t>
  </x:si>
  <x:si>
    <x:t>Blue Jasmine (2013)</x:t>
  </x:si>
  <x:si>
    <x:t>Blue Thermal (2022)</x:t>
  </x:si>
  <x:si>
    <x:t>Blue Valentine (2010)</x:t>
  </x:si>
  <x:si>
    <x:t>Blush (2021)</x:t>
  </x:si>
  <x:si>
    <x:t>Boa contra pitó (2004)</x:t>
  </x:si>
  <x:si>
    <x:t>Bob el manetes: Cursa cap a la meta (2008)</x:t>
  </x:si>
  <x:si>
    <x:t>Bob Esponja: la pel·lícula (2004)</x:t>
  </x:si>
  <x:si>
    <x:t>Bob Esponja. Un heroi fora de l'aigua (2015)</x:t>
  </x:si>
  <x:si>
    <x:t>Bob, el manetes - Vacances a l'oest (2006)</x:t>
  </x:si>
  <x:si>
    <x:t>Bobby (2006)</x:t>
  </x:si>
  <x:si>
    <x:t>Bobby Z (2007)</x:t>
  </x:si>
  <x:si>
    <x:t>Boda sense fi (2020)</x:t>
  </x:si>
  <x:si>
    <x:t>Boig d'amor (2019)</x:t>
  </x:si>
  <x:si>
    <x:t>Boiling Point (2021)</x:t>
  </x:si>
  <x:si>
    <x:t>Boja acadèmia de policia (1984)</x:t>
  </x:si>
  <x:si>
    <x:t>Boja acadèmia de policia 2: la primera missió (1985)</x:t>
  </x:si>
  <x:si>
    <x:t>Boja evasió (1974)</x:t>
  </x:si>
  <x:si>
    <x:t>Boja seducció (2001)</x:t>
  </x:si>
  <x:si>
    <x:t>Bojos a Alabama (1999)</x:t>
  </x:si>
  <x:si>
    <x:t>Bojos de l'aire (1939)</x:t>
  </x:si>
  <x:si>
    <x:t>Bojos pel surf (2007)</x:t>
  </x:si>
  <x:si>
    <x:t>Bola de Drac Super: el Superheroi (2022)</x:t>
  </x:si>
  <x:si>
    <x:t>Bola de Drac Z 1: Garlic Júnior Immortal (1989)</x:t>
  </x:si>
  <x:si>
    <x:t>Bola de Drac Z 2: El més fort del món (1990)</x:t>
  </x:si>
  <x:si>
    <x:t>Bola de Drac Z 3: Superbatalla al món (1990)</x:t>
  </x:si>
  <x:si>
    <x:t>Bola de Drac Z 4: El SuperGuerrer Son Goku (1991)</x:t>
  </x:si>
  <x:si>
    <x:t>Bola de Drac Z 5: Els rivals més forts (1991)</x:t>
  </x:si>
  <x:si>
    <x:t>Bola de Drac Z 6: Lluita entre guerrers de força il·limitada (1992)</x:t>
  </x:si>
  <x:si>
    <x:t>Bola de Drac Z: La Batalla dels Déus (2013)</x:t>
  </x:si>
  <x:si>
    <x:t>Bola de Drac Z: La resurrecció de 'F' (2015)</x:t>
  </x:si>
  <x:si>
    <x:t>Bola de Drac: Aventura mística (1988)</x:t>
  </x:si>
  <x:si>
    <x:t>Bola de Drac: comença la Màgia (1991)</x:t>
  </x:si>
  <x:si>
    <x:t>Bola de Drac: El camí per ser el més fort (1996)</x:t>
  </x:si>
  <x:si>
    <x:t>Bola de Drac: La bella dorment al castell del mal (1987)</x:t>
  </x:si>
  <x:si>
    <x:t>Bola de Drac: La llegenda del drac Xeron (1986)</x:t>
  </x:si>
  <x:si>
    <x:t>Bolt (2008)</x:t>
  </x:si>
  <x:si>
    <x:t>Bon cop de falç. La història de l'himne (2014)</x:t>
  </x:si>
  <x:si>
    <x:t>Bon dia, món! (2019)</x:t>
  </x:si>
  <x:si>
    <x:t>Bon Nadal (2005)</x:t>
  </x:si>
  <x:si>
    <x:t>Bon Nadal, Mr. Lawrence (1983)</x:t>
  </x:si>
  <x:si>
    <x:t>Bon Nadal, petit Batman (2023)</x:t>
  </x:si>
  <x:si>
    <x:t>Bona Gent (2020)</x:t>
  </x:si>
  <x:si>
    <x:t>Bona nit i bona sort (2005)</x:t>
  </x:si>
  <x:si>
    <x:t>Bona sort, Leo Grande (2022)</x:t>
  </x:si>
  <x:si>
    <x:t>Bonic i fantàstic (2016)</x:t>
  </x:si>
  <x:si>
    <x:t>Bonnie i Clyde (1967)</x:t>
  </x:si>
  <x:si>
    <x:t>Bonnie i Clyde contra Francis Hamer (2015)</x:t>
  </x:si>
  <x:si>
    <x:t>Bons veïns (2010)</x:t>
  </x:si>
  <x:si>
    <x:t>Boom Boom (1990)</x:t>
  </x:si>
  <x:si>
    <x:t>Boom, crac, boom (2015)</x:t>
  </x:si>
  <x:si>
    <x:t>Borat (2006)</x:t>
  </x:si>
  <x:si>
    <x:t>Border (2018)</x:t>
  </x:si>
  <x:si>
    <x:t>Borderlands (2024)</x:t>
  </x:si>
  <x:si>
    <x:t>Boris Skossyreff, l’estafador que va ser Rei (2025)</x:t>
  </x:si>
  <x:si>
    <x:t>Born (2014)</x:t>
  </x:si>
  <x:si>
    <x:t>Borratxera de poder (2006)</x:t>
  </x:si>
  <x:si>
    <x:t>Borrowed Time [VOSC] (2015)</x:t>
  </x:si>
  <x:si>
    <x:t>Boruto: 11 Naruto, la pel·lícula (2015)</x:t>
  </x:si>
  <x:si>
    <x:t>Bosc d'ombres (The Backwoods) (2006)</x:t>
  </x:si>
  <x:si>
    <x:t>Bòsnia Malferida (2007)</x:t>
  </x:si>
  <x:si>
    <x:t>Boss Level (2020)</x:t>
  </x:si>
  <x:si>
    <x:t>Boudu (2005)</x:t>
  </x:si>
  <x:si>
    <x:t>Boundin' (2003)</x:t>
  </x:si>
  <x:si>
    <x:t>Box 27 (2016)</x:t>
  </x:si>
  <x:si>
    <x:t>Brava (2017)</x:t>
  </x:si>
  <x:si>
    <x:t>Brave (Indomable) (2012)</x:t>
  </x:si>
  <x:si>
    <x:t>Braveheart (1995)</x:t>
  </x:si>
  <x:si>
    <x:t>Breaker Morant [VOSC] (1980)</x:t>
  </x:si>
  <x:si>
    <x:t>Bressols canviats (2017)</x:t>
  </x:si>
  <x:si>
    <x:t>Breu encontre (1945)</x:t>
  </x:si>
  <x:si>
    <x:t>Brick Mansions (2014)</x:t>
  </x:si>
  <x:si>
    <x:t>Bridget Jones: Sobreviuré (2004)</x:t>
  </x:si>
  <x:si>
    <x:t>Bright Star (2009)</x:t>
  </x:si>
  <x:si>
    <x:t>Brillantíssim (2018)</x:t>
  </x:si>
  <x:si>
    <x:t>Brimstone (2016)</x:t>
  </x:si>
  <x:si>
    <x:t>Broadway (2019)</x:t>
  </x:si>
  <x:si>
    <x:t>Broadway Bill (1934)</x:t>
  </x:si>
  <x:si>
    <x:t>Broadway Danny Rose (1984)</x:t>
  </x:si>
  <x:si>
    <x:t>Brokeback Mountain (2005)</x:t>
  </x:si>
  <x:si>
    <x:t>Bronco Billy (1980)</x:t>
  </x:si>
  <x:si>
    <x:t>Brooklyn (2015)</x:t>
  </x:si>
  <x:si>
    <x:t>Brothers (Germans) (2009)</x:t>
  </x:si>
  <x:si>
    <x:t>Bruc. La llegenda (2010)</x:t>
  </x:si>
  <x:si>
    <x:t>Bruce Springsteen And The E Street Band: Live In New York City (2000)</x:t>
  </x:si>
  <x:si>
    <x:t>Bruixes, la gran mentida (2022)</x:t>
  </x:si>
  <x:si>
    <x:t>Brüno (2009)</x:t>
  </x:si>
  <x:si>
    <x:t>Bucarest, la memòria perduda (2008)</x:t>
  </x:si>
  <x:si>
    <x:t>Buchanan cavalca sol (1958)</x:t>
  </x:si>
  <x:si>
    <x:t>Buck i el predicador (1972)</x:t>
  </x:si>
  <x:si>
    <x:t>Buda 2, camí a la il·luminació (2014)</x:t>
  </x:si>
  <x:si>
    <x:t>Buda va explotar de vergonya (2007)</x:t>
  </x:si>
  <x:si>
    <x:t>Buffalo Kids (2024)</x:t>
  </x:si>
  <x:si>
    <x:t>Bugarach (2014)</x:t>
  </x:si>
  <x:si>
    <x:t>Bullitt (1968)</x:t>
  </x:si>
  <x:si>
    <x:t>Bullying (2009)</x:t>
  </x:si>
  <x:si>
    <x:t>Bumerang, o les males maneres (2021)</x:t>
  </x:si>
  <x:si>
    <x:t>Burlesque (2010)</x:t>
  </x:si>
  <x:si>
    <x:t>Bus Stop (1956)</x:t>
  </x:si>
  <x:si>
    <x:t>Buscant el nen de Nagasaki (2020)</x:t>
  </x:si>
  <x:si>
    <x:t>Buscant en Nemo (2003)</x:t>
  </x:si>
  <x:si>
    <x:t>Buscant l'Amanda (2008)</x:t>
  </x:si>
  <x:si>
    <x:t>Buscant l'Eric (2009)</x:t>
  </x:si>
  <x:si>
    <x:t>Buscant l'home perfecte (2008)</x:t>
  </x:si>
  <x:si>
    <x:t>Buscant la Dory (2016)</x:t>
  </x:si>
  <x:si>
    <x:t>Buscant la màgica Doremi (2020)</x:t>
  </x:si>
  <x:si>
    <x:t>Buscant un final feliç (2013)</x:t>
  </x:si>
  <x:si>
    <x:t>Buster, el robatori del segle (1988)</x:t>
  </x:si>
  <x:si>
    <x:t>Bye bye Berlusconi! (2006)</x:t>
  </x:si>
  <x:si>
    <x:t>Bye Bye Monstre (2022)</x:t>
  </x:si>
  <x:si>
    <x:t>Bypass (2012)</x:t>
  </x:si>
  <x:si>
    <x:t>C'est la vie (2017)</x:t>
  </x:si>
  <x:si>
    <x:t>Caça a l'assassí (2015)</x:t>
  </x:si>
  <x:si>
    <x:t>Caça a l'espia (2010)</x:t>
  </x:si>
  <x:si>
    <x:t>Caça humana (2013)</x:t>
  </x:si>
  <x:si>
    <x:t>Caça major (2014)</x:t>
  </x:si>
  <x:si>
    <x:t>Caçador blanc, cor negre (1990)</x:t>
  </x:si>
  <x:si>
    <x:t>Caçador de taurons (2001)</x:t>
  </x:si>
  <x:si>
    <x:t>Caçadors d'ombres: Ciutat d'ossos (2013)</x:t>
  </x:si>
  <x:si>
    <x:t>Caçadors de dracs (2008)</x:t>
  </x:si>
  <x:si>
    <x:t>Caçafantasmes (2016)</x:t>
  </x:si>
  <x:si>
    <x:t>Cada cop que respires (2021)</x:t>
  </x:si>
  <x:si>
    <x:t>Cada dia (2010)</x:t>
  </x:si>
  <x:si>
    <x:t>Cadena de favors (2000)</x:t>
  </x:si>
  <x:si>
    <x:t>Cadena perpètua (1994)</x:t>
  </x:si>
  <x:si>
    <x:t>Cadillac Records (2008)</x:t>
  </x:si>
  <x:si>
    <x:t>Cafarnaüm (2018)</x:t>
  </x:si>
  <x:si>
    <x:t>Cafè de Flore (2011)</x:t>
  </x:si>
  <x:si>
    <x:t>Café Society (2016)</x:t>
  </x:si>
  <x:si>
    <x:t>Cala reial (2003)</x:t>
  </x:si>
  <x:si>
    <x:t>Calfred (2001)</x:t>
  </x:si>
  <x:si>
    <x:t>Calibre 45 (2006)</x:t>
  </x:si>
  <x:si>
    <x:t>California Suite (1978)</x:t>
  </x:si>
  <x:si>
    <x:t>Callback (2016)</x:t>
  </x:si>
  <x:si>
    <x:t>Calma total (1989)</x:t>
  </x:si>
  <x:si>
    <x:t>Cambra obscura (2003)</x:t>
  </x:si>
  <x:si>
    <x:t>Càmera oculta (2007)</x:t>
  </x:si>
  <x:si>
    <x:t>Camí a la llibertat (2010)</x:t>
  </x:si>
  <x:si>
    <x:t>Camí de la forca (1951)</x:t>
  </x:si>
  <x:si>
    <x:t>Camí de perdició (2002)</x:t>
  </x:si>
  <x:si>
    <x:t>Camille Claudel 1915 [VOSC] (2013)</x:t>
  </x:si>
  <x:si>
    <x:t>Camina amb mi (2017)</x:t>
  </x:si>
  <x:si>
    <x:t>Caminant amb dinosaures (2013)</x:t>
  </x:si>
  <x:si>
    <x:t>Caminant entre les tombes (2014)</x:t>
  </x:si>
  <x:si>
    <x:t>Caminant junts (2022)</x:t>
  </x:si>
  <x:si>
    <x:t>Camins de Glòria (1957)</x:t>
  </x:si>
  <x:si>
    <x:t>Camp d'Argelers (2009)</x:t>
  </x:si>
  <x:si>
    <x:t>Camp de batalla: la Terra (2000)</x:t>
  </x:si>
  <x:si>
    <x:t>Camp de somnis (1989)</x:t>
  </x:si>
  <x:si>
    <x:t>Camp Victory, Afganistan (2010)</x:t>
  </x:si>
  <x:si>
    <x:t>Campament base la Lluna (2007)</x:t>
  </x:si>
  <x:si>
    <x:t>Campanes de boda (2016)</x:t>
  </x:si>
  <x:si>
    <x:t>Campaneta i la llegenda de la bèstia (2014)</x:t>
  </x:si>
  <x:si>
    <x:t>Campaneta, fades i pirates (2014)</x:t>
  </x:si>
  <x:si>
    <x:t>Càncer. Investigar dona vida (2025)</x:t>
  </x:si>
  <x:si>
    <x:t>Cançó per a tu (2018)</x:t>
  </x:si>
  <x:si>
    <x:t>Cançons a la vora del pop (2010)</x:t>
  </x:si>
  <x:si>
    <x:t>Cançons per a infants i bestioles (2010)</x:t>
  </x:si>
  <x:si>
    <x:t>Candidata al poder (2000)</x:t>
  </x:si>
  <x:si>
    <x:t>Candy (2006)</x:t>
  </x:si>
  <x:si>
    <x:t>Canet Rock (1976)</x:t>
  </x:si>
  <x:si>
    <x:t>Canet Rock, abans que surti el sol (2025)</x:t>
  </x:si>
  <x:si>
    <x:t>Canigó 1883 (2023)</x:t>
  </x:si>
  <x:si>
    <x:t>Canta (2016)</x:t>
  </x:si>
  <x:si>
    <x:t>Canta 2 (2021)</x:t>
  </x:si>
  <x:si>
    <x:t>Cantant pels terrats (2022)</x:t>
  </x:si>
  <x:si>
    <x:t>Cantant sota la pluja (1952)</x:t>
  </x:si>
  <x:si>
    <x:t>Canvi de guió (2014)</x:t>
  </x:si>
  <x:si>
    <x:t>Canvi de papers (2008)</x:t>
  </x:si>
  <x:si>
    <x:t>Caos (2005)</x:t>
  </x:si>
  <x:si>
    <x:t>Caos tranquil (2008)</x:t>
  </x:si>
  <x:si>
    <x:t>Cap de la mort (2006)</x:t>
  </x:si>
  <x:si>
    <x:t>Cap de magatzem (1916)</x:t>
  </x:si>
  <x:si>
    <x:t>Capità Calçotets (2017)</x:t>
  </x:si>
  <x:si>
    <x:t>Capità Dent de Sabre i el tresor de Lama Rama (2014)</x:t>
  </x:si>
  <x:si>
    <x:t>Capità Escalaborns (1991)</x:t>
  </x:si>
  <x:si>
    <x:t>Capità Fantàstic (2016)</x:t>
  </x:si>
  <x:si>
    <x:t>Capità Harlock (2013)</x:t>
  </x:si>
  <x:si>
    <x:t>Capità Phillips (2013)</x:t>
  </x:si>
  <x:si>
    <x:t>Capitalisme, una història d'amor (2009)</x:t>
  </x:si>
  <x:si>
    <x:t>Capitana Nova (2021)</x:t>
  </x:si>
  <x:si>
    <x:t>Capote (2005)</x:t>
  </x:si>
  <x:si>
    <x:t>Capricorn u (1978)</x:t>
  </x:si>
  <x:si>
    <x:t>Captius (2007)</x:t>
  </x:si>
  <x:si>
    <x:t>Captiva (2012)</x:t>
  </x:si>
  <x:si>
    <x:t>Captivity (2007)</x:t>
  </x:si>
  <x:si>
    <x:t>Caputxeta Vermella, de qui tens por? (2011)</x:t>
  </x:si>
  <x:si>
    <x:t>Cara d'àngel (1952)</x:t>
  </x:si>
  <x:si>
    <x:t>Caracremada (2010)</x:t>
  </x:si>
  <x:si>
    <x:t>Caramel (2007)</x:t>
  </x:si>
  <x:si>
    <x:t>Caravaggio (2007)</x:t>
  </x:si>
  <x:si>
    <x:t>Cares i llocs (2017)</x:t>
  </x:si>
  <x:si>
    <x:t>Cargo (2006)</x:t>
  </x:si>
  <x:si>
    <x:t>Carícies (1998)</x:t>
  </x:si>
  <x:si>
    <x:t>Carinyo, jo soc tu (2017)</x:t>
  </x:si>
  <x:si>
    <x:t>Caríssims fills (2021)</x:t>
  </x:si>
  <x:si>
    <x:t>Carlemany (2016)</x:t>
  </x:si>
  <x:si>
    <x:t>Carles Sabater. No espereu res de mi (2024)</x:t>
  </x:si>
  <x:si>
    <x:t>Carles, príncep de Viana (2001)</x:t>
  </x:si>
  <x:si>
    <x:t>Carmen Jones (1954)</x:t>
  </x:si>
  <x:si>
    <x:t>Carmina Burana, participatiu (2010)</x:t>
  </x:si>
  <x:si>
    <x:t>Carn de neó (2010)</x:t>
  </x:si>
  <x:si>
    <x:t>Carol (2015)</x:t>
  </x:si>
  <x:si>
    <x:t>Carolina s'enamora (2009)</x:t>
  </x:si>
  <x:si>
    <x:t>Carrie (1976)</x:t>
  </x:si>
  <x:si>
    <x:t>Carros de foc (1981)</x:t>
  </x:si>
  <x:si>
    <x:t>Cars I (2006)</x:t>
  </x:si>
  <x:si>
    <x:t>Cars III (2017)</x:t>
  </x:si>
  <x:si>
    <x:t>Carta a Eva (2012)</x:t>
  </x:si>
  <x:si>
    <x:t>Carta blanca (2011)</x:t>
  </x:si>
  <x:si>
    <x:t>Carta d'una desconeguda (1948)</x:t>
  </x:si>
  <x:si>
    <x:t>Carta mortal (2003)</x:t>
  </x:si>
  <x:si>
    <x:t>Cartes a Déu (2010)</x:t>
  </x:si>
  <x:si>
    <x:t>Cartes a Julieta (2010)</x:t>
  </x:si>
  <x:si>
    <x:t>Cartes a Roxane (2018)</x:t>
  </x:si>
  <x:si>
    <x:t>Cartes des d'Iwo Jima [VOSC] (2006)</x:t>
  </x:si>
  <x:si>
    <x:t>Cas Murer: El carnisser de Vílnius (2018)</x:t>
  </x:si>
  <x:si>
    <x:t>Casa en flames (2024)</x:t>
  </x:si>
  <x:si>
    <x:t>Casa't amb mi! (2015)</x:t>
  </x:si>
  <x:si>
    <x:t>Casablanca (1942)</x:t>
  </x:si>
  <x:si>
    <x:t>Casablanca Express (1989)</x:t>
  </x:si>
  <x:si>
    <x:t>Casada amb un estrany (2015)</x:t>
  </x:si>
  <x:si>
    <x:t>Casament per encàrrec (2005)</x:t>
  </x:si>
  <x:si>
    <x:t>Casat amb totes (1992)</x:t>
  </x:si>
  <x:si>
    <x:t>Cases ecològiques (2008)</x:t>
  </x:si>
  <x:si>
    <x:t>Cash (2008)</x:t>
  </x:si>
  <x:si>
    <x:t>Cashback (2006)</x:t>
  </x:si>
  <x:si>
    <x:t>Casino (1995)</x:t>
  </x:si>
  <x:si>
    <x:t>Casino Jack (2010)</x:t>
  </x:si>
  <x:si>
    <x:t>Casino Royale (2006)</x:t>
  </x:si>
  <x:si>
    <x:t>Casper, escola d'ensurts (2006)</x:t>
  </x:si>
  <x:si>
    <x:t>Casper, la primera aventura (1997)</x:t>
  </x:si>
  <x:si>
    <x:t>Cat Ballou (1965)</x:t>
  </x:si>
  <x:si>
    <x:t>Català, punt crític (2026)</x:t>
  </x:si>
  <x:si>
    <x:t>Catalònia, terra de tots. Les tres bessones a la Catalunya real (2009)</x:t>
  </x:si>
  <x:si>
    <x:t>Cataluña - Espanya (2009)</x:t>
  </x:si>
  <x:si>
    <x:t>Catalunya Nord, la llengua enyorada (2020)</x:t>
  </x:si>
  <x:si>
    <x:t>Catalunya, nou estat d'Europa (2012)</x:t>
  </x:si>
  <x:si>
    <x:t>Catalunya, Über Alles! (2011)</x:t>
  </x:si>
  <x:si>
    <x:t>Catch and Release (2006)</x:t>
  </x:si>
  <x:si>
    <x:t>Catfish (2010)</x:t>
  </x:si>
  <x:si>
    <x:t>Catwoman (2004)</x:t>
  </x:si>
  <x:si>
    <x:t>Causa especial 20907/2017 (2018)</x:t>
  </x:si>
  <x:si>
    <x:t>Cava, l'esclat de les bombolles (2025)</x:t>
  </x:si>
  <x:si>
    <x:t>Cavalca amb el diable (1999)</x:t>
  </x:si>
  <x:si>
    <x:t>Cavall de guerra (2011)</x:t>
  </x:si>
  <x:si>
    <x:t>Cavaller (2022)</x:t>
  </x:si>
  <x:si>
    <x:t>Cavernícola (2018)</x:t>
  </x:si>
  <x:si>
    <x:t>Cegada de amor (1994)</x:t>
  </x:si>
  <x:si>
    <x:t>Cel (2008)</x:t>
  </x:si>
  <x:si>
    <x:t>Cementiri yakuza (2002)</x:t>
  </x:si>
  <x:si>
    <x:t>Cendres (2013)</x:t>
  </x:si>
  <x:si>
    <x:t>Cent noies (2000)</x:t>
  </x:si>
  <x:si>
    <x:t>Centaures del desert (1956)</x:t>
  </x:si>
  <x:si>
    <x:t>Cerimònia d'obertura dels Jocs Olímpics d'estiu de 1992 (1992)</x:t>
  </x:si>
  <x:si>
    <x:t>Cèsar ha de morir (2012)</x:t>
  </x:si>
  <x:si>
    <x:t>Cèsar i Cleopatra (1945)</x:t>
  </x:si>
  <x:si>
    <x:t>Cézanne i jo (2016)</x:t>
  </x:si>
  <x:si>
    <x:t>Champagne! (2022)</x:t>
  </x:si>
  <x:si>
    <x:t>Chanson d'amour (2006)</x:t>
  </x:si>
  <x:si>
    <x:t>Chaperone [VOSC] (2024)</x:t>
  </x:si>
  <x:si>
    <x:t>Chaplin (1992)</x:t>
  </x:si>
  <x:si>
    <x:t>Chappie (2015)</x:t>
  </x:si>
  <x:si>
    <x:t>Charlie Brown i Snoopy (2015)</x:t>
  </x:si>
  <x:si>
    <x:t>Charlie Hebdo: Davant dels assassins (2015)</x:t>
  </x:si>
  <x:si>
    <x:t>Charlie i la fàbrica de xocolata (2005)</x:t>
  </x:si>
  <x:si>
    <x:t>Chato, l'apatxe (1972)</x:t>
  </x:si>
  <x:si>
    <x:t>Cher Ami (2008)</x:t>
  </x:si>
  <x:si>
    <x:t>Chéri (2009)</x:t>
  </x:si>
  <x:si>
    <x:t>Cherry Falls (2000)</x:t>
  </x:si>
  <x:si>
    <x:t>Chicken Little (2005)</x:t>
  </x:si>
  <x:si>
    <x:t>Chicken Run (2000)</x:t>
  </x:si>
  <x:si>
    <x:t>Chicken Run: L'albada dels nuggets (2023)</x:t>
  </x:si>
  <x:si>
    <x:t>Chico i Rita (2010)</x:t>
  </x:si>
  <x:si>
    <x:t>Child's Pose (Mare i fill) (2013)</x:t>
  </x:si>
  <x:si>
    <x:t>Chisum (1970)</x:t>
  </x:si>
  <x:si>
    <x:t>Chloe (2009)</x:t>
  </x:si>
  <x:si>
    <x:t>Chocolat (2000)</x:t>
  </x:si>
  <x:si>
    <x:t>Chris el Suís [VOSC] (2018)</x:t>
  </x:si>
  <x:si>
    <x:t>Christine (1983)</x:t>
  </x:si>
  <x:si>
    <x:t>Christopher Reeve, el Superman etern (2024)</x:t>
  </x:si>
  <x:si>
    <x:t>Chronos (1985)</x:t>
  </x:si>
  <x:si>
    <x:t>Chuck Norris contra el comunisme (2015)</x:t>
  </x:si>
  <x:si>
    <x:t>Chuecatown (2007)</x:t>
  </x:si>
  <x:si>
    <x:t>Churchill (2017)</x:t>
  </x:si>
  <x:si>
    <x:t>Cibervenjança (1995)</x:t>
  </x:si>
  <x:si>
    <x:t>Ciència-ficció (2002)</x:t>
  </x:si>
  <x:si>
    <x:t>Cigne negre (2010)</x:t>
  </x:si>
  <x:si>
    <x:t>Cigonyes (2016)</x:t>
  </x:si>
  <x:si>
    <x:t>Cimarron (1960)</x:t>
  </x:si>
  <x:si>
    <x:t>Cims Borrascosos (1939)</x:t>
  </x:si>
  <x:si>
    <x:t>Cinc dies a Saigon (2007)</x:t>
  </x:si>
  <x:si>
    <x:t>Cinc minuts de glòria (2009)</x:t>
  </x:si>
  <x:si>
    <x:t>Cineastes contra magnats (2005)</x:t>
  </x:si>
  <x:si>
    <x:t>Cineastes en acció (2005)</x:t>
  </x:si>
  <x:si>
    <x:t>Cinema Paradiso (1988)</x:t>
  </x:si>
  <x:si>
    <x:t>Cinquanta ombres alliberades (2018)</x:t>
  </x:si>
  <x:si>
    <x:t>Cinquanta ombres d'en Grey (2015)</x:t>
  </x:si>
  <x:si>
    <x:t>Cinquanta-cinc dies a Pequìn (1963)</x:t>
  </x:si>
  <x:si>
    <x:t>Cinturó Negre (1992)</x:t>
  </x:si>
  <x:si>
    <x:t>Cinturó vermell (2008)</x:t>
  </x:si>
  <x:si>
    <x:t>Circuit (2010)</x:t>
  </x:si>
  <x:si>
    <x:t>Circuitry Man (1990)</x:t>
  </x:si>
  <x:si>
    <x:t>Cirkus Columbia (2010)</x:t>
  </x:si>
  <x:si>
    <x:t>Cirlot. La Mirada de Bronwyn (2005)</x:t>
  </x:si>
  <x:si>
    <x:t>Cisjordània, l'altra guerra (2023)</x:t>
  </x:si>
  <x:si>
    <x:t>Cita a cegues (1987)</x:t>
  </x:si>
  <x:si>
    <x:t>Cita d'amor (1939)</x:t>
  </x:si>
  <x:si>
    <x:t>Cita mortal (2021)</x:t>
  </x:si>
  <x:si>
    <x:t>City for Sale (2018)</x:t>
  </x:si>
  <x:si>
    <x:t>City Lights [VOSC] (1931)</x:t>
  </x:si>
  <x:si>
    <x:t>City of Angels (1998)</x:t>
  </x:si>
  <x:si>
    <x:t>City of Ember: A la recerca de la llum (2008)</x:t>
  </x:si>
  <x:si>
    <x:t>Ciutadà Kane [VOSC] (1941)</x:t>
  </x:si>
  <x:si>
    <x:t>Ciutat 44 (2014)</x:t>
  </x:si>
  <x:si>
    <x:t>Ciutat astral (2010)</x:t>
  </x:si>
  <x:si>
    <x:t>Ciutat de vida i mort (2009)</x:t>
  </x:si>
  <x:si>
    <x:t>Ciutat del silenci (2007)</x:t>
  </x:si>
  <x:si>
    <x:t>Ciutat Morta (2014)</x:t>
  </x:si>
  <x:si>
    <x:t>Ciutat Morta (versió no censurada) (2014)</x:t>
  </x:si>
  <x:si>
    <x:t>Ciutat ratolí (2006)</x:t>
  </x:si>
  <x:si>
    <x:t>Clara (2008)</x:t>
  </x:si>
  <x:si>
    <x:t>Clara [VOSC] (2018)</x:t>
  </x:si>
  <x:si>
    <x:t>Clara Campoamor, la dona oblidada (2011)</x:t>
  </x:si>
  <x:si>
    <x:t>Clara Immerwahr (2014)</x:t>
  </x:si>
  <x:si>
    <x:t>Click (2006)</x:t>
  </x:si>
  <x:si>
    <x:t>Clifford: La meva petita gran mascota (2004)</x:t>
  </x:si>
  <x:si>
    <x:t>Climax [VOSC] (2018)</x:t>
  </x:si>
  <x:si>
    <x:t>Clínicament morta (1992)</x:t>
  </x:si>
  <x:si>
    <x:t>Close (2022)</x:t>
  </x:si>
  <x:si>
    <x:t>Closer (2004)</x:t>
  </x:si>
  <x:si>
    <x:t>Club de pares (2020)</x:t>
  </x:si>
  <x:si>
    <x:t>Club Disbauxa (2004)</x:t>
  </x:si>
  <x:si>
    <x:t>Club Winx: L'aventura màgica (2010)</x:t>
  </x:si>
  <x:si>
    <x:t>Cobra (1986)</x:t>
  </x:si>
  <x:si>
    <x:t>Coco, de la rebel·lia a la llegenda de Chanel (2009)</x:t>
  </x:si>
  <x:si>
    <x:t>Coco, el petit drac (2014)</x:t>
  </x:si>
  <x:si>
    <x:t>Cocodril (2000)</x:t>
  </x:si>
  <x:si>
    <x:t>Cocodril Dundee a Los Angeles (2001)</x:t>
  </x:si>
  <x:si>
    <x:t>Cocoon (1985)</x:t>
  </x:si>
  <x:si>
    <x:t>CODA (2019)</x:t>
  </x:si>
  <x:si>
    <x:t>Code 46 [VOSC] (2003)</x:t>
  </x:si>
  <x:si>
    <x:t>Codi 60 (2012)</x:t>
  </x:si>
  <x:si>
    <x:t>Codi font (2011)</x:t>
  </x:si>
  <x:si>
    <x:t>Codi obert (2017)</x:t>
  </x:si>
  <x:si>
    <x:t>Cola, Colita, Colassa (Oda a Barcelona) (2015)</x:t>
  </x:si>
  <x:si>
    <x:t>Cold Mountain (2003)</x:t>
  </x:si>
  <x:si>
    <x:t>Cold War (2018)</x:t>
  </x:si>
  <x:si>
    <x:t>Colette (2018)</x:t>
  </x:si>
  <x:si>
    <x:t>Colla al rescat (2023)</x:t>
  </x:si>
  <x:si>
    <x:t>Col·laboreu amb el vostre xèrif (1969)</x:t>
  </x:si>
  <x:si>
    <x:t>Col·legues al bosc (2006)</x:t>
  </x:si>
  <x:si>
    <x:t>Col·legues al bosc 2 (2008)</x:t>
  </x:si>
  <x:si>
    <x:t>Col·legues al bosc, una aventura de por (2015)</x:t>
  </x:si>
  <x:si>
    <x:t>Colom i la Casa Reial Catalana (2011)</x:t>
  </x:si>
  <x:si>
    <x:t>Colonia (2015)</x:t>
  </x:si>
  <x:si>
    <x:t>Colors vius sobre fons negre (2010)</x:t>
  </x:si>
  <x:si>
    <x:t>Com a casa, enlloc (2008)</x:t>
  </x:si>
  <x:si>
    <x:t>Com bojos... a buscar l'or (2008)</x:t>
  </x:si>
  <x:si>
    <x:t>Com Bruce Lee va canviar el món (2009)</x:t>
  </x:si>
  <x:si>
    <x:t>Com eliminar el seu cap (1980)</x:t>
  </x:si>
  <x:si>
    <x:t>Com ensinistrar un drac (2025)</x:t>
  </x:si>
  <x:si>
    <x:t>Com ensinistrar un drac I (2010)</x:t>
  </x:si>
  <x:si>
    <x:t>Com ensinistrar un drac II (2014)</x:t>
  </x:si>
  <x:si>
    <x:t>Com ensinistrar un drac III (2019)</x:t>
  </x:si>
  <x:si>
    <x:t>Com ensinistrar un drac: El retorn (2019)</x:t>
  </x:si>
  <x:si>
    <x:t>Com es va fer... el retaule del flautista (2012)</x:t>
  </x:si>
  <x:si>
    <x:t>Com gats i gossos (2001)</x:t>
  </x:si>
  <x:si>
    <x:t>Com la vida mateixa (2010)</x:t>
  </x:si>
  <x:si>
    <x:t>Com matar el teu cap I (2011)</x:t>
  </x:si>
  <x:si>
    <x:t>Com matar el teu cap II (2014)</x:t>
  </x:si>
  <x:si>
    <x:t>Com peix a l'aigua (1997)</x:t>
  </x:si>
  <x:si>
    <x:t>Com reines (2016)</x:t>
  </x:si>
  <x:si>
    <x:t>Com saps si... (2010)</x:t>
  </x:si>
  <x:si>
    <x:t>Com un torrent (1958)</x:t>
  </x:si>
  <x:si>
    <x:t>Com un tro en un cel serè (2021)</x:t>
  </x:si>
  <x:si>
    <x:t>Com vaig celebrar la fi del món (2006)</x:t>
  </x:si>
  <x:si>
    <x:t>Comancheria (2016)</x:t>
  </x:si>
  <x:si>
    <x:t>Comandament perdut (1966)</x:t>
  </x:si>
  <x:si>
    <x:t>Comando Pitó (2002)</x:t>
  </x:si>
  <x:si>
    <x:t>Combat al cel (2018)</x:t>
  </x:si>
  <x:si>
    <x:t>Combat trucat (1949)</x:t>
  </x:si>
  <x:si>
    <x:t>Comboi (1978)</x:t>
  </x:si>
  <x:si>
    <x:t>Comediants, amb el sol a la maleta (2013)</x:t>
  </x:si>
  <x:si>
    <x:t>Cómeme el coco, negro (2007)</x:t>
  </x:si>
  <x:si>
    <x:t>Comiat de soltera (2012)</x:t>
  </x:si>
  <x:si>
    <x:t>Companyia perillosa (2015)</x:t>
  </x:si>
  <x:si>
    <x:t>Companys, procés a Catalunya (1979)</x:t>
  </x:si>
  <x:si>
    <x:t>Competència oficial (2021)</x:t>
  </x:si>
  <x:si>
    <x:t>Comportar-se com adults (2019)</x:t>
  </x:si>
  <x:si>
    <x:t>Comprar, llençar, comprar (2010)</x:t>
  </x:si>
  <x:si>
    <x:t>Compromís per festes (2011)</x:t>
  </x:si>
  <x:si>
    <x:t>Compta amb mi (1986)</x:t>
  </x:si>
  <x:si>
    <x:t>Compte amb la família Blue (1994)</x:t>
  </x:si>
  <x:si>
    <x:t>Compte enrere (2010)</x:t>
  </x:si>
  <x:si>
    <x:t>Compte enrere (2019)</x:t>
  </x:si>
  <x:si>
    <x:t>Compte impagat (2018)</x:t>
  </x:si>
  <x:si>
    <x:t>Comptes pendents (1997)</x:t>
  </x:si>
  <x:si>
    <x:t>Comtes. L'origen de Catalunya (2017)</x:t>
  </x:si>
  <x:si>
    <x:t>Conan el destructor (1984)</x:t>
  </x:si>
  <x:si>
    <x:t>Concepción Arenal, la visitadora de presons (2012)</x:t>
  </x:si>
  <x:si>
    <x:t>Concert ''Volem acollir'' (2017)</x:t>
  </x:si>
  <x:si>
    <x:t>Concert 50 Anys Companyia Elèctrica Dharma (2023)</x:t>
  </x:si>
  <x:si>
    <x:t>Concert Búhos 15 Anys (2022)</x:t>
  </x:si>
  <x:si>
    <x:t>Concert Catarres Simfònic: Fins que arribi l'alba (2019)</x:t>
  </x:si>
  <x:si>
    <x:t>Concert comiat Stay Homas (2025)</x:t>
  </x:si>
  <x:si>
    <x:t>Concert Companyia Elèctrica Dharma: recordant Josep Fortuny (2025)</x:t>
  </x:si>
  <x:si>
    <x:t>Concert de Buhos ‘Penedès Sempre dempeus’ a Vilafranca del Penedès (2024)</x:t>
  </x:si>
  <x:si>
    <x:t>Concert de Lluís Llach al Camp Nou (1985)</x:t>
  </x:si>
  <x:si>
    <x:t>Concert de Pau Vallvé a la Sala Apolo (2023)</x:t>
  </x:si>
  <x:si>
    <x:t>Concert del centenari Salvador Espriu (2013)</x:t>
  </x:si>
  <x:si>
    <x:t>Concert Gossos a l'Auditori (2018)</x:t>
  </x:si>
  <x:si>
    <x:t>Concert Homenatge Núria Feliu (2024)</x:t>
  </x:si>
  <x:si>
    <x:t>Concert Leonard Cohen - Barcelona (1993)</x:t>
  </x:si>
  <x:si>
    <x:t>Concert Lluís Llach al Palau Sant Jordi (2021)</x:t>
  </x:si>
  <x:si>
    <x:t>Concert Manel a la sala Apolo (2022)</x:t>
  </x:si>
  <x:si>
    <x:t>Concert Roger Mas 25 anys de Flors (2022)</x:t>
  </x:si>
  <x:si>
    <x:t>Concert The Tyets (2024)</x:t>
  </x:si>
  <x:si>
    <x:t>Concert Tricentenari 1714 - Catalunya 1714 (2014)</x:t>
  </x:si>
  <x:si>
    <x:t>Concert. Andrea Motis i Joan Chamorro Grup al Teatre Coliseum de Barcelona (2011)</x:t>
  </x:si>
  <x:si>
    <x:t>Conclave (2024)</x:t>
  </x:si>
  <x:si>
    <x:t>Condemnats (2013)</x:t>
  </x:si>
  <x:si>
    <x:t>Coneix el seu amant? (2012)</x:t>
  </x:si>
  <x:si>
    <x:t>Coneixent l'Astrid (2018)</x:t>
  </x:si>
  <x:si>
    <x:t>Coneixent la Matsuko (2006)</x:t>
  </x:si>
  <x:si>
    <x:t>Coneixeràs l'home dels teus somnis (2010)</x:t>
  </x:si>
  <x:si>
    <x:t>Confia en mi (2010)</x:t>
  </x:si>
  <x:si>
    <x:t>Confiança cega (2004)</x:t>
  </x:si>
  <x:si>
    <x:t>Confidence (2003)</x:t>
  </x:si>
  <x:si>
    <x:t>Confinament (2010)</x:t>
  </x:si>
  <x:si>
    <x:t>Conflicte d'interessos (1998)</x:t>
  </x:si>
  <x:si>
    <x:t>Confuci (2010)</x:t>
  </x:si>
  <x:si>
    <x:t>Conills, el malson del pagès (2025)</x:t>
  </x:si>
  <x:si>
    <x:t>Connexió Marsella (2014)</x:t>
  </x:si>
  <x:si>
    <x:t>Connexió perillosa (2016)</x:t>
  </x:si>
  <x:si>
    <x:t>Conseqüències (2023)</x:t>
  </x:si>
  <x:si>
    <x:t>Conspiració (1997)</x:t>
  </x:si>
  <x:si>
    <x:t>Conspiració Wander (2020)</x:t>
  </x:si>
  <x:si>
    <x:t>Constantine (2005)</x:t>
  </x:si>
  <x:si>
    <x:t>Construint el canvi (2026)</x:t>
  </x:si>
  <x:si>
    <x:t>Consumits (2016)</x:t>
  </x:si>
  <x:si>
    <x:t>Contact (1997)</x:t>
  </x:si>
  <x:si>
    <x:t>Contagi (2011)</x:t>
  </x:si>
  <x:si>
    <x:t>Conte d'hivern (2014)</x:t>
  </x:si>
  <x:si>
    <x:t>Conte de Nadal (2001)</x:t>
  </x:si>
  <x:si>
    <x:t>Contes de por per explicar-los a les fosques (2019)</x:t>
  </x:si>
  <x:si>
    <x:t>Contra (2020)</x:t>
  </x:si>
  <x:si>
    <x:t>Contra rellotge (2003)</x:t>
  </x:si>
  <x:si>
    <x:t>Contra rellotge (2012)</x:t>
  </x:si>
  <x:si>
    <x:t>Contratemps (2016)</x:t>
  </x:si>
  <x:si>
    <x:t>Control (2007)</x:t>
  </x:si>
  <x:si>
    <x:t>Cookie's Fortune (1999)</x:t>
  </x:si>
  <x:si>
    <x:t>Cop a Hawaii (2004)</x:t>
  </x:si>
  <x:si>
    <x:t>Cop d'efecte (2012)</x:t>
  </x:si>
  <x:si>
    <x:t>Cop d'estat (2015)</x:t>
  </x:si>
  <x:si>
    <x:t>Cop de rock (2012)</x:t>
  </x:si>
  <x:si>
    <x:t>Cop Land (1997)</x:t>
  </x:si>
  <x:si>
    <x:t>Còpia certificada (2010)</x:t>
  </x:si>
  <x:si>
    <x:t>Copiant Beethoven (2006)</x:t>
  </x:si>
  <x:si>
    <x:t>Copycat (1995)</x:t>
  </x:si>
  <x:si>
    <x:t>Cor de tinta (2008)</x:t>
  </x:si>
  <x:si>
    <x:t>Cor de tro (1992)</x:t>
  </x:si>
  <x:si>
    <x:t>Cor gegant [VOSC] (2015)</x:t>
  </x:si>
  <x:si>
    <x:t>Coraline (2009)</x:t>
  </x:si>
  <x:si>
    <x:t>Corgi, les mascotes de la reina (2019)</x:t>
  </x:si>
  <x:si>
    <x:t>Corina, Corina (1994)</x:t>
  </x:si>
  <x:si>
    <x:t>Corporate (2017)</x:t>
  </x:si>
  <x:si>
    <x:t>Corre el rumor... (2005)</x:t>
  </x:si>
  <x:si>
    <x:t>Corredor de fons (2007)</x:t>
  </x:si>
  <x:si>
    <x:t>Corrupció (1968)</x:t>
  </x:si>
  <x:si>
    <x:t>Cors a l'Atlàntida (2001)</x:t>
  </x:si>
  <x:si>
    <x:t>Cors d'acer (2014)</x:t>
  </x:si>
  <x:si>
    <x:t>Cors solitaris (2006)</x:t>
  </x:si>
  <x:si>
    <x:t>Cors valents (2021)</x:t>
  </x:si>
  <x:si>
    <x:t>Cortina esquinçada (1966)</x:t>
  </x:si>
  <x:si>
    <x:t>Corto Maltès (La cort secreta dels arcans) (2002)</x:t>
  </x:si>
  <x:si>
    <x:t>Cos i ànima (1947)</x:t>
  </x:si>
  <x:si>
    <x:t>Coses a fer abans de morir (2020)</x:t>
  </x:si>
  <x:si>
    <x:t>Coses de l'edat (2017)</x:t>
  </x:si>
  <x:si>
    <x:t>Coses que no et vaig dir mai (1996)</x:t>
  </x:si>
  <x:si>
    <x:t>Coses que passen... (2006)</x:t>
  </x:si>
  <x:si>
    <x:t>Cosmopolis (2012)</x:t>
  </x:si>
  <x:si>
    <x:t>Cotxes de segona mà (1980)</x:t>
  </x:si>
  <x:si>
    <x:t>Couleur de peau Miel [VOSC] (2012)</x:t>
  </x:si>
  <x:si>
    <x:t>Country Strong (2010)</x:t>
  </x:si>
  <x:si>
    <x:t>Coure, robatoris i estralls (2025)</x:t>
  </x:si>
  <x:si>
    <x:t>Covards (2008)</x:t>
  </x:si>
  <x:si>
    <x:t>Cowboy (1958)</x:t>
  </x:si>
  <x:si>
    <x:t>Cowboy de Mitjanit (1969)</x:t>
  </x:si>
  <x:si>
    <x:t>Crank (2006)</x:t>
  </x:si>
  <x:si>
    <x:t>Crash (2004)</x:t>
  </x:si>
  <x:si>
    <x:t>Cravan vs Cravan (2002)</x:t>
  </x:si>
  <x:si>
    <x:t>Crazy in love (Bojos d'amor) (2005)</x:t>
  </x:si>
  <x:si>
    <x:t>Creatura (2023)</x:t>
  </x:si>
  <x:si>
    <x:t>Creep (2004)</x:t>
  </x:si>
  <x:si>
    <x:t>Cremat (2015)</x:t>
  </x:si>
  <x:si>
    <x:t>Cremat pel sol (1994)</x:t>
  </x:si>
  <x:si>
    <x:t>Cremeu-ho després de llegir-ho (2008)</x:t>
  </x:si>
  <x:si>
    <x:t>Crepuscle (2008)</x:t>
  </x:si>
  <x:si>
    <x:t>Crescendo (2019)</x:t>
  </x:si>
  <x:si>
    <x:t>Creuant el límit (2010)</x:t>
  </x:si>
  <x:si>
    <x:t>Criatures oblidades pel món (1971)</x:t>
  </x:si>
  <x:si>
    <x:t>Crida llibertat (1987)</x:t>
  </x:si>
  <x:si>
    <x:t>Crim perfecte (1954)</x:t>
  </x:si>
  <x:si>
    <x:t>Crims silenciosos (2017)</x:t>
  </x:si>
  <x:si>
    <x:t>Croades: atrapat al passat (2006)</x:t>
  </x:si>
  <x:si>
    <x:t>Cromosoma 3 (1979)</x:t>
  </x:si>
  <x:si>
    <x:t>Crònica d'un engany (2008)</x:t>
  </x:si>
  <x:si>
    <x:t>Cròniques diplomàtiques (2013)</x:t>
  </x:si>
  <x:si>
    <x:t>Crosby, Stills, Nash &amp; Young a Wembley (1974)</x:t>
  </x:si>
  <x:si>
    <x:t>Cruïlla de camins (2012)</x:t>
  </x:si>
  <x:si>
    <x:t>Crupier (1998)</x:t>
  </x:si>
  <x:si>
    <x:t>Crusader (2005)</x:t>
  </x:si>
  <x:si>
    <x:t>Cry Wolf (2005)</x:t>
  </x:si>
  <x:si>
    <x:t>Cuba (1979)</x:t>
  </x:si>
  <x:si>
    <x:t>Culpa meva (2023)</x:t>
  </x:si>
  <x:si>
    <x:t>Cure [VOSC] (1997)</x:t>
  </x:si>
  <x:si>
    <x:t>Curtcircuit (1986)</x:t>
  </x:si>
  <x:si>
    <x:t>Cut Bank (2014)</x:t>
  </x:si>
  <x:si>
    <x:t>Cypher (2002)</x:t>
  </x:si>
  <x:si>
    <x:t>Cyrano (2021)</x:t>
  </x:si>
  <x:si>
    <x:t>Cyrano de Bergerac (1990)</x:t>
  </x:si>
  <x:si>
    <x:t>D'aquí a l'eternitat (1953)</x:t>
  </x:si>
  <x:si>
    <x:t>D'Artacan i els tres gosqueters (2021)</x:t>
  </x:si>
  <x:si>
    <x:t>Daaaaaalí! (2023)</x:t>
  </x:si>
  <x:si>
    <x:t>Daddy Cool (2017)</x:t>
  </x:si>
  <x:si>
    <x:t>Dagoll Dagom El llegat (2024)</x:t>
  </x:si>
  <x:si>
    <x:t>Dagoll Dagom: L'entrevista (2024)</x:t>
  </x:si>
  <x:si>
    <x:t>Dagon, la secta del mar (2001)</x:t>
  </x:si>
  <x:si>
    <x:t>Dallas Buyers Club (2013)</x:t>
  </x:si>
  <x:si>
    <x:t>Dama per un dia (1933)</x:t>
  </x:si>
  <x:si>
    <x:t>Danny the dog (2005)</x:t>
  </x:si>
  <x:si>
    <x:t>Dansa de la Mort de Verges (2021)</x:t>
  </x:si>
  <x:si>
    <x:t>Danys col·laterals (2002)</x:t>
  </x:si>
  <x:si>
    <x:t>Dark City (1998)</x:t>
  </x:si>
  <x:si>
    <x:t>Darkness (2002)</x:t>
  </x:si>
  <x:si>
    <x:t>Darrere de la veritat (2023)</x:t>
  </x:si>
  <x:si>
    <x:t>Darrere el cor verd (1984)</x:t>
  </x:si>
  <x:si>
    <x:t>Darrere el joc del calamar (2022)</x:t>
  </x:si>
  <x:si>
    <x:t>Darrere la pantalla (1916)</x:t>
  </x:si>
  <x:si>
    <x:t>Darrere la pista del Marsupilami (2012)</x:t>
  </x:si>
  <x:si>
    <x:t>Dave, president per un dia (1993)</x:t>
  </x:si>
  <x:si>
    <x:t>Daybreakers (2009)</x:t>
  </x:si>
  <x:si>
    <x:t>DC Lliga de Supermascotes (2022)</x:t>
  </x:si>
  <x:si>
    <x:t>De 5 a 7 (2014)</x:t>
  </x:si>
  <x:si>
    <x:t>De bèsties i bestioles (1998)</x:t>
  </x:si>
  <x:si>
    <x:t>De boda en boda (2005)</x:t>
  </x:si>
  <x:si>
    <x:t>De camí a l'escola (2013)</x:t>
  </x:si>
  <x:si>
    <x:t>De Déus i homes (2010)</x:t>
  </x:si>
  <x:si>
    <x:t>De Gaulle (2020)</x:t>
  </x:si>
  <x:si>
    <x:t>De l'infern a Texas (1958)</x:t>
  </x:si>
  <x:si>
    <x:t>De la Gran Via al Paral·lel (2008)</x:t>
  </x:si>
  <x:si>
    <x:t>De la superfície a les profunditats de la terra (2015)</x:t>
  </x:si>
  <x:si>
    <x:t>De mare només n'hi ha una (2016)</x:t>
  </x:si>
  <x:si>
    <x:t>De mica en mica s'omple la pica (1984)</x:t>
  </x:si>
  <x:si>
    <x:t>De Nicolas a Sarkozy (2011)</x:t>
  </x:si>
  <x:si>
    <x:t>De pares a filles (2015)</x:t>
  </x:si>
  <x:si>
    <x:t>De què parlem mentre no parlem de tota aquesta merda? (2021)</x:t>
  </x:si>
  <x:si>
    <x:t>De rovell i d'os (2012)</x:t>
  </x:si>
  <x:si>
    <x:t>De sobte, l'estiu passat (1959)</x:t>
  </x:si>
  <x:si>
    <x:t>De tal pare, tal fill (2013)</x:t>
  </x:si>
  <x:si>
    <x:t>De tant bategar se m'ha parat el cor (2005)</x:t>
  </x:si>
  <x:si>
    <x:t>De temps en temps (2009)</x:t>
  </x:si>
  <x:si>
    <x:t>De tornada a casa (2017)</x:t>
  </x:si>
  <x:si>
    <x:t>Dead Man (1995)</x:t>
  </x:si>
  <x:si>
    <x:t>Dead Man Down - La venjança de l'home mort (2013)</x:t>
  </x:si>
  <x:si>
    <x:t>Dead or Alive (2006)</x:t>
  </x:si>
  <x:si>
    <x:t>Dead or Alive: Final (2002)</x:t>
  </x:si>
  <x:si>
    <x:t>Dead Slow Ahead [VOSC] (2015)</x:t>
  </x:si>
  <x:si>
    <x:t>Death Proof (2007)</x:t>
  </x:si>
  <x:si>
    <x:t>Decameró (2020)</x:t>
  </x:si>
  <x:si>
    <x:t>Decisió de marxar (2022)</x:t>
  </x:si>
  <x:si>
    <x:t>Decisió executiva (1996)</x:t>
  </x:si>
  <x:si>
    <x:t>Declaració d'emergència (2021)</x:t>
  </x:si>
  <x:si>
    <x:t>Declaració de guerra (2011)</x:t>
  </x:si>
  <x:si>
    <x:t>Deep Blue (2003)</x:t>
  </x:si>
  <x:si>
    <x:t>Deep Blue Sea (1999)</x:t>
  </x:si>
  <x:si>
    <x:t>Deep Purple - Live In Copenhagen (1972)</x:t>
  </x:si>
  <x:si>
    <x:t>Deep Rising (1998)</x:t>
  </x:si>
  <x:si>
    <x:t>Deepwater horizon (2016)</x:t>
  </x:si>
  <x:si>
    <x:t>Defensant l'enemic (2007)</x:t>
  </x:si>
  <x:si>
    <x:t>Deixa'm entrar (2008)</x:t>
  </x:si>
  <x:si>
    <x:t>Deixa'm viure (2013)</x:t>
  </x:si>
  <x:si>
    <x:t>Deixa't anar! (2017)</x:t>
  </x:si>
  <x:si>
    <x:t>Deixa't estimar (2014)</x:t>
  </x:si>
  <x:si>
    <x:t>Deixa't portar (2006)</x:t>
  </x:si>
  <x:si>
    <x:t>Del migdia a les tres (1976)</x:t>
  </x:si>
  <x:si>
    <x:t>Del revés (2015)</x:t>
  </x:si>
  <x:si>
    <x:t>Del revés 2 (2024)</x:t>
  </x:si>
  <x:si>
    <x:t>Deliciós (2021)</x:t>
  </x:si>
  <x:si>
    <x:t>Delictes i faltes (1989)</x:t>
  </x:si>
  <x:si>
    <x:t>Deliverance (1972)</x:t>
  </x:si>
  <x:si>
    <x:t>Deliverance Creek (2014)</x:t>
  </x:si>
  <x:si>
    <x:t>Demà (2015)</x:t>
  </x:si>
  <x:si>
    <x:t>Demà comença tot (2016)</x:t>
  </x:si>
  <x:si>
    <x:t>Demà, quan comenci la guerra (2010)</x:t>
  </x:si>
  <x:si>
    <x:t>Demolition Man (1993)</x:t>
  </x:si>
  <x:si>
    <x:t>Depredadors de l'espai (1999)</x:t>
  </x:si>
  <x:si>
    <x:t>Dersu Uzala (1975)</x:t>
  </x:si>
  <x:si>
    <x:t>Des de París amb amor (2010)</x:t>
  </x:si>
  <x:si>
    <x:t>Des de Rússia amb amor (1963)</x:t>
  </x:si>
  <x:si>
    <x:t>Des del meu cel (2009)</x:t>
  </x:si>
  <x:si>
    <x:t>Des del Rough (2013)</x:t>
  </x:si>
  <x:si>
    <x:t>Desafiament a Little Tokyo (1991)</x:t>
  </x:si>
  <x:si>
    <x:t>Desafiament total (1990)</x:t>
  </x:si>
  <x:si>
    <x:t>Desafiament total (versió estesa) (2012)</x:t>
  </x:si>
  <x:si>
    <x:t>Desapareguda (2012)</x:t>
  </x:si>
  <x:si>
    <x:t>Desapareguda a Marsella (2020)</x:t>
  </x:si>
  <x:si>
    <x:t>Desapareguts sense rastre (2014)</x:t>
  </x:si>
  <x:si>
    <x:t>Desaparicions (2003)</x:t>
  </x:si>
  <x:si>
    <x:t>Desaparicions (2006)</x:t>
  </x:si>
  <x:si>
    <x:t>Descàrregues assassines (1988)</x:t>
  </x:si>
  <x:si>
    <x:t>Descens a les tenebres (2002)</x:t>
  </x:si>
  <x:si>
    <x:t>Desclassificats (2012)</x:t>
  </x:si>
  <x:si>
    <x:t>Descobrint els Robinsons (2007)</x:t>
  </x:si>
  <x:si>
    <x:t>Descobrir el País de Mai Més (2004)</x:t>
  </x:si>
  <x:si>
    <x:t>Desconnectats (2025)</x:t>
  </x:si>
  <x:si>
    <x:t>Desert (2015)</x:t>
  </x:si>
  <x:si>
    <x:t>Desierto (2015)</x:t>
  </x:si>
  <x:si>
    <x:t>Desitjant estimar (2000)</x:t>
  </x:si>
  <x:si>
    <x:t>Desitjant llibertat (2004)</x:t>
  </x:si>
  <x:si>
    <x:t>Deslliureu-nos del mal (2014)</x:t>
  </x:si>
  <x:si>
    <x:t>Desmembrats (2006)</x:t>
  </x:si>
  <x:si>
    <x:t>Desmuntant Harry (1997)</x:t>
  </x:si>
  <x:si>
    <x:t>Desmuntant Leonardo (2014)</x:t>
  </x:si>
  <x:si>
    <x:t>Despenjant la lluna (2004)</x:t>
  </x:si>
  <x:si>
    <x:t>Desperado (1995)</x:t>
  </x:si>
  <x:si>
    <x:t>Despertant en Ned (1998)</x:t>
  </x:si>
  <x:si>
    <x:t>Despertar (1990)</x:t>
  </x:si>
  <x:si>
    <x:t>Després de la pluja (2007)</x:t>
  </x:si>
  <x:si>
    <x:t>Després de nosaltres (2016)</x:t>
  </x:si>
  <x:si>
    <x:t>Després del casament (2019)</x:t>
  </x:si>
  <x:si>
    <x:t>Després del Maig (2012)</x:t>
  </x:si>
  <x:si>
    <x:t>Destí paradís (2006)</x:t>
  </x:si>
  <x:si>
    <x:t>Destinació final 3 (2006)</x:t>
  </x:si>
  <x:si>
    <x:t>Destinació final 4 (2009)</x:t>
  </x:si>
  <x:si>
    <x:t>Destinació final 5 (2011)</x:t>
  </x:si>
  <x:si>
    <x:t>Destinació Marràqueix (2013)</x:t>
  </x:si>
  <x:si>
    <x:t>Destins (2017)</x:t>
  </x:si>
  <x:si>
    <x:t>Desvelades (2018)</x:t>
  </x:si>
  <x:si>
    <x:t>Desviació (1945)</x:t>
  </x:si>
  <x:si>
    <x:t>Desxifrant l'Enigma (2014)</x:t>
  </x:si>
  <x:si>
    <x:t>Detectiu Conan: Black Iron Mystery Train (2023)</x:t>
  </x:si>
  <x:si>
    <x:t>Detroit (2017)</x:t>
  </x:si>
  <x:si>
    <x:t>Déu meu, però què ens has fet? (2021)</x:t>
  </x:si>
  <x:si>
    <x:t>Déu meu, però què t'hem fet? (2014)</x:t>
  </x:si>
  <x:si>
    <x:t>Déu meu, però què t'hem fet... ara? (2019)</x:t>
  </x:si>
  <x:si>
    <x:t>Deu negrets (1974)</x:t>
  </x:si>
  <x:si>
    <x:t>Deu ser que ningú és perfecte (2006)</x:t>
  </x:si>
  <x:si>
    <x:t>Déu, per què ets tan idiota? (2020)</x:t>
  </x:si>
  <x:si>
    <x:t>Deute de sang (2002)</x:t>
  </x:si>
  <x:si>
    <x:t>Devoció fatal (2021)</x:t>
  </x:si>
  <x:si>
    <x:t>Devotion. Una història d'herois (2022)</x:t>
  </x:si>
  <x:si>
    <x:t>Di Di Hollywood (2010)</x:t>
  </x:si>
  <x:si>
    <x:t>Dia de patriotes (2016)</x:t>
  </x:si>
  <x:si>
    <x:t>Dia de pluja a Nova York (2019)</x:t>
  </x:si>
  <x:si>
    <x:t>Dia i nit (2010)</x:t>
  </x:si>
  <x:si>
    <x:t>Diabolik (2021)</x:t>
  </x:si>
  <x:si>
    <x:t>Diamant de sang (2006)</x:t>
  </x:si>
  <x:si>
    <x:t>Diamanti (2024)</x:t>
  </x:si>
  <x:si>
    <x:t>Diamants per a l'eternitat (1971)</x:t>
  </x:si>
  <x:si>
    <x:t>Diana (2013)</x:t>
  </x:si>
  <x:si>
    <x:t>Diari d'un escàndol (2006)</x:t>
  </x:si>
  <x:si>
    <x:t>Diari d'un executiu agressiu (2006)</x:t>
  </x:si>
  <x:si>
    <x:t>Diari d'un rebel (1995)</x:t>
  </x:si>
  <x:si>
    <x:t>Diari d'una indecisa (2017)</x:t>
  </x:si>
  <x:si>
    <x:t>Diari d'una mainadera (2007)</x:t>
  </x:si>
  <x:si>
    <x:t>Diari d'una nimfòmana (2008)</x:t>
  </x:si>
  <x:si>
    <x:t>Diari de la meva sextorsió (2024)</x:t>
  </x:si>
  <x:si>
    <x:t>Diaz: no netegeu aquesta sang (2012)</x:t>
  </x:si>
  <x:si>
    <x:t>Dictat (2012)</x:t>
  </x:si>
  <x:si>
    <x:t>Didier, el meu fidel amic (1997)</x:t>
  </x:si>
  <x:si>
    <x:t>Dies d'agost (2006)</x:t>
  </x:si>
  <x:si>
    <x:t>Dies de glòria (2006)</x:t>
  </x:si>
  <x:si>
    <x:t>Dies perduts (1945)</x:t>
  </x:si>
  <x:si>
    <x:t>Dieta mediterrània (2009)</x:t>
  </x:si>
  <x:si>
    <x:t>Digimon Adventure: L’última evolució Kizuna (2020)</x:t>
  </x:si>
  <x:si>
    <x:t>Digue'm Noel (2001)</x:t>
  </x:si>
  <x:si>
    <x:t>Digue'm Peter (2004)</x:t>
  </x:si>
  <x:si>
    <x:t>Dilili a París (2018)</x:t>
  </x:si>
  <x:si>
    <x:t>Dimecres boig (1946)</x:t>
  </x:si>
  <x:si>
    <x:t>Diners de sang (2017)</x:t>
  </x:si>
  <x:si>
    <x:t>Diners fàcils (2010)</x:t>
  </x:si>
  <x:si>
    <x:t>Dino Rex (1995)</x:t>
  </x:si>
  <x:si>
    <x:t>Dinosaure (2000)</x:t>
  </x:si>
  <x:si>
    <x:t>Dinosaures (1960)</x:t>
  </x:si>
  <x:si>
    <x:t>Diplodocus (2024)</x:t>
  </x:si>
  <x:si>
    <x:t>Diplomàcia (2014)</x:t>
  </x:si>
  <x:si>
    <x:t>Diré el teu nom (2016)</x:t>
  </x:si>
  <x:si>
    <x:t>Directe a la fama (2009)</x:t>
  </x:si>
  <x:si>
    <x:t>Dirty Dancing (1987)</x:t>
  </x:si>
  <x:si>
    <x:t>Disaster Movie (2008)</x:t>
  </x:si>
  <x:si>
    <x:t>Disco Boy (2023)</x:t>
  </x:si>
  <x:si>
    <x:t>Disparant als gossos (2005)</x:t>
  </x:si>
  <x:si>
    <x:t>Districte 9 (2009)</x:t>
  </x:si>
  <x:si>
    <x:t>Divergent (2014)</x:t>
  </x:si>
  <x:si>
    <x:t>DIX [VOSC] (2008)</x:t>
  </x:si>
  <x:si>
    <x:t>Django desencadenat (2012)</x:t>
  </x:si>
  <x:si>
    <x:t>Django Reinhardt, tres dits genials (2010)</x:t>
  </x:si>
  <x:si>
    <x:t>Doble o res (2012)</x:t>
  </x:si>
  <x:si>
    <x:t>Doble pecat (2009)</x:t>
  </x:si>
  <x:si>
    <x:t>Doble vida (1947)</x:t>
  </x:si>
  <x:si>
    <x:t>Doctor Strangelove (1964)</x:t>
  </x:si>
  <x:si>
    <x:t>Doctor Who El viatge dels condemnats (2007)</x:t>
  </x:si>
  <x:si>
    <x:t>Doctor Zhivago (1965)</x:t>
  </x:si>
  <x:si>
    <x:t>Documental Lluís LLach (2012)</x:t>
  </x:si>
  <x:si>
    <x:t>Dodu, el nen de cartró (2010)</x:t>
  </x:si>
  <x:si>
    <x:t>Dog Soldiers (2002)</x:t>
  </x:si>
  <x:si>
    <x:t>Dogman (2018)</x:t>
  </x:si>
  <x:si>
    <x:t>Dolça venjança (1990)</x:t>
  </x:si>
  <x:si>
    <x:t>Dolores Claiborne: L'ombra d'un crim (1995)</x:t>
  </x:si>
  <x:si>
    <x:t>Dolors de part (2009)</x:t>
  </x:si>
  <x:si>
    <x:t>Don Gat i els seus amics (2011)</x:t>
  </x:si>
  <x:si>
    <x:t>Don Jon (2013)</x:t>
  </x:si>
  <x:si>
    <x:t>Dona blanca soltera busca (1992)</x:t>
  </x:si>
  <x:si>
    <x:t>Dóna'm deu raons (2006)</x:t>
  </x:si>
  <x:si>
    <x:t>Donbass (2018)</x:t>
  </x:si>
  <x:si>
    <x:t>Dones a l'espai (2014)</x:t>
  </x:si>
  <x:si>
    <x:t>Dones al sostre del món (2026)</x:t>
  </x:si>
  <x:si>
    <x:t>Dones de Hamas (2010)</x:t>
  </x:si>
  <x:si>
    <x:t>Dones i homes (1995)</x:t>
  </x:si>
  <x:si>
    <x:t>Dones que no vol ningú (2022)</x:t>
  </x:si>
  <x:si>
    <x:t>Donkey Xote (2007)</x:t>
  </x:si>
  <x:si>
    <x:t>Donnie Brasco (1996)</x:t>
  </x:si>
  <x:si>
    <x:t>Donnie Darko (2001)</x:t>
  </x:si>
  <x:si>
    <x:t>Doomsday el dia del judici (2008)</x:t>
  </x:si>
  <x:si>
    <x:t>Doraemon a la recerca de l'escarabat daurat (2012)</x:t>
  </x:si>
  <x:si>
    <x:t>Doraemon al màgic món de les aus (2001)</x:t>
  </x:si>
  <x:si>
    <x:t>Doraemon al regne dels gossos (2014)</x:t>
  </x:si>
  <x:si>
    <x:t>Doraemon Atlantis: el castell del mal (1983)</x:t>
  </x:si>
  <x:si>
    <x:t>Doraemon i el misteri dels núvols (1992)</x:t>
  </x:si>
  <x:si>
    <x:t>Doraemon i el món perdut (1982)</x:t>
  </x:si>
  <x:si>
    <x:t>Doraemon i el naixement del Japó (2016)</x:t>
  </x:si>
  <x:si>
    <x:t>Doraemon i el petit dinosaure (2006)</x:t>
  </x:si>
  <x:si>
    <x:t>Doraemon i el regne d'en Kibo (2008)</x:t>
  </x:si>
  <x:si>
    <x:t>Doraemon i el regne dels gossos (2014)</x:t>
  </x:si>
  <x:si>
    <x:t>Doraemon i el secret del laberint (1993)</x:t>
  </x:si>
  <x:si>
    <x:t>Doraemon i el tren del temps (1996)</x:t>
  </x:si>
  <x:si>
    <x:t>Doraemon i el viatge a la Xina del passat (1988)</x:t>
  </x:si>
  <x:si>
    <x:t>Doraemon i els cavallers emmascarats (1987)</x:t>
  </x:si>
  <x:si>
    <x:t>Doraemon i els déus del vent (2003)</x:t>
  </x:si>
  <x:si>
    <x:t>Doraemon i els pirates dels Mars del Sud (1998)</x:t>
  </x:si>
  <x:si>
    <x:t>Doraemon i els set mags (2007)</x:t>
  </x:si>
  <x:si>
    <x:t>Doraemon i l'illa del tresor (2018)</x:t>
  </x:si>
  <x:si>
    <x:t>Doraemon i l'Imperi Maia (2000)</x:t>
  </x:si>
  <x:si>
    <x:t>Doraemon i la fàbrica de joguines (1997)</x:t>
  </x:si>
  <x:si>
    <x:t>Doraemon i la gran aventura de l'Antàrtida (2017)</x:t>
  </x:si>
  <x:si>
    <x:t>Doraemon i la Revolució dels Robots (2011)</x:t>
  </x:si>
  <x:si>
    <x:t>Doraemon i les mil i una aventures (1991)</x:t>
  </x:si>
  <x:si>
    <x:t>Doraemon i Nobita Holmes al misteriós Museu del Futur (2013)</x:t>
  </x:si>
  <x:si>
    <x:t>Doraemon The Hero: Pioners de l'espai (2009)</x:t>
  </x:si>
  <x:si>
    <x:t>Doraemon, El dia que vaig néixer (2009)</x:t>
  </x:si>
  <x:si>
    <x:t>Doraemon, el gladiador (2002)</x:t>
  </x:si>
  <x:si>
    <x:t>Doraemon, La llegenda de les sirenes (2010)</x:t>
  </x:si>
  <x:si>
    <x:t>Doraemon, una odissea de l'espai (1999)</x:t>
  </x:si>
  <x:si>
    <x:t>Doraemon: Animal Planet (1990)</x:t>
  </x:si>
  <x:si>
    <x:t>Doraemon: La gran batalla! Gats robot contra gossos robot (2010)</x:t>
  </x:si>
  <x:si>
    <x:t>Doraemon: Records de l'àvia (2000)</x:t>
  </x:si>
  <x:si>
    <x:t>Doraemon: The Space Hero (1981)</x:t>
  </x:si>
  <x:si>
    <x:t>Dorami i els Doraemon en el parc d'atraccions galàctic (2010)</x:t>
  </x:si>
  <x:si>
    <x:t>Dororo (2007)</x:t>
  </x:si>
  <x:si>
    <x:t>Dos a la carretera (1967)</x:t>
  </x:si>
  <x:si>
    <x:t>Dos a la carta (2014)</x:t>
  </x:si>
  <x:si>
    <x:t>Dos amants (2008)</x:t>
  </x:si>
  <x:si>
    <x:t>Dos anys i vuit dies (2017)</x:t>
  </x:si>
  <x:si>
    <x:t>Dos cavalquen junts (1961)</x:t>
  </x:si>
  <x:si>
    <x:t>Dos col·legues al rescat (2015)</x:t>
  </x:si>
  <x:si>
    <x:t>Dos dies, una nit (2014)</x:t>
  </x:si>
  <x:si>
    <x:t>Dos fugitius (2024)</x:t>
  </x:si>
  <x:si>
    <x:t>Dos homes contra l'oest (1971)</x:t>
  </x:si>
  <x:si>
    <x:t>Dos penjats a Chicago (2001)</x:t>
  </x:si>
  <x:si>
    <x:t>Dos policies rebels (1995)</x:t>
  </x:si>
  <x:si>
    <x:t>Dos sogres i un destí (2019)</x:t>
  </x:si>
  <x:si>
    <x:t>Dos són multitud (2022)</x:t>
  </x:si>
  <x:si>
    <x:t>Dos tramvies (2017)</x:t>
  </x:si>
  <x:si>
    <x:t>Dos ximples molt ximples (1994)</x:t>
  </x:si>
  <x:si>
    <x:t>Dotze homes sense pietat (1957)</x:t>
  </x:si>
  <x:si>
    <x:t>Dotze orfes (2021)</x:t>
  </x:si>
  <x:si>
    <x:t>Double Team (1997)</x:t>
  </x:si>
  <x:si>
    <x:t>Dr. Knock (2017)</x:t>
  </x:si>
  <x:si>
    <x:t>Dracs i masmorres (2000)</x:t>
  </x:si>
  <x:si>
    <x:t>Dracs: El regal de la fúria nocturna (2011)</x:t>
  </x:si>
  <x:si>
    <x:t>Dràcula [VOSC] (1958)</x:t>
  </x:si>
  <x:si>
    <x:t>Dràcula Barcelona (2017)</x:t>
  </x:si>
  <x:si>
    <x:t>Dràcula de Bram Stoker (1992)</x:t>
  </x:si>
  <x:si>
    <x:t>Dràcula, príncep de les tenebres (1966)</x:t>
  </x:si>
  <x:si>
    <x:t>Dragon Ball Super: Broly (2018)</x:t>
  </x:si>
  <x:si>
    <x:t>Dragon Ball Super: Super Hero (2022)</x:t>
  </x:si>
  <x:si>
    <x:t>Dragon Ball Z: The Fall of Men [VOSC] (2015)</x:t>
  </x:si>
  <x:si>
    <x:t>Dragon Ball Z. La Resurrecció de 'F' [VOSC] (2015)</x:t>
  </x:si>
  <x:si>
    <x:t>Dragon Hill, el turó del drac (2002)</x:t>
  </x:si>
  <x:si>
    <x:t>Dragonball, Evolution (2009)</x:t>
  </x:si>
  <x:si>
    <x:t>Dragonheart (Cor de drac) (1996)</x:t>
  </x:si>
  <x:si>
    <x:t>Dream Scenario (2023)</x:t>
  </x:si>
  <x:si>
    <x:t>Dream Team: El somni que va canviar el futbol (2016)</x:t>
  </x:si>
  <x:si>
    <x:t>Drive My Car (2021)</x:t>
  </x:si>
  <x:si>
    <x:t>Drive, força màxima (1997)</x:t>
  </x:si>
  <x:si>
    <x:t>Dublinesos (1987)</x:t>
  </x:si>
  <x:si>
    <x:t>Dubte raonable (2014)</x:t>
  </x:si>
  <x:si>
    <x:t>Duel a Diablo (1966)</x:t>
  </x:si>
  <x:si>
    <x:t>Duel a l'alba (1972)</x:t>
  </x:si>
  <x:si>
    <x:t>Duel a les terres altes (1962)</x:t>
  </x:si>
  <x:si>
    <x:t>Duel al Mississipi (1955)</x:t>
  </x:si>
  <x:si>
    <x:t>Duel entre germans La història d'Adidas i Puma (2016)</x:t>
  </x:si>
  <x:si>
    <x:t>Dues dones (1998)</x:t>
  </x:si>
  <x:si>
    <x:t>Dues dones (2017)</x:t>
  </x:si>
  <x:si>
    <x:t>Dues mares perfectes (2013)</x:t>
  </x:si>
  <x:si>
    <x:t>Dues nenes de blau (2014)</x:t>
  </x:si>
  <x:si>
    <x:t>Dues rosses amb pebrots (2004)</x:t>
  </x:si>
  <x:si>
    <x:t>Dues vides (2012)</x:t>
  </x:si>
  <x:si>
    <x:t>Duma (2005)</x:t>
  </x:si>
  <x:si>
    <x:t>Dumbo (1941)</x:t>
  </x:si>
  <x:si>
    <x:t>Dummie la mòmia i l'escarabat d'or (2014)</x:t>
  </x:si>
  <x:si>
    <x:t>Dummie la mòmia i l'esfinx de Shakaba (2015)</x:t>
  </x:si>
  <x:si>
    <x:t>Dumplin' (2018)</x:t>
  </x:si>
  <x:si>
    <x:t>Dune (1984)</x:t>
  </x:si>
  <x:si>
    <x:t>Dune (2021)</x:t>
  </x:si>
  <x:si>
    <x:t>Dune: part dos (2024)</x:t>
  </x:si>
  <x:si>
    <x:t>Dune: part u (2021)</x:t>
  </x:si>
  <x:si>
    <x:t>Dunkerque (2017)</x:t>
  </x:si>
  <x:si>
    <x:t>Duplicity (2009)</x:t>
  </x:si>
  <x:si>
    <x:t>Dur de matar (1990)</x:t>
  </x:si>
  <x:si>
    <x:t>Dur de pelar (1978)</x:t>
  </x:si>
  <x:si>
    <x:t>Durant la tempesta (2018)</x:t>
  </x:si>
  <x:si>
    <x:t>E.S.O. Entitat Sobrenatural Oculta (2009)</x:t>
  </x:si>
  <x:si>
    <x:t>E.T. l'extraterrestre (1982)</x:t>
  </x:si>
  <x:si>
    <x:t>Earwig i la bruixa (2020)</x:t>
  </x:si>
  <x:si>
    <x:t>Ebre, del bressol a la batalla (2016)</x:t>
  </x:si>
  <x:si>
    <x:t>Eclipsi (2010)</x:t>
  </x:si>
  <x:si>
    <x:t>Ed Gein (2000)</x:t>
  </x:si>
  <x:si>
    <x:t>Ed Wood (1994)</x:t>
  </x:si>
  <x:si>
    <x:t>Edison ciutat sense llei (2005)</x:t>
  </x:si>
  <x:si>
    <x:t>EdTV (1999)</x:t>
  </x:si>
  <x:si>
    <x:t>Efectes al llac (2012)</x:t>
  </x:si>
  <x:si>
    <x:t>Efectes secundaris (2013)</x:t>
  </x:si>
  <x:si>
    <x:t>Eiffel (2021)</x:t>
  </x:si>
  <x:si>
    <x:t>Eixir del fang (2025)</x:t>
  </x:si>
  <x:si>
    <x:t>El 'Titanic' el vaixell que no es podia enfonsar (2008)</x:t>
  </x:si>
  <x:si>
    <x:t>El 23-F, des de dins (2001)</x:t>
  </x:si>
  <x:si>
    <x:t>El 47 (2024)</x:t>
  </x:si>
  <x:si>
    <x:t>El Álamo (1960)</x:t>
  </x:si>
  <x:si>
    <x:t>El ball de Nadal (2020)</x:t>
  </x:si>
  <x:si>
    <x:t>El ballarí (Nuréiev, el corb blanc) (2018)</x:t>
  </x:si>
  <x:si>
    <x:t>El balneari de Battle Creek (1994)</x:t>
  </x:si>
  <x:si>
    <x:t>El banc del Dave (2023)</x:t>
  </x:si>
  <x:si>
    <x:t>El bandoler Josey Wales (1976)</x:t>
  </x:si>
  <x:si>
    <x:t>El Barça de Guardiola, un equip campió (2009)</x:t>
  </x:si>
  <x:si>
    <x:t>El baró fantàstic (1962)</x:t>
  </x:si>
  <x:si>
    <x:t>El barò Sardonicus (1961)</x:t>
  </x:si>
  <x:si>
    <x:t>El becari (2015)</x:t>
  </x:si>
  <x:si>
    <x:t>El bell Antonio (1960)</x:t>
  </x:si>
  <x:si>
    <x:t>El Benefactor (2015)</x:t>
  </x:si>
  <x:si>
    <x:t>El blues de Beale Street (2018)</x:t>
  </x:si>
  <x:si>
    <x:t>El bomber (1916)</x:t>
  </x:si>
  <x:si>
    <x:t>El bon cor (2009)</x:t>
  </x:si>
  <x:si>
    <x:t>El bon italià (2023)</x:t>
  </x:si>
  <x:si>
    <x:t>El bon metge (2011)</x:t>
  </x:si>
  <x:si>
    <x:t>El bon patró (2021)</x:t>
  </x:si>
  <x:si>
    <x:t>El bon veí (2021)</x:t>
  </x:si>
  <x:si>
    <x:t>El bosc (2012)</x:t>
  </x:si>
  <x:si>
    <x:t>El bosc de Haquivaqui (2016)</x:t>
  </x:si>
  <x:si>
    <x:t>El bosc dels suïcidis (2016)</x:t>
  </x:si>
  <x:si>
    <x:t>El bosc en perill (1991)</x:t>
  </x:si>
  <x:si>
    <x:t>El bruixot de Samarcanda (2006)</x:t>
  </x:si>
  <x:si>
    <x:t>El bus de la vida (2024)</x:t>
  </x:si>
  <x:si>
    <x:t>El caçador (2010)</x:t>
  </x:si>
  <x:si>
    <x:t>El caçador (2011)</x:t>
  </x:si>
  <x:si>
    <x:t>El caçador d'ocells (2019)</x:t>
  </x:si>
  <x:si>
    <x:t>El caçador de recompenses (2022)</x:t>
  </x:si>
  <x:si>
    <x:t>El caçador de somnis (2003)</x:t>
  </x:si>
  <x:si>
    <x:t>El caçarecompenses (2010)</x:t>
  </x:si>
  <x:si>
    <x:t>El cadàver d'Anna Fritz (2015)</x:t>
  </x:si>
  <x:si>
    <x:t>El cafè de la Marina (2014)</x:t>
  </x:si>
  <x:si>
    <x:t>El Caire confidencial (2017)</x:t>
  </x:si>
  <x:si>
    <x:t>El camí de l'oest (1967)</x:t>
  </x:si>
  <x:si>
    <x:t>El camí de la traïció (1988)</x:t>
  </x:si>
  <x:si>
    <x:t>El camí més llarg per tornar a casa (2014)</x:t>
  </x:si>
  <x:si>
    <x:t>El campió del món (2021)</x:t>
  </x:si>
  <x:si>
    <x:t>El candidat (1972)</x:t>
  </x:si>
  <x:si>
    <x:t>El cant dels ocells (2008)</x:t>
  </x:si>
  <x:si>
    <x:t>El cap (2005)</x:t>
  </x:si>
  <x:si>
    <x:t>El cap de la por (1991)</x:t>
  </x:si>
  <x:si>
    <x:t>El capità Harlock i l'Arcàdia (1982)</x:t>
  </x:si>
  <x:si>
    <x:t>El capità Nemo i la ciutat submergida (1969)</x:t>
  </x:si>
  <x:si>
    <x:t>El capità Zoom i els petits grans herois (2006)</x:t>
  </x:si>
  <x:si>
    <x:t>El capital (2012)</x:t>
  </x:si>
  <x:si>
    <x:t>El cargol i la balena i altres contes del mar (2019)</x:t>
  </x:si>
  <x:si>
    <x:t>El carrer dels solters (2019)</x:t>
  </x:si>
  <x:si>
    <x:t>El carreró del misteri: investigació blanca (2024)</x:t>
  </x:si>
  <x:si>
    <x:t>El carter sempre truca dues vegades (1981)</x:t>
  </x:si>
  <x:si>
    <x:t>El cas Àngelus. La fascinació de Dalí (2024)</x:t>
  </x:si>
  <x:si>
    <x:t>El cas Collini (2019)</x:t>
  </x:si>
  <x:si>
    <x:t>El cas de la Hana i l'Alice (2015)</x:t>
  </x:si>
  <x:si>
    <x:t>El cas dels catalans (2014)</x:t>
  </x:si>
  <x:si>
    <x:t>El cas Farewell (2009)</x:t>
  </x:si>
  <x:si>
    <x:t>El cas Fischer (2014)</x:t>
  </x:si>
  <x:si>
    <x:t>El cas Fritz Bauer (2015)</x:t>
  </x:si>
  <x:si>
    <x:t>El cas Heineken (2015)</x:t>
  </x:si>
  <x:si>
    <x:t>El cas Reiner (2009)</x:t>
  </x:si>
  <x:si>
    <x:t>El cas Slevin (2006)</x:t>
  </x:si>
  <x:si>
    <x:t>El cas Sloane (2016)</x:t>
  </x:si>
  <x:si>
    <x:t>El cas Villa Caprice (2020)</x:t>
  </x:si>
  <x:si>
    <x:t>El cas Wells (2007)</x:t>
  </x:si>
  <x:si>
    <x:t>El casament d'en Nobita i la Shizuka (1999)</x:t>
  </x:si>
  <x:si>
    <x:t>El casament del meu ex (2018)</x:t>
  </x:si>
  <x:si>
    <x:t>El castell a través del mirall (2022)</x:t>
  </x:si>
  <x:si>
    <x:t>El castell al cel (1986)</x:t>
  </x:si>
  <x:si>
    <x:t>El castell ambulant (2004)</x:t>
  </x:si>
  <x:si>
    <x:t>El castell de Cagliostro (1979)</x:t>
  </x:si>
  <x:si>
    <x:t>El castigador (2004)</x:t>
  </x:si>
  <x:si>
    <x:t>El castor (2011)</x:t>
  </x:si>
  <x:si>
    <x:t>El cavall de l'orgull (1980)</x:t>
  </x:si>
  <x:si>
    <x:t>El cavall torinès [VOSC] (2011)</x:t>
  </x:si>
  <x:si>
    <x:t>El cavaller del drac (2020)</x:t>
  </x:si>
  <x:si>
    <x:t>El cavaller fosc (2008)</x:t>
  </x:si>
  <x:si>
    <x:t>El cavaller fosc: la llegenda reneix (2012)</x:t>
  </x:si>
  <x:si>
    <x:t>El cel és de veritat (2014)</x:t>
  </x:si>
  <x:si>
    <x:t>El cel no pot esperar (2001)</x:t>
  </x:si>
  <x:si>
    <x:t>El cel sobre John Lennon i Yoko Ono (2018)</x:t>
  </x:si>
  <x:si>
    <x:t>El centre d'en Jimmy (2014)</x:t>
  </x:si>
  <x:si>
    <x:t>El Ceptre d'Ottokar (1991)</x:t>
  </x:si>
  <x:si>
    <x:t>El Cid: la llegenda (2003)</x:t>
  </x:si>
  <x:si>
    <x:t>El cigne negre (2010)</x:t>
  </x:si>
  <x:si>
    <x:t>El cim (2019)</x:t>
  </x:si>
  <x:si>
    <x:t>El cim (2024)</x:t>
  </x:si>
  <x:si>
    <x:t>El cim de les vídues (1993)</x:t>
  </x:si>
  <x:si>
    <x:t>El cine de Paco (2012)</x:t>
  </x:si>
  <x:si>
    <x:t>El cinquè element (1997)</x:t>
  </x:si>
  <x:si>
    <x:t>El cinquè poder (2013)</x:t>
  </x:si>
  <x:si>
    <x:t>El circ d’en Topets i en Taquetes (2013)</x:t>
  </x:si>
  <x:si>
    <x:t>El client (1994)</x:t>
  </x:si>
  <x:si>
    <x:t>El club de cuina (2020)</x:t>
  </x:si>
  <x:si>
    <x:t>El club de l'odi (2022)</x:t>
  </x:si>
  <x:si>
    <x:t>El club de les abelles reina (Queen Bees) (2021)</x:t>
  </x:si>
  <x:si>
    <x:t>El club de les polseres vermelles. Com va començar tot (2019)</x:t>
  </x:si>
  <x:si>
    <x:t>El club dels divorciats (2020)</x:t>
  </x:si>
  <x:si>
    <x:t>El club dels joves multimilionaris (2018)</x:t>
  </x:si>
  <x:si>
    <x:t>El club dels miracles (2023)</x:t>
  </x:si>
  <x:si>
    <x:t>El club social de Cheyenne (1970)</x:t>
  </x:si>
  <x:si>
    <x:t>El cocodril no em fa por (2018)</x:t>
  </x:si>
  <x:si>
    <x:t>El codi Da Vinci (2006)</x:t>
  </x:si>
  <x:si>
    <x:t>El col·leccionista (1965)</x:t>
  </x:si>
  <x:si>
    <x:t>El col·leccionista (2009)</x:t>
  </x:si>
  <x:si>
    <x:t>El col·leccionista d'ossos (1999)</x:t>
  </x:si>
  <x:si>
    <x:t>El col·lectiu (2023)</x:t>
  </x:si>
  <x:si>
    <x:t>El col·legi d'animals màgics 2: L'origen (2022)</x:t>
  </x:si>
  <x:si>
    <x:t>El col·legi dels animals màgics (2021)</x:t>
  </x:si>
  <x:si>
    <x:t>El color de la nit (1994)</x:t>
  </x:si>
  <x:si>
    <x:t>El color del crim (2006)</x:t>
  </x:si>
  <x:si>
    <x:t>El color porpra (2023)</x:t>
  </x:si>
  <x:si>
    <x:t>El color púrpura (1985)</x:t>
  </x:si>
  <x:si>
    <x:t>El colós en flames (1974)</x:t>
  </x:si>
  <x:si>
    <x:t>El comissari i la nena (2017)</x:t>
  </x:si>
  <x:si>
    <x:t>El complot dels anells (1988)</x:t>
  </x:si>
  <x:si>
    <x:t>El comptable (2016)</x:t>
  </x:si>
  <x:si>
    <x:t>El conductor (2019)</x:t>
  </x:si>
  <x:si>
    <x:t>El consell de guerra del motí del Caine (1988)</x:t>
  </x:si>
  <x:si>
    <x:t>El convidat (2014)</x:t>
  </x:si>
  <x:si>
    <x:t>El cop (1973)</x:t>
  </x:si>
  <x:si>
    <x:t>El cor (2014)</x:t>
  </x:si>
  <x:si>
    <x:t>El cor de l'àngel (1987)</x:t>
  </x:si>
  <x:si>
    <x:t>El cor de l'avi (2023)</x:t>
  </x:si>
  <x:si>
    <x:t>El cor de la terra (2007)</x:t>
  </x:si>
  <x:si>
    <x:t>El cor del roure (2012)</x:t>
  </x:si>
  <x:si>
    <x:t>El corb 2: La ciutat dels àngels (1996)</x:t>
  </x:si>
  <x:si>
    <x:t>El coronel Macià (2006)</x:t>
  </x:si>
  <x:si>
    <x:t>El corral, una festa molt animal (2006)</x:t>
  </x:si>
  <x:si>
    <x:t>El corredor de la mort (1995)</x:t>
  </x:si>
  <x:si>
    <x:t>El cos (2012)</x:t>
  </x:si>
  <x:si>
    <x:t>El cotxe equivocat (2016)</x:t>
  </x:si>
  <x:si>
    <x:t>El cranc de les pinces d'or (1991)</x:t>
  </x:si>
  <x:si>
    <x:t>El crèdit (2020)</x:t>
  </x:si>
  <x:si>
    <x:t>El crepuscle (2000)</x:t>
  </x:si>
  <x:si>
    <x:t>El crim de Georgetown (2019)</x:t>
  </x:si>
  <x:si>
    <x:t>El criminal (2010)</x:t>
  </x:si>
  <x:si>
    <x:t>El cub (1997)</x:t>
  </x:si>
  <x:si>
    <x:t>El cuirassat Potemkin (1925)</x:t>
  </x:si>
  <x:si>
    <x:t>El culpable (2018)</x:t>
  </x:si>
  <x:si>
    <x:t>El curiós cas de Benjamin Button (2008)</x:t>
  </x:si>
  <x:si>
    <x:t>El darrer mestre d'aixa (2011)</x:t>
  </x:si>
  <x:si>
    <x:t>El demà no mor mai (1997)</x:t>
  </x:si>
  <x:si>
    <x:t>El dentista (1996)</x:t>
  </x:si>
  <x:si>
    <x:t>El dentista 2 (1998)</x:t>
  </x:si>
  <x:si>
    <x:t>El desafiament (2015)</x:t>
  </x:si>
  <x:si>
    <x:t>El desafiament de les àguiles (1968)</x:t>
  </x:si>
  <x:si>
    <x:t>El desafiament dels set magnífics (1972)</x:t>
  </x:si>
  <x:si>
    <x:t>El descobriment del cel (2001)</x:t>
  </x:si>
  <x:si>
    <x:t>El desconegut (1946)</x:t>
  </x:si>
  <x:si>
    <x:t>El despertar (1946)</x:t>
  </x:si>
  <x:si>
    <x:t>El despertar (2011)</x:t>
  </x:si>
  <x:si>
    <x:t>El despertar (2020)</x:t>
  </x:si>
  <x:si>
    <x:t>El despertar de l'amor (2005)</x:t>
  </x:si>
  <x:si>
    <x:t>El despertar de la Maria (2022)</x:t>
  </x:si>
  <x:si>
    <x:t>El despit (2009)</x:t>
  </x:si>
  <x:si>
    <x:t>El destí de Júpiter (2015)</x:t>
  </x:si>
  <x:si>
    <x:t>El destí de la Dama Grisa (2013)</x:t>
  </x:si>
  <x:si>
    <x:t>El destí de la Maija (2024)</x:t>
  </x:si>
  <x:si>
    <x:t>El destí de la Nunik (2007)</x:t>
  </x:si>
  <x:si>
    <x:t>El destí de Sissí (1957)</x:t>
  </x:si>
  <x:si>
    <x:t>El destí també juga (1966)</x:t>
  </x:si>
  <x:si>
    <x:t>El detectiu Conan vs. Kaito Kid (2024)</x:t>
  </x:si>
  <x:si>
    <x:t>El detectiu Conan: 1 El gratacel explosiu (1997)</x:t>
  </x:si>
  <x:si>
    <x:t>El detectiu Conan: 10 El rèquiem dels detectius (2006)</x:t>
  </x:si>
  <x:si>
    <x:t>El detectiu Conan: 11 La bandera pirata al fons de l'oceà (2007)</x:t>
  </x:si>
  <x:si>
    <x:t>El detectiu Conan: 12 La partitura de la por (2008)</x:t>
  </x:si>
  <x:si>
    <x:t>El detectiu Conan: 13 El perseguidor negre (2009)</x:t>
  </x:si>
  <x:si>
    <x:t>El detectiu Conan: 14 La nau perduda al cel (2010)</x:t>
  </x:si>
  <x:si>
    <x:t>El detectiu Conan: 15 Quinze minuts de silenci (2011)</x:t>
  </x:si>
  <x:si>
    <x:t>El detectiu Conan: 16 L'onzè davanter (2012)</x:t>
  </x:si>
  <x:si>
    <x:t>El detectiu Conan: 17 El detectiu al mar distant (2013)</x:t>
  </x:si>
  <x:si>
    <x:t>El detectiu Conan: 18 El franctirador dimensional (2014)</x:t>
  </x:si>
  <x:si>
    <x:t>El detectiu Conan: 19 Els gira-sols del foc infernal (2015)</x:t>
  </x:si>
  <x:si>
    <x:t>El detectiu Conan: 2 La catorzena víctima (1998)</x:t>
  </x:si>
  <x:si>
    <x:t>El detectiu Conan: 20 El malson més negre (2016)</x:t>
  </x:si>
  <x:si>
    <x:t>El detectiu Conan: 21 La carta d'amor escarlata (2017)</x:t>
  </x:si>
  <x:si>
    <x:t>El detectiu Conan: 22 El cas Zero (2018)</x:t>
  </x:si>
  <x:si>
    <x:t>El detectiu Conan: 23 El puny de safir blau (2019)</x:t>
  </x:si>
  <x:si>
    <x:t>El detectiu Conan: 24 La bala escarlata (2021)</x:t>
  </x:si>
  <x:si>
    <x:t>El detectiu Conan: 25 La núvia de Halloween (2022)</x:t>
  </x:si>
  <x:si>
    <x:t>El detectiu Conan: 26 Black Iron Submarine (2023)</x:t>
  </x:si>
  <x:si>
    <x:t>El detectiu Conan: 27 The Million Dollar Pentagram (2024)</x:t>
  </x:si>
  <x:si>
    <x:t>El detectiu Conan: 3 L'últim mag del segle (1999)</x:t>
  </x:si>
  <x:si>
    <x:t>El detectiu Conan: 4 Atrapat als seus ulls (2000)</x:t>
  </x:si>
  <x:si>
    <x:t>El detectiu Conan: 5 Compte enrere cap al cel (2001)</x:t>
  </x:si>
  <x:si>
    <x:t>El detectiu Conan: 6 El fantasma de Baker Street (2002)</x:t>
  </x:si>
  <x:si>
    <x:t>El detectiu Conan: 7 cruïlla a l'antiga capital (2003)</x:t>
  </x:si>
  <x:si>
    <x:t>El detectiu Conan: 8 El mag del cel platejat (2004)</x:t>
  </x:si>
  <x:si>
    <x:t>El detectiu Conan: 9 Estratègia sobre les profunditats (2005)</x:t>
  </x:si>
  <x:si>
    <x:t>El detectiu Conan: Black Iron Mystery Train (Especial) (2023)</x:t>
  </x:si>
  <x:si>
    <x:t>El detectiu Conan: Història d'amor a la comissaria (2022)</x:t>
  </x:si>
  <x:si>
    <x:t>El detectiu Conan: The Scarlet Alibi (2021)</x:t>
  </x:si>
  <x:si>
    <x:t>El dia de demà (2004)</x:t>
  </x:si>
  <x:si>
    <x:t>El dia de la bandera (2021)</x:t>
  </x:si>
  <x:si>
    <x:t>El dia de Sant Valentí (2010)</x:t>
  </x:si>
  <x:si>
    <x:t>El dia del dofí (1973)</x:t>
  </x:si>
  <x:si>
    <x:t>El dia del teu casament (2013)</x:t>
  </x:si>
  <x:si>
    <x:t>El dia dels tramposos (1970)</x:t>
  </x:si>
  <x:si>
    <x:t>El diable es vesteix de Prada (2006)</x:t>
  </x:si>
  <x:si>
    <x:t>El diable i jo (1946)</x:t>
  </x:si>
  <x:si>
    <x:t>El diari de Bridget Jones (2001)</x:t>
  </x:si>
  <x:si>
    <x:t>El diari de la Florentina (2014)</x:t>
  </x:si>
  <x:si>
    <x:t>El dimoni sota la pell (2010)</x:t>
  </x:si>
  <x:si>
    <x:t>El discurs de Pau Casals a l'ONU (1971)</x:t>
  </x:si>
  <x:si>
    <x:t>El discurs del rei (2010)</x:t>
  </x:si>
  <x:si>
    <x:t>El doble del diable (2011)</x:t>
  </x:si>
  <x:si>
    <x:t>El doctor T i les dones (2000)</x:t>
  </x:si>
  <x:si>
    <x:t>El domini dels sentits (1996)</x:t>
  </x:si>
  <x:si>
    <x:t>El dormilega (1973)</x:t>
  </x:si>
  <x:si>
    <x:t>El dotze home (2017)</x:t>
  </x:si>
  <x:si>
    <x:t>El Dr. Jekyll i el Sr. Hyde (1920)</x:t>
  </x:si>
  <x:si>
    <x:t>El Dream Team (2016)</x:t>
  </x:si>
  <x:si>
    <x:t>El dret d'escollir (1983)</x:t>
  </x:si>
  <x:si>
    <x:t>El dubte (2008)</x:t>
  </x:si>
  <x:si>
    <x:t>El duc (2020)</x:t>
  </x:si>
  <x:si>
    <x:t>El factor aleatori (1995)</x:t>
  </x:si>
  <x:si>
    <x:t>El falcó i la fletxa (1950)</x:t>
  </x:si>
  <x:si>
    <x:t>El falsificador de passaports (2022)</x:t>
  </x:si>
  <x:si>
    <x:t>El fantasma de Canterville (2018)</x:t>
  </x:si>
  <x:si>
    <x:t>El fantasma de la meva dona (2026)</x:t>
  </x:si>
  <x:si>
    <x:t>El favor (2023)</x:t>
  </x:si>
  <x:si>
    <x:t>El fidel (2017)</x:t>
  </x:si>
  <x:si>
    <x:t>El fill (2022)</x:t>
  </x:si>
  <x:si>
    <x:t>El fill de Bigfoot (2017)</x:t>
  </x:si>
  <x:si>
    <x:t>El fill de Godzilla (1967)</x:t>
  </x:si>
  <x:si>
    <x:t>El fill de la Bridget Jones (2016)</x:t>
  </x:si>
  <x:si>
    <x:t>El fill de la màscara (2005)</x:t>
  </x:si>
  <x:si>
    <x:t>El final de l'idil·li (1999)</x:t>
  </x:si>
  <x:si>
    <x:t>El final de la violència (1997)</x:t>
  </x:si>
  <x:si>
    <x:t>El final del compte enrere (1980)</x:t>
  </x:si>
  <x:si>
    <x:t>El fondant de xocolata (2019)</x:t>
  </x:si>
  <x:si>
    <x:t>El Fòrum (2019)</x:t>
  </x:si>
  <x:si>
    <x:t>El fotògraf de Mauthausen (2018)</x:t>
  </x:si>
  <x:si>
    <x:t>El fotògraf de Minamata (2020)</x:t>
  </x:si>
  <x:si>
    <x:t>El franctirador (2014)</x:t>
  </x:si>
  <x:si>
    <x:t>El franctirador de Donbass (2022)</x:t>
  </x:si>
  <x:si>
    <x:t>El franctirador: El llegat (2014)</x:t>
  </x:si>
  <x:si>
    <x:t>El frau (2011)</x:t>
  </x:si>
  <x:si>
    <x:t>El fred que crema (2022)</x:t>
  </x:si>
  <x:si>
    <x:t>El fugitiu (1993)</x:t>
  </x:si>
  <x:si>
    <x:t>El fundador (2016)</x:t>
  </x:si>
  <x:si>
    <x:t>El Futbol Club de les Feres (2003)</x:t>
  </x:si>
  <x:si>
    <x:t>El Futbol Club de les Feres 2 (2005)</x:t>
  </x:si>
  <x:si>
    <x:t>El Futbol Club de les Feres 3 (2006)</x:t>
  </x:si>
  <x:si>
    <x:t>El Futbol Club de les Feres 4 (2007)</x:t>
  </x:si>
  <x:si>
    <x:t>El Futbol Club de les Feres 5: Més Enllà De L'horitzó (2008)</x:t>
  </x:si>
  <x:si>
    <x:t>El gabinet del Dr. Caligari [VOSC] (1920)</x:t>
  </x:si>
  <x:si>
    <x:t>El gal moribund (2005)</x:t>
  </x:si>
  <x:si>
    <x:t>El gat (2003)</x:t>
  </x:si>
  <x:si>
    <x:t>El gat amb botes (2011)</x:t>
  </x:si>
  <x:si>
    <x:t>El gat amb botes: L'últim desig (2022)</x:t>
  </x:si>
  <x:si>
    <x:t>El gat Tabby i altres històries felines (2023)</x:t>
  </x:si>
  <x:si>
    <x:t>El gendarme de Saint-Tropez (1964)</x:t>
  </x:si>
  <x:si>
    <x:t>El gendarme es casa (1968)</x:t>
  </x:si>
  <x:si>
    <x:t>El gendarme i els extraterrestres (1979)</x:t>
  </x:si>
  <x:si>
    <x:t>El gendarme i les gendarmes (1982)</x:t>
  </x:si>
  <x:si>
    <x:t>El gendarme toca el dos (1970)</x:t>
  </x:si>
  <x:si>
    <x:t>El gènere femení (2011)</x:t>
  </x:si>
  <x:si>
    <x:t>El genet pàl·lid (1985)</x:t>
  </x:si>
  <x:si>
    <x:t>El geperut de Notre Dame (1996)</x:t>
  </x:si>
  <x:si>
    <x:t>El gólem de Limehouse (2016)</x:t>
  </x:si>
  <x:si>
    <x:t>El gos de Baskerville (1988 )</x:t>
  </x:si>
  <x:si>
    <x:t>El gos dels Baskervilles (1959)</x:t>
  </x:si>
  <x:si>
    <x:t>El graduat (1967)</x:t>
  </x:si>
  <x:si>
    <x:t>El gran Albert (2004)</x:t>
  </x:si>
  <x:si>
    <x:t>El gran bany (2018)</x:t>
  </x:si>
  <x:si>
    <x:t>El gran combat (1964)</x:t>
  </x:si>
  <x:si>
    <x:t>El gran comediant (2023)</x:t>
  </x:si>
  <x:si>
    <x:t>El gran cop (2004)</x:t>
  </x:si>
  <x:si>
    <x:t>El gran cop (2012)</x:t>
  </x:si>
  <x:si>
    <x:t>El gran dia (2015)</x:t>
  </x:si>
  <x:si>
    <x:t>El gran dictador [VO] (1940)</x:t>
  </x:si>
  <x:si>
    <x:t>El gran falcó (1991)</x:t>
  </x:si>
  <x:si>
    <x:t>El gran Flamarion (1945)</x:t>
  </x:si>
  <x:si>
    <x:t>El gran Gato (2002)</x:t>
  </x:si>
  <x:si>
    <x:t>El gran Gatsby (2013)</x:t>
  </x:si>
  <x:si>
    <x:t>El gran Lebowski (1998)</x:t>
  </x:si>
  <x:si>
    <x:t>El gran Maurice (2021)</x:t>
  </x:si>
  <x:si>
    <x:t>El gran quadern (2013)</x:t>
  </x:si>
  <x:si>
    <x:t>El gran showman (2017)</x:t>
  </x:si>
  <x:si>
    <x:t>El gran silenci Horta de Sant Joan (2014)</x:t>
  </x:si>
  <x:si>
    <x:t>El gran Stan (2007)</x:t>
  </x:si>
  <x:si>
    <x:t>El gran Vázquez (2010)</x:t>
  </x:si>
  <x:si>
    <x:t>El gras i el prim (2018)</x:t>
  </x:si>
  <x:si>
    <x:t>El Greco (2007)</x:t>
  </x:si>
  <x:si>
    <x:t>El Grinch (2018)</x:t>
  </x:si>
  <x:si>
    <x:t>El Grúfal (2009)</x:t>
  </x:si>
  <x:si>
    <x:t>El guarda del Zoo (2011)</x:t>
  </x:si>
  <x:si>
    <x:t>El guardaespatlles (1992)</x:t>
  </x:si>
  <x:si>
    <x:t>El guru de les bodes (2015)</x:t>
  </x:si>
  <x:si>
    <x:t>El gust de les llavors de poma (2013)</x:t>
  </x:si>
  <x:si>
    <x:t>El Hobbit: La desolació de Smaug [VOSC] (2013)</x:t>
  </x:si>
  <x:si>
    <x:t>El Hòbbit: un viatge inesperat (2012)</x:t>
  </x:si>
  <x:si>
    <x:t>El Iang-tsé en flames (1966)</x:t>
  </x:si>
  <x:si>
    <x:t>El jardí dels Finzi Contini (1970)</x:t>
  </x:si>
  <x:si>
    <x:t>El joc de l'amor (2007)</x:t>
  </x:si>
  <x:si>
    <x:t>El joc de l'Ender (2013)</x:t>
  </x:si>
  <x:si>
    <x:t>El joc de la veritat (2004)</x:t>
  </x:si>
  <x:si>
    <x:t>El joc del penjat (2008)</x:t>
  </x:si>
  <x:si>
    <x:t>El joc dels idiotes (2006)</x:t>
  </x:si>
  <x:si>
    <x:t>El jove Ahmed (2019)</x:t>
  </x:si>
  <x:si>
    <x:t>El jove Frankenstein (1974)</x:t>
  </x:si>
  <x:si>
    <x:t>El judici (2021)</x:t>
  </x:si>
  <x:si>
    <x:t>El Jueves: 46 anys tocant els nassos (2023)</x:t>
  </x:si>
  <x:si>
    <x:t>El jurament (2001)</x:t>
  </x:si>
  <x:si>
    <x:t>El jutge (2014)</x:t>
  </x:si>
  <x:si>
    <x:t>El jutge de les tenebres (1991)</x:t>
  </x:si>
  <x:si>
    <x:t>El jutge Priest (1934)</x:t>
  </x:si>
  <x:si>
    <x:t>El knack... i com aconseguir-lo (1965)</x:t>
  </x:si>
  <x:si>
    <x:t>El Kursk, un submarí en aigües turbulentes (2008)</x:t>
  </x:si>
  <x:si>
    <x:t>El lector (2008)</x:t>
  </x:si>
  <x:si>
    <x:t>El límit de l'amor (2008)</x:t>
  </x:si>
  <x:si>
    <x:t>El llac blau (1980)</x:t>
  </x:si>
  <x:si>
    <x:t>El llac Eden (2008)</x:t>
  </x:si>
  <x:si>
    <x:t>El llaç sagrat (1939)</x:t>
  </x:si>
  <x:si>
    <x:t>El lladre de Bagdad (1940)</x:t>
  </x:si>
  <x:si>
    <x:t>El lladre de paraules (2012)</x:t>
  </x:si>
  <x:si>
    <x:t>El llarg Divendres Sant (1980)</x:t>
  </x:si>
  <x:si>
    <x:t>El llegat (1978)</x:t>
  </x:si>
  <x:si>
    <x:t>El llegat (2023)</x:t>
  </x:si>
  <x:si>
    <x:t>El llegat de la maternitat d'Elna (2007)</x:t>
  </x:si>
  <x:si>
    <x:t>El llibre d'Eli (2010)</x:t>
  </x:si>
  <x:si>
    <x:t>El llibre de la selva (1942)</x:t>
  </x:si>
  <x:si>
    <x:t>El llibre de la selva 2 (2003)</x:t>
  </x:si>
  <x:si>
    <x:t>El llibre de la selva: L'aventura continua (1994)</x:t>
  </x:si>
  <x:si>
    <x:t>El llibre de la selva: xafarranxo a la selva (2013)</x:t>
  </x:si>
  <x:si>
    <x:t>El llibre màgic (2005)</x:t>
  </x:si>
  <x:si>
    <x:t>El llibre negre (2006)</x:t>
  </x:si>
  <x:si>
    <x:t>El lluitador (2008)</x:t>
  </x:si>
  <x:si>
    <x:t>El lotus blau (1991)</x:t>
  </x:si>
  <x:si>
    <x:t>El Madrid Real. La llegenda negra de la glòria blanca (2014)</x:t>
  </x:si>
  <x:si>
    <x:t>El Mago Pop: la il·lusió del Paral·lel (2021)</x:t>
  </x:si>
  <x:si>
    <x:t>El majordom (2013)</x:t>
  </x:si>
  <x:si>
    <x:t>El majordom anglès (2023)</x:t>
  </x:si>
  <x:si>
    <x:t>El making of de La llum d'Elna (2017)</x:t>
  </x:si>
  <x:si>
    <x:t>El mal no existeix (2020)</x:t>
  </x:si>
  <x:si>
    <x:t>El mal que els homes fan (2015)</x:t>
  </x:si>
  <x:si>
    <x:t>El mal son  (2025)</x:t>
  </x:si>
  <x:si>
    <x:t>El malson de la Mandy (2017)</x:t>
  </x:si>
  <x:si>
    <x:t>El malson de Peter Pan (2025)</x:t>
  </x:si>
  <x:si>
    <x:t>El maquinista (2004)</x:t>
  </x:si>
  <x:si>
    <x:t>El maquinista de La General [VOSC] (1926)</x:t>
  </x:si>
  <x:si>
    <x:t>El mar (2000)</x:t>
  </x:si>
  <x:si>
    <x:t>El mar, en suspens (2024)</x:t>
  </x:si>
  <x:si>
    <x:t>El mariner (1915)</x:t>
  </x:si>
  <x:si>
    <x:t>El mariner que va caure en desgràcia del mar (1976)</x:t>
  </x:si>
  <x:si>
    <x:t>El marit de la perruquera (1990)</x:t>
  </x:si>
  <x:si>
    <x:t>El matador (2005)</x:t>
  </x:si>
  <x:si>
    <x:t>El mecànic (2011)</x:t>
  </x:si>
  <x:si>
    <x:t>El medalló (2003)</x:t>
  </x:si>
  <x:si>
    <x:t>El menjar dels déus (1976)</x:t>
  </x:si>
  <x:si>
    <x:t>El mercader de Venècia (2004)</x:t>
  </x:si>
  <x:si>
    <x:t>El Merder 2016 (2016)</x:t>
  </x:si>
  <x:si>
    <x:t>El més important de la vida és no haver mort (2009)</x:t>
  </x:si>
  <x:si>
    <x:t>El Messies de Haendel - Dublin (1992)</x:t>
  </x:si>
  <x:si>
    <x:t>El mestre (1992)</x:t>
  </x:si>
  <x:si>
    <x:t>El mestre de l'aigua (2014)</x:t>
  </x:si>
  <x:si>
    <x:t>El mestre jardiner (2022)</x:t>
  </x:si>
  <x:si>
    <x:t>El mestre que va prometre el mar (2023)</x:t>
  </x:si>
  <x:si>
    <x:t>El metge (2013)</x:t>
  </x:si>
  <x:si>
    <x:t>El mètode Farrer  (2024)</x:t>
  </x:si>
  <x:si>
    <x:t>El mètode Grönholm (2015)</x:t>
  </x:si>
  <x:si>
    <x:t>El Metralla (2021)</x:t>
  </x:si>
  <x:si>
    <x:t>El meu amic el gegant (2016)</x:t>
  </x:si>
  <x:si>
    <x:t>El meu amic Mr. Morgan (2013)</x:t>
  </x:si>
  <x:si>
    <x:t>El meu avi va anar a Cuba. Viatge d’anada i tornada (2024)</x:t>
  </x:si>
  <x:si>
    <x:t>El meu camí interior (2023)</x:t>
  </x:si>
  <x:si>
    <x:t>El meu cosí (2020)</x:t>
  </x:si>
  <x:si>
    <x:t>El meu crim (2023)</x:t>
  </x:si>
  <x:si>
    <x:t>El meu doble als Alps (1967)</x:t>
  </x:si>
  <x:si>
    <x:t>El meu estimat germà (2016)</x:t>
  </x:si>
  <x:si>
    <x:t>El meu fill (2014)</x:t>
  </x:si>
  <x:si>
    <x:t>El meu fill i jo (2011)</x:t>
  </x:si>
  <x:si>
    <x:t>El meu germà és fill únic (2007)</x:t>
  </x:si>
  <x:si>
    <x:t>El meu germà persegueix dinosaures (2019)</x:t>
  </x:si>
  <x:si>
    <x:t>El meu gos és un detectiu (2018)</x:t>
  </x:si>
  <x:si>
    <x:t>El meu millor amic (2006)</x:t>
  </x:si>
  <x:si>
    <x:t>El meu monstre i jo (2007)</x:t>
  </x:si>
  <x:si>
    <x:t>El meu nom és Druillet (2012)</x:t>
  </x:si>
  <x:si>
    <x:t>El meu nòvio és un lladre (2008)</x:t>
  </x:si>
  <x:si>
    <x:t>El meu pare, el meu heroi (1991)</x:t>
  </x:si>
  <x:si>
    <x:t>El meu pare, un turista sexual (2024)</x:t>
  </x:si>
  <x:si>
    <x:t>El meu supergermà (2009)</x:t>
  </x:si>
  <x:si>
    <x:t>El meu veí Totoro (1988)</x:t>
  </x:si>
  <x:si>
    <x:t>El mexicà (2003)</x:t>
  </x:si>
  <x:si>
    <x:t>El mico d'acer (1993)</x:t>
  </x:si>
  <x:si>
    <x:t>El millor (1984)</x:t>
  </x:si>
  <x:si>
    <x:t>El millor de mi (2007)</x:t>
  </x:si>
  <x:si>
    <x:t>El millor dia de la meva vida (2004)</x:t>
  </x:si>
  <x:si>
    <x:t>El millor encara ha de venir (2019)</x:t>
  </x:si>
  <x:si>
    <x:t>El millor per ella (2014)</x:t>
  </x:si>
  <x:si>
    <x:t>El miracle de Henry Poole (2008)</x:t>
  </x:si>
  <x:si>
    <x:t>El miracle de la Dama Grisa (2014)</x:t>
  </x:si>
  <x:si>
    <x:t>El miracle del Hudson (2011)</x:t>
  </x:si>
  <x:si>
    <x:t>El mirall trencat (1980)</x:t>
  </x:si>
  <x:si>
    <x:t>El missatger (1971)</x:t>
  </x:si>
  <x:si>
    <x:t>El missatger (2013)</x:t>
  </x:si>
  <x:si>
    <x:t>El missatger de Varsòvia (2019)</x:t>
  </x:si>
  <x:si>
    <x:t>El missatger del futur (1997)</x:t>
  </x:si>
  <x:si>
    <x:t>El misteri d'El Cavall Cendrós (2020)</x:t>
  </x:si>
  <x:si>
    <x:t>El misteri de Ginostra (2002)</x:t>
  </x:si>
  <x:si>
    <x:t>El misteri de la pedra de Rosetta (2005)</x:t>
  </x:si>
  <x:si>
    <x:t>El misteri del Nil (2005)</x:t>
  </x:si>
  <x:si>
    <x:t>El misteri del pink flamingo (2020)</x:t>
  </x:si>
  <x:si>
    <x:t>El misteri dels pingüins (2018)</x:t>
  </x:si>
  <x:si>
    <x:t>El mite (2005)</x:t>
  </x:si>
  <x:si>
    <x:t>El mitjó màgic (2015)</x:t>
  </x:si>
  <x:si>
    <x:t>El món d'ahir (2022)</x:t>
  </x:si>
  <x:si>
    <x:t>El món de Sofia (1999)</x:t>
  </x:si>
  <x:si>
    <x:t>El món dels perduts (2009)</x:t>
  </x:si>
  <x:si>
    <x:t>El món on volíem viure. Robert Capa, 15 de gener de 1939 (2014)</x:t>
  </x:si>
  <x:si>
    <x:t>El món perdut (1925)</x:t>
  </x:si>
  <x:si>
    <x:t>El món perdut (1998)</x:t>
  </x:si>
  <x:si>
    <x:t>El món prodigiós. Nova York, herois units (2020)</x:t>
  </x:si>
  <x:si>
    <x:t>El monjo (2011)</x:t>
  </x:si>
  <x:si>
    <x:t>El monjo i el rifle (2023)</x:t>
  </x:si>
  <x:si>
    <x:t>El monstre del pou (2007)</x:t>
  </x:si>
  <x:si>
    <x:t>El monstre dels temps remots (1953)</x:t>
  </x:si>
  <x:si>
    <x:t>El monstre marí (2022)</x:t>
  </x:si>
  <x:si>
    <x:t>El mort de la platja (2018)</x:t>
  </x:si>
  <x:si>
    <x:t>El mort i ser feliç (2012)</x:t>
  </x:si>
  <x:si>
    <x:t>El motí del Defiant (1962)</x:t>
  </x:si>
  <x:si>
    <x:t>El motorista fantasma (2007)</x:t>
  </x:si>
  <x:si>
    <x:t>El Nadal d'en Casper (2000)</x:t>
  </x:si>
  <x:si>
    <x:t>El nadal de Fèlix el Gat (2004)</x:t>
  </x:si>
  <x:si>
    <x:t>El Nadal oblidat (2019)</x:t>
  </x:si>
  <x:si>
    <x:t>El nadó en cap (2017)</x:t>
  </x:si>
  <x:si>
    <x:t>El nadó en cap: Negocis de família (2021)</x:t>
  </x:si>
  <x:si>
    <x:t>El naixement d'una nació (1915)</x:t>
  </x:si>
  <x:si>
    <x:t>El nedador (1968)</x:t>
  </x:si>
  <x:si>
    <x:t>El negre té nom (2025)</x:t>
  </x:si>
  <x:si>
    <x:t>El nen 44 (2015)</x:t>
  </x:si>
  <x:si>
    <x:t>El nen de dalt (2012)</x:t>
  </x:si>
  <x:si>
    <x:t>El nen de la bicicleta (2011)</x:t>
  </x:si>
  <x:si>
    <x:t>El nen de Mart (2007)</x:t>
  </x:si>
  <x:si>
    <x:t>El nen del bosc (2023)</x:t>
  </x:si>
  <x:si>
    <x:t>El nen i el món (2013)</x:t>
  </x:si>
  <x:si>
    <x:t>El nen i la bèstia (2015)</x:t>
  </x:si>
  <x:si>
    <x:t>El nen que volia ser un ós (2002)</x:t>
  </x:si>
  <x:si>
    <x:t>El netejador (2007)</x:t>
  </x:si>
  <x:si>
    <x:t>El noi i l'ocell (2023)</x:t>
  </x:si>
  <x:si>
    <x:t>El noi invisible [VOSC] (1957)</x:t>
  </x:si>
  <x:si>
    <x:t>El nom (2017)</x:t>
  </x:si>
  <x:si>
    <x:t>El nom de la gent (2010)</x:t>
  </x:si>
  <x:si>
    <x:t>El nom de la rosa (1986)</x:t>
  </x:si>
  <x:si>
    <x:t>El nostre pare, el venjador dels nazis  (2023)</x:t>
  </x:si>
  <x:si>
    <x:t>El nostre petit gran casament (2023)</x:t>
  </x:si>
  <x:si>
    <x:t>El nostre últim estiu a Escòcia (2014)</x:t>
  </x:si>
  <x:si>
    <x:t>El nou (2023)</x:t>
  </x:si>
  <x:si>
    <x:t>El nou nou testament (2015)</x:t>
  </x:si>
  <x:si>
    <x:t>El nòvio de la meva mare (2007)</x:t>
  </x:si>
  <x:si>
    <x:t>El número 23 (2007)</x:t>
  </x:si>
  <x:si>
    <x:t>El nus del penjat (1952)</x:t>
  </x:si>
  <x:si>
    <x:t>El pacient anglès (1996)</x:t>
  </x:si>
  <x:si>
    <x:t>El pacte (2007)</x:t>
  </x:si>
  <x:si>
    <x:t>El pacte (2011)</x:t>
  </x:si>
  <x:si>
    <x:t>El pacte (2018)</x:t>
  </x:si>
  <x:si>
    <x:t>El pacte (2021)</x:t>
  </x:si>
  <x:si>
    <x:t>El pacte dels estudiants (2018)</x:t>
  </x:si>
  <x:si>
    <x:t>El pacte dels llops (2001)</x:t>
  </x:si>
  <x:si>
    <x:t>El padrastre (2009)</x:t>
  </x:si>
  <x:si>
    <x:t>El padrí I (1972)</x:t>
  </x:si>
  <x:si>
    <x:t>El padrí II (1974)</x:t>
  </x:si>
  <x:si>
    <x:t>El padrí III (1990)</x:t>
  </x:si>
  <x:si>
    <x:t>El país de l'aigua (1992)</x:t>
  </x:si>
  <x:si>
    <x:t>El palau de Putin (2008)</x:t>
  </x:si>
  <x:si>
    <x:t>El palau ideal (2018)</x:t>
  </x:si>
  <x:si>
    <x:t>El pantà (2006)</x:t>
  </x:si>
  <x:si>
    <x:t>El papa o la mama (2015)</x:t>
  </x:si>
  <x:si>
    <x:t>El papa o la mama 2 (2016)</x:t>
  </x:si>
  <x:si>
    <x:t>El Papus, anatomia d'un atemptat (2010)</x:t>
  </x:si>
  <x:si>
    <x:t>El paradís dels assassins (2008)</x:t>
  </x:si>
  <x:si>
    <x:t>El parc màgic (2019)</x:t>
  </x:si>
  <x:si>
    <x:t>El pare (2020)</x:t>
  </x:si>
  <x:si>
    <x:t>El pare de la núvia (2021)</x:t>
  </x:si>
  <x:si>
    <x:t>El partit perfecte (2009)</x:t>
  </x:si>
  <x:si>
    <x:t>El pas del nord-oest (1940)</x:t>
  </x:si>
  <x:si>
    <x:t>El passat (2013)</x:t>
  </x:si>
  <x:si>
    <x:t>El passatger clandestí (1995)</x:t>
  </x:si>
  <x:si>
    <x:t>El passatger de la pluja (1970)</x:t>
  </x:si>
  <x:si>
    <x:t>El passerell (1990)</x:t>
  </x:si>
  <x:si>
    <x:t>El pastís de noces (2010)</x:t>
  </x:si>
  <x:si>
    <x:t>El pati de l'escola (2022)</x:t>
  </x:si>
  <x:si>
    <x:t>El patriota (2000)</x:t>
  </x:si>
  <x:si>
    <x:t>El peix dels desitjos (2012)</x:t>
  </x:si>
  <x:si>
    <x:t>El penya-segat vermell (Versió internacional) (2009)</x:t>
  </x:si>
  <x:si>
    <x:t>El perdó (2000)</x:t>
  </x:si>
  <x:si>
    <x:t>El perdó (2020)</x:t>
  </x:si>
  <x:si>
    <x:t>El perdut (2016)</x:t>
  </x:si>
  <x:si>
    <x:t>El perfum, història d'un assassí (2006)</x:t>
  </x:si>
  <x:si>
    <x:t>El perquè de tot plegat (1995)</x:t>
  </x:si>
  <x:si>
    <x:t>El pes de l'aigua (2001)</x:t>
  </x:si>
  <x:si>
    <x:t>El pes de la sospita (2016)</x:t>
  </x:si>
  <x:si>
    <x:t>El petit brot (2015)</x:t>
  </x:si>
  <x:si>
    <x:t>El petit Buda (1993)</x:t>
  </x:si>
  <x:si>
    <x:t>El petit mag (2013)</x:t>
  </x:si>
  <x:si>
    <x:t>El petit Nicolau (2009)</x:t>
  </x:si>
  <x:si>
    <x:t>El petit peó (2025)</x:t>
  </x:si>
  <x:si>
    <x:t>El Petit Príncep (2015)</x:t>
  </x:si>
  <x:si>
    <x:t>El Petit Príncep, el naixement d'una estrella (2023)</x:t>
  </x:si>
  <x:si>
    <x:t>El petit rei Màtsius (2007)</x:t>
  </x:si>
  <x:si>
    <x:t>El pianista (2002)</x:t>
  </x:si>
  <x:si>
    <x:t>El piano (1993)</x:t>
  </x:si>
  <x:si>
    <x:t>El pinzell màgic (2014)</x:t>
  </x:si>
  <x:si>
    <x:t>El pirata Barbanegra (1952)</x:t>
  </x:si>
  <x:si>
    <x:t>El pirata negre (1926)</x:t>
  </x:si>
  <x:si>
    <x:t>El pla B (2010)</x:t>
  </x:si>
  <x:si>
    <x:t>El planeta del tresor (2002)</x:t>
  </x:si>
  <x:si>
    <x:t>El planeta dels simis (1968)</x:t>
  </x:si>
  <x:si>
    <x:t>El planeta prohibit (1956)</x:t>
  </x:si>
  <x:si>
    <x:t>El plàstic. Un suïcidi col·lectiu? (2023)</x:t>
  </x:si>
  <x:si>
    <x:t>El plat del dia (2009)</x:t>
  </x:si>
  <x:si>
    <x:t>El poder dels diners (2013)</x:t>
  </x:si>
  <x:si>
    <x:t>El pont dels oblidats (2019)</x:t>
  </x:si>
  <x:si>
    <x:t>El pont sobre el riu Kwai (1957)</x:t>
  </x:si>
  <x:si>
    <x:t>El pou (Trucada perduda 2) (2005)</x:t>
  </x:si>
  <x:si>
    <x:t>El pregó (2016)</x:t>
  </x:si>
  <x:si>
    <x:t>El premi (1963)</x:t>
  </x:si>
  <x:si>
    <x:t>El presoner de Zenda (1952)</x:t>
  </x:si>
  <x:si>
    <x:t>El preu de l'èxit (2017)</x:t>
  </x:si>
  <x:si>
    <x:t>El preu de la innocència (2017)</x:t>
  </x:si>
  <x:si>
    <x:t>El preu de la sort (2014)</x:t>
  </x:si>
  <x:si>
    <x:t>El preu de la traïció (2021)</x:t>
  </x:si>
  <x:si>
    <x:t>El preu de la venjança (2022)</x:t>
  </x:si>
  <x:si>
    <x:t>El primer cavaller (1995)</x:t>
  </x:si>
  <x:si>
    <x:t>El primer dia de la meva vida (2023)</x:t>
  </x:si>
  <x:si>
    <x:t>El primer dia de la resta de la teva vida (2008)</x:t>
  </x:si>
  <x:si>
    <x:t>El primer home (2018)</x:t>
  </x:si>
  <x:si>
    <x:t>El princep (2014)</x:t>
  </x:si>
  <x:si>
    <x:t>El príncep (2024)</x:t>
  </x:si>
  <x:si>
    <x:t>El príncep d'Egipte (1998)</x:t>
  </x:si>
  <x:si>
    <x:t>El príncep de les marees (1991)</x:t>
  </x:si>
  <x:si>
    <x:t>El príncep de les tenebres (1987)</x:t>
  </x:si>
  <x:si>
    <x:t>El príncep dels lladres (2006)</x:t>
  </x:si>
  <x:si>
    <x:t>El príncep i el captaire (1977)</x:t>
  </x:si>
  <x:si>
    <x:t>El príncep i jo (2004)</x:t>
  </x:si>
  <x:si>
    <x:t>El príncep i jo 3: Una lluna de mel reial (2008)</x:t>
  </x:si>
  <x:si>
    <x:t>El príncep i jo 4: Una princesa al paradís (2010)</x:t>
  </x:si>
  <x:si>
    <x:t>El príncep i la corista (1957)</x:t>
  </x:si>
  <x:si>
    <x:t>El príncep oblidat (2020)</x:t>
  </x:si>
  <x:si>
    <x:t>El principiant (1990)</x:t>
  </x:si>
  <x:si>
    <x:t>El procés (1962)</x:t>
  </x:si>
  <x:si>
    <x:t>El prodigiós Maurice (2022)</x:t>
  </x:si>
  <x:si>
    <x:t>El professor (2011)</x:t>
  </x:si>
  <x:si>
    <x:t>El professor d'esgrima (2023)</x:t>
  </x:si>
  <x:si>
    <x:t>El professor de persa (2020)</x:t>
  </x:si>
  <x:si>
    <x:t>El professor guillat (1963)</x:t>
  </x:si>
  <x:si>
    <x:t>El professor guillat (1996)</x:t>
  </x:si>
  <x:si>
    <x:t>El projecte Manhattan en color (2025)</x:t>
  </x:si>
  <x:si>
    <x:t>El protector (1985)</x:t>
  </x:si>
  <x:si>
    <x:t>El protector (2013)</x:t>
  </x:si>
  <x:si>
    <x:t>El púding màgic (2000)</x:t>
  </x:si>
  <x:si>
    <x:t>El punt cec (2007)</x:t>
  </x:si>
  <x:si>
    <x:t>El puny de l'estel del nord (1986)</x:t>
  </x:si>
  <x:si>
    <x:t>El quadern d'en Noah (2004)</x:t>
  </x:si>
  <x:si>
    <x:t>El quart pis (1999)</x:t>
  </x:si>
  <x:si>
    <x:t>El quart protocol (1987)</x:t>
  </x:si>
  <x:si>
    <x:t>El quartet (2012)</x:t>
  </x:si>
  <x:si>
    <x:t>El que diuen les roses (2016)</x:t>
  </x:si>
  <x:si>
    <x:t>El que el dia deu a la nit (2012)</x:t>
  </x:si>
  <x:si>
    <x:t>El que és important de debó (2022)</x:t>
  </x:si>
  <x:si>
    <x:t>El que queda del dia (1993)</x:t>
  </x:si>
  <x:si>
    <x:t>El quintet de la mort (1955)</x:t>
  </x:si>
  <x:si>
    <x:t>El racó més espantós de l'infern. Gravacions de la batalla d'Okinawa (2023)</x:t>
  </x:si>
  <x:si>
    <x:t>El raïm de la ira (1940)</x:t>
  </x:si>
  <x:si>
    <x:t>El rastre de la pantera (1954)</x:t>
  </x:si>
  <x:si>
    <x:t>El rastre del delicte (2013)</x:t>
  </x:si>
  <x:si>
    <x:t>El rebel orgullós (1958)</x:t>
  </x:si>
  <x:si>
    <x:t>El record de Marnie (2014)</x:t>
  </x:si>
  <x:si>
    <x:t>El refugi (2009)</x:t>
  </x:si>
  <x:si>
    <x:t>El regal (2015)</x:t>
  </x:si>
  <x:si>
    <x:t>El regal de la Molly Monstre (2016)</x:t>
  </x:si>
  <x:si>
    <x:t>El Regne de les Granotes (2013)</x:t>
  </x:si>
  <x:si>
    <x:t>El regne de les granotes. Missió a l'Àrtic (2016)</x:t>
  </x:si>
  <x:si>
    <x:t>El regne del cel (2005)</x:t>
  </x:si>
  <x:si>
    <x:t>El regne del planeta dels simis (2024)</x:t>
  </x:si>
  <x:si>
    <x:t>El regne prohibit (2008)</x:t>
  </x:si>
  <x:si>
    <x:t>El rei Artús: La llegenda d'Excalibur (2017)</x:t>
  </x:si>
  <x:si>
    <x:t>El rei borni (2016)</x:t>
  </x:si>
  <x:si>
    <x:t>El rei d'Escòcia (2019)</x:t>
  </x:si>
  <x:si>
    <x:t>El rei de Califòrnia (2007)</x:t>
  </x:si>
  <x:si>
    <x:t>El rei de reis (2025)</x:t>
  </x:si>
  <x:si>
    <x:t>El rei del riu (2005)</x:t>
  </x:si>
  <x:si>
    <x:t>El rei dels assassins (2023)</x:t>
  </x:si>
  <x:si>
    <x:t>El rei dels lladres (2018)</x:t>
  </x:si>
  <x:si>
    <x:t>El rei Peret (2022)</x:t>
  </x:si>
  <x:si>
    <x:t>El rei pescador (1991)</x:t>
  </x:si>
  <x:si>
    <x:t>El renascut (2015)</x:t>
  </x:si>
  <x:si>
    <x:t>El repte solar (2025)</x:t>
  </x:si>
  <x:si>
    <x:t>El rescat (2011)</x:t>
  </x:si>
  <x:si>
    <x:t>El rescat bancari secret (2013)</x:t>
  </x:si>
  <x:si>
    <x:t>El rescat secret dels bancs (2013)</x:t>
  </x:si>
  <x:si>
    <x:t>El retaule del flautista (2012)</x:t>
  </x:si>
  <x:si>
    <x:t>El retorn a casa (1940)</x:t>
  </x:si>
  <x:si>
    <x:t>El retorn d'en Doraemon (1998)</x:t>
  </x:si>
  <x:si>
    <x:t>El retorn d'en Jack (1988)</x:t>
  </x:si>
  <x:si>
    <x:t>El retorn d'Ulisses (2024)</x:t>
  </x:si>
  <x:si>
    <x:t>El retorn de Batman (1992)</x:t>
  </x:si>
  <x:si>
    <x:t>El retorn de l'heroi (2018)</x:t>
  </x:si>
  <x:si>
    <x:t>El retorn de Sopa de Cabra Palau Sant Jordi 2011 (2011)</x:t>
  </x:si>
  <x:si>
    <x:t>El retorn del Ben (2018)</x:t>
  </x:si>
  <x:si>
    <x:t>El retorn dels Set Magnífics (1966)</x:t>
  </x:si>
  <x:si>
    <x:t>El retrobament (2016)</x:t>
  </x:si>
  <x:si>
    <x:t>El ritu (2011)</x:t>
  </x:si>
  <x:si>
    <x:t>El riu de la ira (2022)</x:t>
  </x:si>
  <x:si>
    <x:t>El riu glaçat (2008)</x:t>
  </x:si>
  <x:si>
    <x:t>El riu que ens porta (2012)</x:t>
  </x:si>
  <x:si>
    <x:t>El rodamon (1915)</x:t>
  </x:si>
  <x:si>
    <x:t>El sabater (2014)</x:t>
  </x:si>
  <x:si>
    <x:t>El sabor de la síndria (2005)</x:t>
  </x:si>
  <x:si>
    <x:t>El sabor de les coses simples (2022)</x:t>
  </x:si>
  <x:si>
    <x:t>El salt a la fortuna (2012)</x:t>
  </x:si>
  <x:si>
    <x:t>El salvatge (1953)</x:t>
  </x:si>
  <x:si>
    <x:t>El samurai sense nom (2007)</x:t>
  </x:si>
  <x:si>
    <x:t>El sastre de la màfia (2022)</x:t>
  </x:si>
  <x:si>
    <x:t>El sastre de Panamà (2001)</x:t>
  </x:si>
  <x:si>
    <x:t>El secret d'Adaline (2015)</x:t>
  </x:si>
  <x:si>
    <x:t>El secret d'una obsessió (2015)</x:t>
  </x:si>
  <x:si>
    <x:t>El secret de Kells (2008)</x:t>
  </x:si>
  <x:si>
    <x:t>El secret de l'última lluna (2008)</x:t>
  </x:si>
  <x:si>
    <x:t>El secret de l'Unicorn (1991)</x:t>
  </x:si>
  <x:si>
    <x:t>El secret de la nit (2014)</x:t>
  </x:si>
  <x:si>
    <x:t>El secret de la Vicky (2021)</x:t>
  </x:si>
  <x:si>
    <x:t>El secret de les abelles (2018)</x:t>
  </x:si>
  <x:si>
    <x:t>El secret de Thomas Crown (1999)</x:t>
  </x:si>
  <x:si>
    <x:t>El secret del senyor Rice (2000)</x:t>
  </x:si>
  <x:si>
    <x:t>El secret dels 24 esglaons (2012)</x:t>
  </x:si>
  <x:si>
    <x:t>El secret dels germans Grimm (2005)</x:t>
  </x:si>
  <x:si>
    <x:t>El segon nom (2002)</x:t>
  </x:si>
  <x:si>
    <x:t>El segrest de Daniel Rye (2019)</x:t>
  </x:si>
  <x:si>
    <x:t>El segrest de Núria (2017)</x:t>
  </x:si>
  <x:si>
    <x:t>El seguici (2015)</x:t>
  </x:si>
  <x:si>
    <x:t>El sentit d'un final (2017)</x:t>
  </x:si>
  <x:si>
    <x:t>El senyal (2014)</x:t>
  </x:si>
  <x:si>
    <x:t>El senyor de la guerra (2005)</x:t>
  </x:si>
  <x:si>
    <x:t>El senyor dels anells (1978)</x:t>
  </x:si>
  <x:si>
    <x:t>El senyor dels anells: A la recerca de'n Gòl·lum [VOSC] (2009)</x:t>
  </x:si>
  <x:si>
    <x:t>El senyor dels anells: el retorn del rei (2003)</x:t>
  </x:si>
  <x:si>
    <x:t>El senyor dels anells: la germandat de l'anell (2001)</x:t>
  </x:si>
  <x:si>
    <x:t>El senyor dels anells: les dues torres (2002)</x:t>
  </x:si>
  <x:si>
    <x:t>El senyor dels anells: Nascut de l’esperança. [VOSC] (2009)</x:t>
  </x:si>
  <x:si>
    <x:t>El senyor dels desitjos I (1997)</x:t>
  </x:si>
  <x:si>
    <x:t>El senyor dels desitjos II El mal no mor mai (1999)</x:t>
  </x:si>
  <x:si>
    <x:t>El senyor i la senyora Smith (2005)</x:t>
  </x:si>
  <x:si>
    <x:t>El senyor Jones (2019)</x:t>
  </x:si>
  <x:si>
    <x:t>El sergent de ferro (1986)</x:t>
  </x:si>
  <x:si>
    <x:t>El sergent York (1941)</x:t>
  </x:si>
  <x:si>
    <x:t>El setè de cavalleria (1956)</x:t>
  </x:si>
  <x:si>
    <x:t>El setè nan (2014)</x:t>
  </x:si>
  <x:si>
    <x:t>El setè segell [VOSC] (1957)</x:t>
  </x:si>
  <x:si>
    <x:t>El seu nom és Sabine [VOSC] (2007)</x:t>
  </x:si>
  <x:si>
    <x:t>El sexe dels àngels (2012)</x:t>
  </x:si>
  <x:si>
    <x:t>El sicari de Déu (2011)</x:t>
  </x:si>
  <x:si>
    <x:t>El silenci abans de Bach (2007)</x:t>
  </x:si>
  <x:si>
    <x:t>El silenci del pantà (2019)</x:t>
  </x:si>
  <x:si>
    <x:t>El silenci dels anyells (1991)</x:t>
  </x:si>
  <x:si>
    <x:t>El silenci dels espies (2021)</x:t>
  </x:si>
  <x:si>
    <x:t>El sisé sentit (1999)</x:t>
  </x:si>
  <x:si>
    <x:t>El soldat (1998)</x:t>
  </x:si>
  <x:si>
    <x:t>El soldat de Déu (2011)</x:t>
  </x:si>
  <x:si>
    <x:t>El somni (2008)</x:t>
  </x:si>
  <x:si>
    <x:t>El somni (2014)</x:t>
  </x:si>
  <x:si>
    <x:t>El somni aconseguit (2017)</x:t>
  </x:si>
  <x:si>
    <x:t>El somni català (2015)</x:t>
  </x:si>
  <x:si>
    <x:t>El somni d'una nit de Sant Joan (2005)</x:t>
  </x:si>
  <x:si>
    <x:t>El somni de Cassandra (2007)</x:t>
  </x:si>
  <x:si>
    <x:t>El somni de la Gabrielle (2016)</x:t>
  </x:si>
  <x:si>
    <x:t>El somni de la Harriet (2011)</x:t>
  </x:si>
  <x:si>
    <x:t>El somriure de la Mona Lisa (2003)</x:t>
  </x:si>
  <x:si>
    <x:t>El sopar (2017)</x:t>
  </x:si>
  <x:si>
    <x:t>El sopar dels idiotes (1998)</x:t>
  </x:si>
  <x:si>
    <x:t>El sopar dels idiotes (2023)</x:t>
  </x:si>
  <x:si>
    <x:t>El sopar guai de mames (2017)</x:t>
  </x:si>
  <x:si>
    <x:t>El sopar perfecte (2022)</x:t>
  </x:si>
  <x:si>
    <x:t>El Sostre Groc (2022)</x:t>
  </x:si>
  <x:si>
    <x:t>El Sr. Turner (2014)</x:t>
  </x:si>
  <x:si>
    <x:t>El submarí atòmic (1959)</x:t>
  </x:si>
  <x:si>
    <x:t>El super cangur (2010)</x:t>
  </x:si>
  <x:si>
    <x:t>El Superpoli a Las Vegas (2015)</x:t>
  </x:si>
  <x:si>
    <x:t>El superpoli del centre comercial (2009)</x:t>
  </x:si>
  <x:si>
    <x:t>El supervivent (2021)</x:t>
  </x:si>
  <x:si>
    <x:t>El swing de la Feliu (2024)</x:t>
  </x:si>
  <x:si>
    <x:t>El tallador de gespa (1992)</x:t>
  </x:si>
  <x:si>
    <x:t>El tallador de gespa 2: Més enllà del ciberespai (1996)</x:t>
  </x:si>
  <x:si>
    <x:t>El talp (2011)</x:t>
  </x:si>
  <x:si>
    <x:t>El tast de vins (2022)</x:t>
  </x:si>
  <x:si>
    <x:t>El tauró de l'Spielberg (2024)</x:t>
  </x:si>
  <x:si>
    <x:t>El taxista ful (2005)</x:t>
  </x:si>
  <x:si>
    <x:t>El Tchadar el camí del gel (1990)</x:t>
  </x:si>
  <x:si>
    <x:t>El temible burleta (1952)</x:t>
  </x:si>
  <x:si>
    <x:t>El temple del Sol (1991)</x:t>
  </x:si>
  <x:si>
    <x:t>El temps amb tu (2019)</x:t>
  </x:si>
  <x:si>
    <x:t>El temps i els Conway (1993)</x:t>
  </x:si>
  <x:si>
    <x:t>El temps que queda (2005)</x:t>
  </x:si>
  <x:si>
    <x:t>El tercer home (1949)</x:t>
  </x:si>
  <x:si>
    <x:t>El territori de la bèstia (2007)</x:t>
  </x:si>
  <x:si>
    <x:t>El terror (1963)</x:t>
  </x:si>
  <x:si>
    <x:t>El testament de la Rosa (2015)</x:t>
  </x:si>
  <x:si>
    <x:t>El testament del Dr. Mabuse [VOSC] (1933)</x:t>
  </x:si>
  <x:si>
    <x:t>El teu color (2024)</x:t>
  </x:si>
  <x:si>
    <x:t>El teu Nadal o el meu 2 (2023)</x:t>
  </x:si>
  <x:si>
    <x:t>El tigre i la neu (2005)</x:t>
  </x:si>
  <x:si>
    <x:t>El tigre sense ratlles (2018)</x:t>
  </x:si>
  <x:si>
    <x:t>El tram final (2016)</x:t>
  </x:si>
  <x:si>
    <x:t>El trànsfuga (2003)</x:t>
  </x:si>
  <x:si>
    <x:t>El tren (1964)</x:t>
  </x:si>
  <x:si>
    <x:t>El tren de les tres i deu (2007)</x:t>
  </x:si>
  <x:si>
    <x:t>El tren del terror (1980)</x:t>
  </x:si>
  <x:si>
    <x:t>El tren dels espies (1979)</x:t>
  </x:si>
  <x:si>
    <x:t>El trencanous (2010)</x:t>
  </x:si>
  <x:si>
    <x:t>El tresor de Barracuda (2025)</x:t>
  </x:si>
  <x:si>
    <x:t>El tresor de Curly (1994)</x:t>
  </x:si>
  <x:si>
    <x:t>El Tresor de Rackham el Roig (1991)</x:t>
  </x:si>
  <x:si>
    <x:t>El triangle de la tristesa (2022)</x:t>
  </x:si>
  <x:si>
    <x:t>El triangle de les Bermudes (1996)</x:t>
  </x:si>
  <x:si>
    <x:t>El triomf (2020)</x:t>
  </x:si>
  <x:si>
    <x:t>El triomf de l'amor (2001)</x:t>
  </x:si>
  <x:si>
    <x:t>El tro blau (1983)</x:t>
  </x:si>
  <x:si>
    <x:t>El truc final (2006)</x:t>
  </x:si>
  <x:si>
    <x:t>El túnel dels desitjos (2022)</x:t>
  </x:si>
  <x:si>
    <x:t>El turista (2010)</x:t>
  </x:si>
  <x:si>
    <x:t>El turó de les roselles (2011)</x:t>
  </x:si>
  <x:si>
    <x:t>El vaixell de l'amor (2024)</x:t>
  </x:si>
  <x:si>
    <x:t>El valent Despereaux (2008)</x:t>
  </x:si>
  <x:si>
    <x:t>El vel pintat (2006)</x:t>
  </x:si>
  <x:si>
    <x:t>El veler (2018)</x:t>
  </x:si>
  <x:si>
    <x:t>El vell Henry (2021)</x:t>
  </x:si>
  <x:si>
    <x:t>El vell i la mar (1958)</x:t>
  </x:si>
  <x:si>
    <x:t>El vell i la pistola (2018)</x:t>
  </x:si>
  <x:si>
    <x:t>El vendedor de tabac (2018)</x:t>
  </x:si>
  <x:si>
    <x:t>El venedor de tabac (2018)</x:t>
  </x:si>
  <x:si>
    <x:t>El venjador tòxic (2023)</x:t>
  </x:si>
  <x:si>
    <x:t>El vent entre les canyes (2017)</x:t>
  </x:si>
  <x:si>
    <x:t>El vent s'aixeca (2013)</x:t>
  </x:si>
  <x:si>
    <x:t>El ventre del mar (2021)</x:t>
  </x:si>
  <x:si>
    <x:t>El veredicte. La llei del menor (2018)</x:t>
  </x:si>
  <x:si>
    <x:t>El viatge d'en Harold (2023)</x:t>
  </x:si>
  <x:si>
    <x:t>El viatge d'Ernest i Célestine (2022)</x:t>
  </x:si>
  <x:si>
    <x:t>El viatge de Bu (2019)</x:t>
  </x:si>
  <x:si>
    <x:t>El viatge de Chihiro (2001)</x:t>
  </x:si>
  <x:si>
    <x:t>El viatge de l'emperador (2005)</x:t>
  </x:si>
  <x:si>
    <x:t>El viatge de l'Unai (2016)</x:t>
  </x:si>
  <x:si>
    <x:t>El viatge de la Bettie (2013)</x:t>
  </x:si>
  <x:si>
    <x:t>El viatge de la Fanny (2015)</x:t>
  </x:si>
  <x:si>
    <x:t>El viatge de la Jane (2010)</x:t>
  </x:si>
  <x:si>
    <x:t>El viatge de la Marta (2019)</x:t>
  </x:si>
  <x:si>
    <x:t>El viatge de la nostra vida (2006)</x:t>
  </x:si>
  <x:si>
    <x:t>El viatge de la seva vida (2017)</x:t>
  </x:si>
  <x:si>
    <x:t>El viatge de les seves vides (2017)</x:t>
  </x:si>
  <x:si>
    <x:t>El viatge de Nisha (2017)</x:t>
  </x:si>
  <x:si>
    <x:t>El viatge del Popeye (2004)</x:t>
  </x:si>
  <x:si>
    <x:t>El viatge fantàstic a Oz (2017)</x:t>
  </x:si>
  <x:si>
    <x:t>El viatge fantàstic de Simbad (1974)</x:t>
  </x:si>
  <x:si>
    <x:t>El viatge vertical (2008)</x:t>
  </x:si>
  <x:si>
    <x:t>El viatger (1997)</x:t>
  </x:si>
  <x:si>
    <x:t>El vicari d'Olot (1981)</x:t>
  </x:si>
  <x:si>
    <x:t>El vici del poder (2018)</x:t>
  </x:si>
  <x:si>
    <x:t>El violinista a la teulada (1971)</x:t>
  </x:si>
  <x:si>
    <x:t>El virgo de Visanteta (1978)</x:t>
  </x:si>
  <x:si>
    <x:t>El virus de la por (2015)</x:t>
  </x:si>
  <x:si>
    <x:t>El visitant (2007)</x:t>
  </x:si>
  <x:si>
    <x:t>El vol (2012)</x:t>
  </x:si>
  <x:si>
    <x:t>El vol 93 (2006)</x:t>
  </x:si>
  <x:si>
    <x:t>El vol de les núvies (2008)</x:t>
  </x:si>
  <x:si>
    <x:t>El vol del fènix (1965)</x:t>
  </x:si>
  <x:si>
    <x:t>El vol del Fènix (2004)</x:t>
  </x:si>
  <x:si>
    <x:t>El xai Shaun: El vol abans de Nadal (2021)</x:t>
  </x:si>
  <x:si>
    <x:t>El xai Shaun: Les llames del granger (2015)</x:t>
  </x:si>
  <x:si>
    <x:t>El xai Shaun. La pel·lícula (2015)</x:t>
  </x:si>
  <x:si>
    <x:t>El xai Shaun. La pel·lícula: Granjaguedon (2019)</x:t>
  </x:si>
  <x:si>
    <x:t>El xef (2012)</x:t>
  </x:si>
  <x:si>
    <x:t>El xoc (2018)</x:t>
  </x:si>
  <x:si>
    <x:t>El Zebra, mediador de causes desesperades (2015)</x:t>
  </x:si>
  <x:si>
    <x:t>El zoo d'en Pitus (2000)</x:t>
  </x:si>
  <x:si>
    <x:t>Electra (1996)</x:t>
  </x:si>
  <x:si>
    <x:t>Electroshock (2006)</x:t>
  </x:si>
  <x:si>
    <x:t>Elegy (2008)</x:t>
  </x:si>
  <x:si>
    <x:t>Elemental (2023)</x:t>
  </x:si>
  <x:si>
    <x:t>Elio (2025)</x:t>
  </x:si>
  <x:si>
    <x:t>Elisa i Marcela (2019)</x:t>
  </x:si>
  <x:si>
    <x:t>Elisa K (2010)</x:t>
  </x:si>
  <x:si>
    <x:t>Elisabet (1998)</x:t>
  </x:si>
  <x:si>
    <x:t>Elizabeth l'edat d'or (2007)</x:t>
  </x:si>
  <x:si>
    <x:t>Ell i la seva enemiga (1944)</x:t>
  </x:si>
  <x:si>
    <x:t>Ella és el partit (2008)</x:t>
  </x:si>
  <x:si>
    <x:t>Elle (2010)</x:t>
  </x:si>
  <x:si>
    <x:t>Elle (2016)</x:t>
  </x:si>
  <x:si>
    <x:t>Elles (2011)</x:t>
  </x:si>
  <x:si>
    <x:t>Elles i ells (2005)</x:t>
  </x:si>
  <x:si>
    <x:t>Ells (2006)</x:t>
  </x:si>
  <x:si>
    <x:t>Eloïse (2009)</x:t>
  </x:si>
  <x:si>
    <x:t>Els 11 del Raval (2026)</x:t>
  </x:si>
  <x:si>
    <x:t>Els 39 graons (1935)</x:t>
  </x:si>
  <x:si>
    <x:t>Els 50 són els nous 30 (2017)</x:t>
  </x:si>
  <x:si>
    <x:t>Els 5000 dits del Dr.T (1953)</x:t>
  </x:si>
  <x:si>
    <x:t>Els abandonats (2006)</x:t>
  </x:si>
  <x:si>
    <x:t>Els albercocs (1996)</x:t>
  </x:si>
  <x:si>
    <x:t>Els altres dos (2010)</x:t>
  </x:si>
  <x:si>
    <x:t>Els amants de la nit (1948)</x:t>
  </x:si>
  <x:si>
    <x:t>Els amics d'en Peter (1992)</x:t>
  </x:si>
  <x:si>
    <x:t>Els Amics de les Arts - Concert 10 anys (2015)</x:t>
  </x:si>
  <x:si>
    <x:t>Els Amics de les Arts - Palau de la Música (2011)</x:t>
  </x:si>
  <x:si>
    <x:t>Els Amics de les Arts ''Espècies per catalogar'' (2012)</x:t>
  </x:si>
  <x:si>
    <x:t>Els amics del nuvi (2006)</x:t>
  </x:si>
  <x:si>
    <x:t>Els amos de Brooklyn (2009)</x:t>
  </x:si>
  <x:si>
    <x:t>Els amos del temps (1982)</x:t>
  </x:si>
  <x:si>
    <x:t>Els Andersson a Grècia (2012)</x:t>
  </x:si>
  <x:si>
    <x:t>Els Andersson a la neu (2014)</x:t>
  </x:si>
  <x:si>
    <x:t>Els Andersson Road Movie (2013)</x:t>
  </x:si>
  <x:si>
    <x:t>Els àngels de Charlie (2000)</x:t>
  </x:si>
  <x:si>
    <x:t>Els àngels de Charlie; al límit (2003)</x:t>
  </x:si>
  <x:si>
    <x:t>Els àngels de la guarda (1995)</x:t>
  </x:si>
  <x:si>
    <x:t>Els anys maleïts (2020)</x:t>
  </x:si>
  <x:si>
    <x:t>Els anys maleïts 2 (2022)</x:t>
  </x:si>
  <x:si>
    <x:t>Els anys perduts (2015)</x:t>
  </x:si>
  <x:si>
    <x:t>Els arxius del Pentàgon (2017)</x:t>
  </x:si>
  <x:si>
    <x:t>Els assassinats del llac (2022)</x:t>
  </x:si>
  <x:si>
    <x:t>Els assassins de les postals (2020)</x:t>
  </x:si>
  <x:si>
    <x:t>Els assassins del Capitán Trueno (2025)</x:t>
  </x:si>
  <x:si>
    <x:t>Els avantatges de ser un marginat (2012)</x:t>
  </x:si>
  <x:si>
    <x:t>Els Barrufets I (2011)</x:t>
  </x:si>
  <x:si>
    <x:t>Els Barrufets II (2013)</x:t>
  </x:si>
  <x:si>
    <x:t>Els Barrufets III El poble amagat (2017)</x:t>
  </x:si>
  <x:si>
    <x:t>Els bessons peguen dues vegades (1988)</x:t>
  </x:si>
  <x:si>
    <x:t>Els blancs no la saben ficar (1992)</x:t>
  </x:si>
  <x:si>
    <x:t>Els Blues Brothers (1980)</x:t>
  </x:si>
  <x:si>
    <x:t>Els bojos del bisturí (1982)</x:t>
  </x:si>
  <x:si>
    <x:t>Els bojos del Cannonball (1981)</x:t>
  </x:si>
  <x:si>
    <x:t>Els bons professors (2023)</x:t>
  </x:si>
  <x:si>
    <x:t>Els Borgia (2006)</x:t>
  </x:si>
  <x:si>
    <x:t>Els Boxtrolls (2014)</x:t>
  </x:si>
  <x:si>
    <x:t>Els caçadors de cabelleres (1968)</x:t>
  </x:si>
  <x:si>
    <x:t>Els caçafantasmes I (1984)</x:t>
  </x:si>
  <x:si>
    <x:t>Els caçafantasmes II (1989)</x:t>
  </x:si>
  <x:si>
    <x:t>Els canons de Navarone (1961)</x:t>
  </x:si>
  <x:si>
    <x:t>Els Cap de Drap a la Selva de l'Arc de Sant Martí (2014)</x:t>
  </x:si>
  <x:si>
    <x:t>Els Cap de Drap al país on sempre brilla el sol (2010)</x:t>
  </x:si>
  <x:si>
    <x:t>Els cavallers de la taula rodona (1953)</x:t>
  </x:si>
  <x:si>
    <x:t>Els cavallers del Zodíac: La llegenda del Santuari (2014)</x:t>
  </x:si>
  <x:si>
    <x:t>Els cercamons (2021)</x:t>
  </x:si>
  <x:si>
    <x:t>Els ciclistes voladors (1983)</x:t>
  </x:si>
  <x:si>
    <x:t>Els cigars del faraó (1991)</x:t>
  </x:si>
  <x:si>
    <x:t>Els Cinc i el misteri de la joia amagada (2013)</x:t>
  </x:si>
  <x:si>
    <x:t>Els Cinc i l'illa del tresor (2014)</x:t>
  </x:si>
  <x:si>
    <x:t>Els Cinc i la Vall dels Dinosaures (2018)</x:t>
  </x:si>
  <x:si>
    <x:t>Els colors de l'incendi (2022)</x:t>
  </x:si>
  <x:si>
    <x:t>Els comanxers (1961)</x:t>
  </x:si>
  <x:si>
    <x:t>Els condemnats (2010)</x:t>
  </x:si>
  <x:si>
    <x:t>Els consells de l'Alice (2019)</x:t>
  </x:si>
  <x:si>
    <x:t>Els conspiradors (2016)</x:t>
  </x:si>
  <x:si>
    <x:t>Els contrabandistes de Moonfleet (1955)</x:t>
  </x:si>
  <x:si>
    <x:t>Els cowboys (1972)</x:t>
  </x:si>
  <x:si>
    <x:t>Els crits del silenci (1984)</x:t>
  </x:si>
  <x:si>
    <x:t>Els cronocrims (2007)</x:t>
  </x:si>
  <x:si>
    <x:t>Els Croods (2013)</x:t>
  </x:si>
  <x:si>
    <x:t>Els Croods: Una nova era (2020)</x:t>
  </x:si>
  <x:si>
    <x:t>Els curats (2017)</x:t>
  </x:si>
  <x:si>
    <x:t>Els Dalton (2004)</x:t>
  </x:si>
  <x:si>
    <x:t>Els darrers dies al Vietnam (2014)</x:t>
  </x:si>
  <x:si>
    <x:t>Els deu millors parcs del Canadà (2002)</x:t>
  </x:si>
  <x:si>
    <x:t>Els diables del mar (1953)</x:t>
  </x:si>
  <x:si>
    <x:t>Els diaris del rom (2011)</x:t>
  </x:si>
  <x:si>
    <x:t>Els dies que vindran (2019)</x:t>
  </x:si>
  <x:si>
    <x:t>Els dotze del patíbul (1967)</x:t>
  </x:si>
  <x:si>
    <x:t>Els dotze treballs d'Astèrix (1976)</x:t>
  </x:si>
  <x:si>
    <x:t>Els Elfkins (2019)</x:t>
  </x:si>
  <x:si>
    <x:t>Els encantats (2023)</x:t>
  </x:si>
  <x:si>
    <x:t>Els escalfabanquetes (2006)</x:t>
  </x:si>
  <x:si>
    <x:t>Els espies no són el que eren (2017)</x:t>
  </x:si>
  <x:si>
    <x:t>Els Estats Units contra Billie Holiday (2021)</x:t>
  </x:si>
  <x:si>
    <x:t>Els EUA contra John Lennon (2006)</x:t>
  </x:si>
  <x:si>
    <x:t>Els europeus (2020)</x:t>
  </x:si>
  <x:si>
    <x:t>Els Ewoks, La batalla d'Endor (1985)</x:t>
  </x:si>
  <x:si>
    <x:t>Els Ewoks, La caravana del valor (1984)</x:t>
  </x:si>
  <x:si>
    <x:t>Els exàmens (2016)</x:t>
  </x:si>
  <x:si>
    <x:t>Els fabulosos Baker Boys (1989)</x:t>
  </x:si>
  <x:si>
    <x:t>Els falsificadors (2007)</x:t>
  </x:si>
  <x:si>
    <x:t>Els fantasmes de les meves exnòvies (2009)</x:t>
  </x:si>
  <x:si>
    <x:t>Els fills de la mitjanit (2012)</x:t>
  </x:si>
  <x:si>
    <x:t>Els fills de la pluja (2003)</x:t>
  </x:si>
  <x:si>
    <x:t>Els fills del bufador de vidre (1998)</x:t>
  </x:si>
  <x:si>
    <x:t>Els fills del pecat (2015)</x:t>
  </x:si>
  <x:si>
    <x:t>Els fills del sol (2016)</x:t>
  </x:si>
  <x:si>
    <x:t>Els fills del vent (2004)</x:t>
  </x:si>
  <x:si>
    <x:t>Els Goonies (1985)</x:t>
  </x:si>
  <x:si>
    <x:t>Els gossos adormits menteixen (2006)</x:t>
  </x:si>
  <x:si>
    <x:t>Els guapos (2009)</x:t>
  </x:si>
  <x:si>
    <x:t>Els guardians de la nit (2004)</x:t>
  </x:si>
  <x:si>
    <x:t>Els guardians de la nit (Kimetsu no Yaiba): El tren infinit (2020)</x:t>
  </x:si>
  <x:si>
    <x:t>Els herois de Kelly (1970)</x:t>
  </x:si>
  <x:si>
    <x:t>Els herois de Telemark (1965)</x:t>
  </x:si>
  <x:si>
    <x:t>Els herois de Vandellòs I (2024)</x:t>
  </x:si>
  <x:si>
    <x:t>Els herois del temps (1981)</x:t>
  </x:si>
  <x:si>
    <x:t>Els herois inesperats (2020)</x:t>
  </x:si>
  <x:si>
    <x:t>Els hi dono un any (2013)</x:t>
  </x:si>
  <x:si>
    <x:t>Els homes de Harrelson (S.W.A.T.) (2003)</x:t>
  </x:si>
  <x:si>
    <x:t>Els homes que miraven fixament les cabres (2009)</x:t>
  </x:si>
  <x:si>
    <x:t>Els homes que volien pujar una muntanya de més de 8.000 metres (2013)</x:t>
  </x:si>
  <x:si>
    <x:t>Els horaris impossibles (2025)</x:t>
  </x:si>
  <x:si>
    <x:t>Els idus de març (2011)</x:t>
  </x:si>
  <x:si>
    <x:t>Els immortals II, el desafiament (1991)</x:t>
  </x:si>
  <x:si>
    <x:t>Els Immortals III, la dimensió final (1994)</x:t>
  </x:si>
  <x:si>
    <x:t>Els immortals: l'origen (2007)</x:t>
  </x:si>
  <x:si>
    <x:t>Els implacables (1955)</x:t>
  </x:si>
  <x:si>
    <x:t>Els impostors (2003)</x:t>
  </x:si>
  <x:si>
    <x:t>Els imprevistos de l'amor (2014)</x:t>
  </x:si>
  <x:si>
    <x:t>Els Increïbles I (2004)</x:t>
  </x:si>
  <x:si>
    <x:t>Els Increïbles II (2018)</x:t>
  </x:si>
  <x:si>
    <x:t>Els informes de la Sarah i el Saleem (2018)</x:t>
  </x:si>
  <x:si>
    <x:t>Els internats de la por (2015)</x:t>
  </x:si>
  <x:si>
    <x:t>Els intocables d'Eliot Ness (1987)</x:t>
  </x:si>
  <x:si>
    <x:t>Els investigadors i el tresor de les profunditats marines (2020)</x:t>
  </x:si>
  <x:si>
    <x:t>Els investigadors i la maledicció del Rei Fosc (2017)</x:t>
  </x:si>
  <x:si>
    <x:t>Els jocs de la fam (2012)</x:t>
  </x:si>
  <x:si>
    <x:t>Els jocs de la fam: Balada de refilaires i serps (2023)</x:t>
  </x:si>
  <x:si>
    <x:t>Els joves amants (2021)</x:t>
  </x:si>
  <x:si>
    <x:t>Els justiciers de l'Oest (1975)</x:t>
  </x:si>
  <x:si>
    <x:t>Els Karamazoff. A walk on the SoHo years (2018)</x:t>
  </x:si>
  <x:si>
    <x:t>Els límits de la veritat (2013)</x:t>
  </x:si>
  <x:si>
    <x:t>Els llaços del cor (2016)</x:t>
  </x:si>
  <x:si>
    <x:t>Els llibres de Prospero (1991)</x:t>
  </x:si>
  <x:si>
    <x:t>Els mercenaris (2010)</x:t>
  </x:si>
  <x:si>
    <x:t>Els meus dobles, la meva dona i jo (1996)</x:t>
  </x:si>
  <x:si>
    <x:t>Els millors amics (2017)</x:t>
  </x:si>
  <x:si>
    <x:t>Els millors homes (2012)</x:t>
  </x:si>
  <x:si>
    <x:t>Els Mínions (2015)</x:t>
  </x:si>
  <x:si>
    <x:t>Els miracles del cel (2016)</x:t>
  </x:si>
  <x:si>
    <x:t>Els miserables (1998)</x:t>
  </x:si>
  <x:si>
    <x:t>Els miserables (2019)</x:t>
  </x:si>
  <x:si>
    <x:t>Els misteriosos assassinats de Limehouse (2016)</x:t>
  </x:si>
  <x:si>
    <x:t>Els misteriosos contes del pomer (2025)</x:t>
  </x:si>
  <x:si>
    <x:t>Els misteris de l'Escola de Gendarmeria (2021)</x:t>
  </x:si>
  <x:si>
    <x:t>Els misteris de l'illa (2017)</x:t>
  </x:si>
  <x:si>
    <x:t>Els misteris de la basílica (2018)</x:t>
  </x:si>
  <x:si>
    <x:t>Els misteris de la Coral (2020)</x:t>
  </x:si>
  <x:si>
    <x:t>Els misteris de la Jennifer (2013)</x:t>
  </x:si>
  <x:si>
    <x:t>Els misteris de la marea (2023)</x:t>
  </x:si>
  <x:si>
    <x:t>Els misteris de les majorets (2020)</x:t>
  </x:si>
  <x:si>
    <x:t>Els misteris del Bosc Galant (2019)</x:t>
  </x:si>
  <x:si>
    <x:t>Els negociadors, com construir la pau (2025)</x:t>
  </x:si>
  <x:si>
    <x:t>Els nens de Huang Shi (2008)</x:t>
  </x:si>
  <x:si>
    <x:t>Els nens de la riuada (2022)</x:t>
  </x:si>
  <x:si>
    <x:t>Els nens de les panotxes (1984)</x:t>
  </x:si>
  <x:si>
    <x:t>Els nens de Timpelbach (2008)</x:t>
  </x:si>
  <x:si>
    <x:t>Els nens del Brasil (1978)</x:t>
  </x:si>
  <x:si>
    <x:t>Els nens salvatges (2012)</x:t>
  </x:si>
  <x:si>
    <x:t>Els neonazis i l'extrema dreta a Alemanya (2021)</x:t>
  </x:si>
  <x:si>
    <x:t>Els nois estan bé (2010)</x:t>
  </x:si>
  <x:si>
    <x:t>Els nois han tornat (2020)</x:t>
  </x:si>
  <x:si>
    <x:t>Els noms d'Alícia (2005)</x:t>
  </x:si>
  <x:si>
    <x:t>Els nostres meravellosos aliats (1987)</x:t>
  </x:si>
  <x:si>
    <x:t>Els nous centurions (1972)</x:t>
  </x:si>
  <x:si>
    <x:t>Els nous esclaus (2025)</x:t>
  </x:si>
  <x:si>
    <x:t>Els núvols de Sils María (2014)</x:t>
  </x:si>
  <x:si>
    <x:t>Els ocells (1963)</x:t>
  </x:si>
  <x:si>
    <x:t>Els Olchis (2021)</x:t>
  </x:si>
  <x:si>
    <x:t>Els óssos amorosos en el país de les meravelles (1987)</x:t>
  </x:si>
  <x:si>
    <x:t>Els ossos de la neu (2017)</x:t>
  </x:si>
  <x:si>
    <x:t>Els papers d'Aspern (2018)</x:t>
  </x:si>
  <x:si>
    <x:t>Els pares d'ell (2004)</x:t>
  </x:si>
  <x:si>
    <x:t>Els pares d'ella (2000)</x:t>
  </x:si>
  <x:si>
    <x:t>Els pares de l'assassí (2024)</x:t>
  </x:si>
  <x:si>
    <x:t>Els pares perfectes (2017)</x:t>
  </x:si>
  <x:si>
    <x:t>Els passos dobles [VOSC] (2011)</x:t>
  </x:si>
  <x:si>
    <x:t>Els perdedors (2006)</x:t>
  </x:si>
  <x:si>
    <x:t>Els perdedors (2010)</x:t>
  </x:si>
  <x:si>
    <x:t>Els perdonats (2021)</x:t>
  </x:si>
  <x:si>
    <x:t>Els Pets - Giravint (2005)</x:t>
  </x:si>
  <x:si>
    <x:t>Els pingüins de Madagascar (2014)</x:t>
  </x:si>
  <x:si>
    <x:t>Els pingüins del senyor Popper (2011)</x:t>
  </x:si>
  <x:si>
    <x:t>Els plans de Cerdà (2020)</x:t>
  </x:si>
  <x:si>
    <x:t>Els ponts de Madison (1995)</x:t>
  </x:si>
  <x:si>
    <x:t>Els premis Darwin (2006)</x:t>
  </x:si>
  <x:si>
    <x:t>Els productors (2005)</x:t>
  </x:si>
  <x:si>
    <x:t>Els professionals (1966)</x:t>
  </x:si>
  <x:si>
    <x:t>Els professors de Saint-Denis (2019)</x:t>
  </x:si>
  <x:si>
    <x:t>Els Quatre Fantàstics (2005)</x:t>
  </x:si>
  <x:si>
    <x:t>Els Quatre Fantàstics i en Silver Surfer (2007)</x:t>
  </x:si>
  <x:si>
    <x:t>Els quatre genets de l'apocalipsi (1962)</x:t>
  </x:si>
  <x:si>
    <x:t>Els quatre mosqueters (1974)</x:t>
  </x:si>
  <x:si>
    <x:t>Els que no perdonen (1960)</x:t>
  </x:si>
  <x:si>
    <x:t>Els rebels de Kansas (1959)</x:t>
  </x:si>
  <x:si>
    <x:t>Els records no s'esborren (2021)</x:t>
  </x:si>
  <x:si>
    <x:t>Els reis de l'Àrtic (2007)</x:t>
  </x:si>
  <x:si>
    <x:t>Els reis de l’estiu (2013)</x:t>
  </x:si>
  <x:si>
    <x:t>Els reis de la casa (2018)</x:t>
  </x:si>
  <x:si>
    <x:t>Els renegats del diable (2005)</x:t>
  </x:si>
  <x:si>
    <x:t>Els rius de color porpra (2000)</x:t>
  </x:si>
  <x:si>
    <x:t>Els rius de color porpra 2, els àngels de l'apocalipsi (2004)</x:t>
  </x:si>
  <x:si>
    <x:t>Els rodamons (1979)</x:t>
  </x:si>
  <x:si>
    <x:t>Els savis de Vilatrista (1992)</x:t>
  </x:si>
  <x:si>
    <x:t>Els secrets de la cova dels cristalls (2008)</x:t>
  </x:si>
  <x:si>
    <x:t>Els secrets del naufragi (2023)</x:t>
  </x:si>
  <x:si>
    <x:t>Els secrets dels cinc furiosos (2008)</x:t>
  </x:si>
  <x:si>
    <x:t>Els seductors (2010)</x:t>
  </x:si>
  <x:si>
    <x:t>Els sense nom (1999)</x:t>
  </x:si>
  <x:si>
    <x:t>Els senyors de Dogtown (2005)</x:t>
  </x:si>
  <x:si>
    <x:t>Els senyors prefereixen les rosses (1953)</x:t>
  </x:si>
  <x:si>
    <x:t>Els set magnifics (1960)</x:t>
  </x:si>
  <x:si>
    <x:t>Els set magnífics (2016)</x:t>
  </x:si>
  <x:si>
    <x:t>Els sexeaddictes (2004)</x:t>
  </x:si>
  <x:si>
    <x:t>Els silenciadors (1966)</x:t>
  </x:si>
  <x:si>
    <x:t>Els somiadors (2003)</x:t>
  </x:si>
  <x:si>
    <x:t>Els Superherois (2016)</x:t>
  </x:si>
  <x:si>
    <x:t>Els temps canvien (2004)</x:t>
  </x:si>
  <x:si>
    <x:t>Els testimonis (2007)</x:t>
  </x:si>
  <x:si>
    <x:t>Els testimonis de Putin [VOSC] (2018)</x:t>
  </x:si>
  <x:si>
    <x:t>Els Thornberrys - La pel·lícula (2002)</x:t>
  </x:si>
  <x:si>
    <x:t>Els Totenwackers (2007)</x:t>
  </x:si>
  <x:si>
    <x:t>Els traductors (2019)</x:t>
  </x:si>
  <x:si>
    <x:t>Els trenta-nou graons (1935)</x:t>
  </x:si>
  <x:si>
    <x:t>Els tres dies del Còndor (1975)</x:t>
  </x:si>
  <x:si>
    <x:t>Els tres dies següents (2010)</x:t>
  </x:si>
  <x:si>
    <x:t>Els tres mosqueters (1948)</x:t>
  </x:si>
  <x:si>
    <x:t>Els tres mosqueters (2011)</x:t>
  </x:si>
  <x:si>
    <x:t>Els turons tenen ulls (2006)</x:t>
  </x:si>
  <x:si>
    <x:t>Els ulls de la Júlia (2010)</x:t>
  </x:si>
  <x:si>
    <x:t>Els ulls del mal (2006)</x:t>
  </x:si>
  <x:si>
    <x:t>Els ulls grocs dels cocodrils (2014)</x:t>
  </x:si>
  <x:si>
    <x:t>Els últims dies (2013)</x:t>
  </x:si>
  <x:si>
    <x:t>Els últims dies al desert (2015)</x:t>
  </x:si>
  <x:si>
    <x:t>Els últims dies del món (2009)</x:t>
  </x:si>
  <x:si>
    <x:t>Els Venjadors (1998)</x:t>
  </x:si>
  <x:si>
    <x:t>Els viatgers del temps (1964)</x:t>
  </x:si>
  <x:si>
    <x:t>Els viatges de Gulliver (1939)</x:t>
  </x:si>
  <x:si>
    <x:t>Els visitants la fan grossa (2016)</x:t>
  </x:si>
  <x:si>
    <x:t>Elysium (2013)</x:t>
  </x:si>
  <x:si>
    <x:t>Em dic Harvey Milk (2008)</x:t>
  </x:si>
  <x:si>
    <x:t>Em guardes un secret? (2019)</x:t>
  </x:si>
  <x:si>
    <x:t>Em sembla que sé què vau cridar l'últim divendres 13 (2000)</x:t>
  </x:si>
  <x:si>
    <x:t>Em sento rejovenir (1952)</x:t>
  </x:si>
  <x:si>
    <x:t>Em vaig enamorar d'una bruixa (1958)</x:t>
  </x:si>
  <x:si>
    <x:t>Em van fer un criminal (1939)</x:t>
  </x:si>
  <x:si>
    <x:t>Embolic a Broadway (2014)</x:t>
  </x:si>
  <x:si>
    <x:t>Embolic compromès (2007)</x:t>
  </x:si>
  <x:si>
    <x:t>Emboscada a Matt Helm (1967)</x:t>
  </x:si>
  <x:si>
    <x:t>Embruixada (2005)</x:t>
  </x:si>
  <x:si>
    <x:t>Emergències 911 (2016)</x:t>
  </x:si>
  <x:si>
    <x:t>Emergo (2011)</x:t>
  </x:si>
  <x:si>
    <x:t>Emoji: La pel·lícula (2017)</x:t>
  </x:si>
  <x:si>
    <x:t>Emperador (2012)</x:t>
  </x:si>
  <x:si>
    <x:t>En algun lloc del temps (1980)</x:t>
  </x:si>
  <x:si>
    <x:t>En algun racó de la memòria (2007)</x:t>
  </x:si>
  <x:si>
    <x:t>En bones mans (2018)</x:t>
  </x:si>
  <x:si>
    <x:t>En companyia de llops (1984)</x:t>
  </x:si>
  <x:si>
    <x:t>En cos i anima (2017)</x:t>
  </x:si>
  <x:si>
    <x:t>En directe des de Bagdad (2002)</x:t>
  </x:si>
  <x:si>
    <x:t>En el calor de la nit (1967)</x:t>
  </x:si>
  <x:si>
    <x:t>En el camí (2010)</x:t>
  </x:si>
  <x:si>
    <x:t>En el centre de la tempesta (2009)</x:t>
  </x:si>
  <x:si>
    <x:t>En el llindar (2020)</x:t>
  </x:si>
  <x:si>
    <x:t>En el nom del pare (1993)</x:t>
  </x:si>
  <x:si>
    <x:t>En el nom del rei (2007)</x:t>
  </x:si>
  <x:si>
    <x:t>En el punt de mira (2008)</x:t>
  </x:si>
  <x:si>
    <x:t>En Flama i en Llimona (2008)</x:t>
  </x:si>
  <x:si>
    <x:t>En Garfield i la seva quadrilla (2009)</x:t>
  </x:si>
  <x:si>
    <x:t>En Gianni i les dones (2011)</x:t>
  </x:si>
  <x:si>
    <x:t>En Gordon i la Paddy (2017)</x:t>
  </x:si>
  <x:si>
    <x:t>En Jack i la seva germana bessona (2011)</x:t>
  </x:si>
  <x:si>
    <x:t>En John mor, al final (2012)</x:t>
  </x:si>
  <x:si>
    <x:t>En la foscor (2003)</x:t>
  </x:si>
  <x:si>
    <x:t>En la línia de foc (1993)</x:t>
  </x:si>
  <x:si>
    <x:t>En nom de la llei (1971)</x:t>
  </x:si>
  <x:si>
    <x:t>En nom de la terra (2023)</x:t>
  </x:si>
  <x:si>
    <x:t>En nom del cel (2022)</x:t>
  </x:si>
  <x:si>
    <x:t>En nom del cel! (2022)</x:t>
  </x:si>
  <x:si>
    <x:t>En perill constant (1997)</x:t>
  </x:si>
  <x:si>
    <x:t>En ple cor (2021)</x:t>
  </x:si>
  <x:si>
    <x:t>En Ralph destrueix Internet (2018)</x:t>
  </x:si>
  <x:si>
    <x:t>En Ralph, el destructor (2012)</x:t>
  </x:si>
  <x:si>
    <x:t>En realitat no has estat mai ací (2017)</x:t>
  </x:si>
  <x:si>
    <x:t>En Richard diu adeu (2018)</x:t>
  </x:si>
  <x:si>
    <x:t>En solitari (2013)</x:t>
  </x:si>
  <x:si>
    <x:t>En temps de bruixes (2011)</x:t>
  </x:si>
  <x:si>
    <x:t>En tercera persona (2013)</x:t>
  </x:si>
  <x:si>
    <x:t>En terra hostil (2008)</x:t>
  </x:si>
  <x:si>
    <x:t>En terra perillosa (1994)</x:t>
  </x:si>
  <x:si>
    <x:t>En un lloc sense llei (2013)</x:t>
  </x:si>
  <x:si>
    <x:t>En un moll de Normandia (2021)</x:t>
  </x:si>
  <x:si>
    <x:t>En un pati de París (2014)</x:t>
  </x:si>
  <x:si>
    <x:t>En un racó d'Àfrica (2009)</x:t>
  </x:si>
  <x:si>
    <x:t>En Wallace i en Gromit – Al zero – A Close Shave (1995)</x:t>
  </x:si>
  <x:si>
    <x:t>En Zack i la Miri fan una porno (2008)</x:t>
  </x:si>
  <x:si>
    <x:t>En/Femme (2018)</x:t>
  </x:si>
  <x:si>
    <x:t>Enamora't (2003)</x:t>
  </x:si>
  <x:si>
    <x:t>Enamorada de Figaro (2020)</x:t>
  </x:si>
  <x:si>
    <x:t>Enamorar-se (2013)</x:t>
  </x:si>
  <x:si>
    <x:t>Enamorat de la meva dona (2018)</x:t>
  </x:si>
  <x:si>
    <x:t>Enamorats a Croàcia (2020)</x:t>
  </x:si>
  <x:si>
    <x:t>Encadenat (1989)</x:t>
  </x:si>
  <x:si>
    <x:t>Encantats pel Nadal (2020)</x:t>
  </x:si>
  <x:si>
    <x:t>Encara hi ha algú al bosc (2021)</x:t>
  </x:si>
  <x:si>
    <x:t>Encara soc aquí (2024)</x:t>
  </x:si>
  <x:si>
    <x:t>Encis de lluna (1987)</x:t>
  </x:si>
  <x:si>
    <x:t>Encisat (1998)</x:t>
  </x:si>
  <x:si>
    <x:t>Encobridora (1952)</x:t>
  </x:si>
  <x:si>
    <x:t>Encontres a la tercera fase (1977)</x:t>
  </x:si>
  <x:si>
    <x:t>Encordades (2011)</x:t>
  </x:si>
  <x:si>
    <x:t>Endevina qui ve a sopar (1967)</x:t>
  </x:si>
  <x:si>
    <x:t>Enemic a les portes (2001)</x:t>
  </x:si>
  <x:si>
    <x:t>Enemic meu (1985)</x:t>
  </x:si>
  <x:si>
    <x:t>Enemics íntims (2006)</x:t>
  </x:si>
  <x:si>
    <x:t>EnFemme (2017)</x:t>
  </x:si>
  <x:si>
    <x:t>Enfrontats (2006)</x:t>
  </x:si>
  <x:si>
    <x:t>Enganya'm (2024)</x:t>
  </x:si>
  <x:si>
    <x:t>Enganyada (2015)</x:t>
  </x:si>
  <x:si>
    <x:t>Enigma (1982)</x:t>
  </x:si>
  <x:si>
    <x:t>Enllaços i companyia (2011)</x:t>
  </x:si>
  <x:si>
    <x:t>Ennio, il maestro (2021)</x:t>
  </x:si>
  <x:si>
    <x:t>Ens veurem allà dalt (2017)</x:t>
  </x:si>
  <x:si>
    <x:t>Enterreu el meu cor a Wounded Knee (2007)</x:t>
  </x:si>
  <x:si>
    <x:t>Entre amics (2015)</x:t>
  </x:si>
  <x:si>
    <x:t>Entre copes (2004)</x:t>
  </x:si>
  <x:si>
    <x:t>Entre dones (2007)</x:t>
  </x:si>
  <x:si>
    <x:t>Entre dues mares (2016)</x:t>
  </x:si>
  <x:si>
    <x:t>Entre elles (2016)</x:t>
  </x:si>
  <x:si>
    <x:t>Entre nosaltres (2019)</x:t>
  </x:si>
  <x:si>
    <x:t>Entre ombres (2017)</x:t>
  </x:si>
  <x:si>
    <x:t>Entrevista amb el vampir (1994)</x:t>
  </x:si>
  <x:si>
    <x:t>Enveja sana (2020)</x:t>
  </x:si>
  <x:si>
    <x:t>Enviat especial (1940)</x:t>
  </x:si>
  <x:si>
    <x:t>Enxaneta (2011)</x:t>
  </x:si>
  <x:si>
    <x:t>Epic (2013)</x:t>
  </x:si>
  <x:si>
    <x:t>Equilibrium (2002)</x:t>
  </x:si>
  <x:si>
    <x:t>Equip Tigre: la muntanya dels 1.000 dracs (2010)</x:t>
  </x:si>
  <x:si>
    <x:t>Equus (1977)</x:t>
  </x:si>
  <x:si>
    <x:t>Eragon (2006)</x:t>
  </x:si>
  <x:si>
    <x:t>Eraser eliminador (1996)</x:t>
  </x:si>
  <x:si>
    <x:t>Eraserhead [VOSC] (1976)</x:t>
  </x:si>
  <x:si>
    <x:t>Erik, cor de pedra (2022)</x:t>
  </x:si>
  <x:si>
    <x:t>Erin Brockovich (2000)</x:t>
  </x:si>
  <x:si>
    <x:t>Ernest &amp; Celestine (2012)</x:t>
  </x:si>
  <x:si>
    <x:t>Error terminal (2002)</x:t>
  </x:si>
  <x:si>
    <x:t>És quan dormo que hi veig clar (1988)</x:t>
  </x:si>
  <x:si>
    <x:t>Esborrant la identitat (2024)</x:t>
  </x:si>
  <x:si>
    <x:t>Escaflowne (2000)</x:t>
  </x:si>
  <x:si>
    <x:t>Escàndol a París (1946)</x:t>
  </x:si>
  <x:si>
    <x:t>Escanyapobres (2024)</x:t>
  </x:si>
  <x:si>
    <x:t>Escapada final (1985)</x:t>
  </x:si>
  <x:si>
    <x:t>Escape Room: La pel·lícula (2021)</x:t>
  </x:si>
  <x:si>
    <x:t>Escenes d'una orgía a Formentera (1996)</x:t>
  </x:si>
  <x:si>
    <x:t>Esclat (1995)</x:t>
  </x:si>
  <x:si>
    <x:t>Escobar: Paradís perdut (2014)</x:t>
  </x:si>
  <x:si>
    <x:t>Escòria (1979)</x:t>
  </x:si>
  <x:si>
    <x:t>Esfera (1998)</x:t>
  </x:si>
  <x:si>
    <x:t>Eskalofrío (2008)</x:t>
  </x:si>
  <x:si>
    <x:t>Esmorzar a Plutó (2005)</x:t>
  </x:si>
  <x:si>
    <x:t>Esmorzar amb diamants (1961)</x:t>
  </x:si>
  <x:si>
    <x:t>Especial sequera: canvi de cicle (2024)</x:t>
  </x:si>
  <x:si>
    <x:t>Especial Sopa de Cabra - La Gran Onada (2020)</x:t>
  </x:si>
  <x:si>
    <x:t>Especials (2019)</x:t>
  </x:si>
  <x:si>
    <x:t>Espectres (1978)</x:t>
  </x:si>
  <x:si>
    <x:t>Esperant Dalí (2022)</x:t>
  </x:si>
  <x:si>
    <x:t>Esperant un miracle (2021)</x:t>
  </x:si>
  <x:si>
    <x:t>Espies de veritat: la pel·lícula (2009)</x:t>
  </x:si>
  <x:si>
    <x:t>Espies des del cel (2015)</x:t>
  </x:si>
  <x:si>
    <x:t>Espies disfressats (2019)</x:t>
  </x:si>
  <x:si>
    <x:t>Espies entre les ombres (2008)</x:t>
  </x:si>
  <x:si>
    <x:t>Espui (2012)</x:t>
  </x:si>
  <x:si>
    <x:t>Essencials (2023)</x:t>
  </x:si>
  <x:si>
    <x:t>Estació central del Brasil [VOSC] (1998)</x:t>
  </x:si>
  <x:si>
    <x:t>Estació comanxe (1960)</x:t>
  </x:si>
  <x:si>
    <x:t>Estació polar Zebra (1968)</x:t>
  </x:si>
  <x:si>
    <x:t>Estafadores de Wall Street (2019)</x:t>
  </x:si>
  <x:si>
    <x:t>Estafats (2025)</x:t>
  </x:si>
  <x:si>
    <x:t>Estan tocant la nostra cançó (1991)</x:t>
  </x:si>
  <x:si>
    <x:t>Estàs fresc, Scooby-Doo! (2007)</x:t>
  </x:si>
  <x:si>
    <x:t>Estat elèctric (2025)</x:t>
  </x:si>
  <x:si>
    <x:t>Estats Units, setge a la immigració (2025)</x:t>
  </x:si>
  <x:si>
    <x:t>Estem voltats de pocavergonyes (2019)</x:t>
  </x:si>
  <x:si>
    <x:t>Estigmes (2009)</x:t>
  </x:si>
  <x:si>
    <x:t>Estima la teva veïna (2006)</x:t>
  </x:si>
  <x:si>
    <x:t>Estimada àvia (2020)</x:t>
  </x:si>
  <x:si>
    <x:t>Estimat John (2010)</x:t>
  </x:si>
  <x:si>
    <x:t>Estiu 1993 (2017)</x:t>
  </x:si>
  <x:si>
    <x:t>Estiu del 42 (1971)</x:t>
  </x:si>
  <x:si>
    <x:t>Estómac (2007)</x:t>
  </x:si>
  <x:si>
    <x:t>Estrany riu (2025)</x:t>
  </x:si>
  <x:si>
    <x:t>Estrany, però cert (2019)</x:t>
  </x:si>
  <x:si>
    <x:t>Estranys en un tren (1951)</x:t>
  </x:si>
  <x:si>
    <x:t>Estrictament confidencial (1934)</x:t>
  </x:si>
  <x:si>
    <x:t>Et dec una nit de divendres (2013)</x:t>
  </x:si>
  <x:si>
    <x:t>Et faran un home  (2024)</x:t>
  </x:si>
  <x:si>
    <x:t>Et faran un home. Morts silenciades (2026)</x:t>
  </x:si>
  <x:si>
    <x:t>Et vigilo (2016)</x:t>
  </x:si>
  <x:si>
    <x:t>ETA a la ciutat dels sants. Un atemptat al cor de Catalunya (2011)</x:t>
  </x:si>
  <x:si>
    <x:t>Eternal (2015)</x:t>
  </x:si>
  <x:si>
    <x:t>Eternament enamorats (2019)</x:t>
  </x:si>
  <x:si>
    <x:t>Eternament jove (1992)</x:t>
  </x:si>
  <x:si>
    <x:t>Eternitat (2016)</x:t>
  </x:si>
  <x:si>
    <x:t>Ets molt guapo (2005)</x:t>
  </x:si>
  <x:si>
    <x:t>Eugeni, cinc millor que dos (1986)</x:t>
  </x:si>
  <x:si>
    <x:t>Eugenio (2018)</x:t>
  </x:si>
  <x:si>
    <x:t>Eva (2011)</x:t>
  </x:si>
  <x:si>
    <x:t>Evangelion 1.0 (2007)</x:t>
  </x:si>
  <x:si>
    <x:t>Evangelion 2.0 (2009)</x:t>
  </x:si>
  <x:si>
    <x:t>Evangelion: 3.0 You Can (Not) Redo (2012)</x:t>
  </x:si>
  <x:si>
    <x:t>Evasio d'Absolom (1994)</x:t>
  </x:si>
  <x:si>
    <x:t>Evelyn (2002)</x:t>
  </x:si>
  <x:si>
    <x:t>Everest (2015)</x:t>
  </x:si>
  <x:si>
    <x:t>Everest Green (2018)</x:t>
  </x:si>
  <x:si>
    <x:t>Evil (2003)</x:t>
  </x:si>
  <x:si>
    <x:t>Evolució (2001)</x:t>
  </x:si>
  <x:si>
    <x:t>Ex (2009)</x:t>
  </x:si>
  <x:si>
    <x:t>Excalibur (1981)</x:t>
  </x:si>
  <x:si>
    <x:t>Excuses! (2003)</x:t>
  </x:si>
  <x:si>
    <x:t>Execució imminent (1999)</x:t>
  </x:si>
  <x:si>
    <x:t>Executiu, executor (1990)</x:t>
  </x:si>
  <x:si>
    <x:t>Executiva amb problemes (2009)</x:t>
  </x:si>
  <x:si>
    <x:t>Exit (1984)</x:t>
  </x:si>
  <x:si>
    <x:t>Èxit a qualsevol preu (1992)</x:t>
  </x:si>
  <x:si>
    <x:t>Èxode (1960)</x:t>
  </x:si>
  <x:si>
    <x:t>Èxode (2019)</x:t>
  </x:si>
  <x:si>
    <x:t>Exorcisme a Connecticut (2009)</x:t>
  </x:si>
  <x:si>
    <x:t>Exorcisme a Georgia (2013)</x:t>
  </x:si>
  <x:si>
    <x:t>Expansives (2021)</x:t>
  </x:si>
  <x:si>
    <x:t>Expats (2025)</x:t>
  </x:si>
  <x:si>
    <x:t>Experta en crisis (2015)</x:t>
  </x:si>
  <x:si>
    <x:t>Expiació (2007)</x:t>
  </x:si>
  <x:si>
    <x:t>Exploradors (1985)</x:t>
  </x:si>
  <x:si>
    <x:t>Eyes wide shut [VOSC] (1999)</x:t>
  </x:si>
  <x:si>
    <x:t>F de Flint (1967)</x:t>
  </x:si>
  <x:si>
    <x:t>F.I.S.T (1978)</x:t>
  </x:si>
  <x:si>
    <x:t>Fabricant l'home perfecte (1987)</x:t>
  </x:si>
  <x:si>
    <x:t>Fahrenheit 451 [VOSC] (1966)</x:t>
  </x:si>
  <x:si>
    <x:t>Fake Orgasm [VOSC] (2010)</x:t>
  </x:si>
  <x:si>
    <x:t>Falcon Lake (2022)</x:t>
  </x:si>
  <x:si>
    <x:t>Faldilles d'acer (1956)</x:t>
  </x:si>
  <x:si>
    <x:t>Fallen (1998)</x:t>
  </x:si>
  <x:si>
    <x:t>Falling (2020)</x:t>
  </x:si>
  <x:si>
    <x:t>Fals culpable (2011)</x:t>
  </x:si>
  <x:si>
    <x:t>Falsa culpable (2003)</x:t>
  </x:si>
  <x:si>
    <x:t>Falsa identitat (2001)</x:t>
  </x:si>
  <x:si>
    <x:t>Faltes lleus (2006)</x:t>
  </x:si>
  <x:si>
    <x:t>Fama (2009)</x:t>
  </x:si>
  <x:si>
    <x:t>Fama fatal (2018)</x:t>
  </x:si>
  <x:si>
    <x:t>Família a l'instant (2018)</x:t>
  </x:si>
  <x:si>
    <x:t>Family Man (2000)</x:t>
  </x:si>
  <x:si>
    <x:t>Family Plot-La trama (1976)</x:t>
  </x:si>
  <x:si>
    <x:t>Fanàtic (2019)</x:t>
  </x:si>
  <x:si>
    <x:t>Fanfan la Tulipe (2003)</x:t>
  </x:si>
  <x:si>
    <x:t>Fanny (1961)</x:t>
  </x:si>
  <x:si>
    <x:t>Fanny i Alexander [VOSC] (1982)</x:t>
  </x:si>
  <x:si>
    <x:t>Fantasies d'un escriptor (2021)</x:t>
  </x:si>
  <x:si>
    <x:t>Fantasmes de Mart (2001)</x:t>
  </x:si>
  <x:si>
    <x:t>Fantasmes del passat (1996)</x:t>
  </x:si>
  <x:si>
    <x:t>Fantomas contra Scotland Yard (1967)</x:t>
  </x:si>
  <x:si>
    <x:t>Fargo (1996)</x:t>
  </x:si>
  <x:si>
    <x:t>Farming (2018)</x:t>
  </x:si>
  <x:si>
    <x:t>Fassman, l'increïble home radar (2015)</x:t>
  </x:si>
  <x:si>
    <x:t>Fast and Furious 4: encara més ràpid (2009)</x:t>
  </x:si>
  <x:si>
    <x:t>Fast Food Nation (2006)</x:t>
  </x:si>
  <x:si>
    <x:t>Fata Morgana (1971)</x:t>
  </x:si>
  <x:si>
    <x:t>Fàtima (2020)</x:t>
  </x:si>
  <x:si>
    <x:t>Faust 5.0 (2001)</x:t>
  </x:si>
  <x:si>
    <x:t>Faust: l'amor dels condemnats (2000)</x:t>
  </x:si>
  <x:si>
    <x:t>Fe a la xarxa (2026)</x:t>
  </x:si>
  <x:si>
    <x:t>Febre de venjança (1953)</x:t>
  </x:si>
  <x:si>
    <x:t>Febrer (2004)</x:t>
  </x:si>
  <x:si>
    <x:t>Feliços 50! (2022)</x:t>
  </x:si>
  <x:si>
    <x:t>Felix Kersten, el metge del diable (2007)</x:t>
  </x:si>
  <x:si>
    <x:t>Fellini 8½ (1963)</x:t>
  </x:si>
  <x:si>
    <x:t>Fem Via! (2013)</x:t>
  </x:si>
  <x:si>
    <x:t>Femen, dones guerreres (2014)</x:t>
  </x:si>
  <x:si>
    <x:t>Fènix 11*23 (2012)</x:t>
  </x:si>
  <x:si>
    <x:t>Fentanil, la droga més barata i mortal (2020)</x:t>
  </x:si>
  <x:si>
    <x:t>Ferida (1992)</x:t>
  </x:si>
  <x:si>
    <x:t>Ferran Latorre. Més enllà dels 8.000 (2020)</x:t>
  </x:si>
  <x:si>
    <x:t>Fes-me un petó, Guido (1997)</x:t>
  </x:si>
  <x:si>
    <x:t>Festival Internacional de Màgia, Memorial Li-Chang (2009)</x:t>
  </x:si>
  <x:si>
    <x:t>Festival Internacional de Màgia, Memorial Li-Chang (2010)</x:t>
  </x:si>
  <x:si>
    <x:t>Festival Internacional de Màgia, Memorial Li-Chang (2011)</x:t>
  </x:si>
  <x:si>
    <x:t>Festival Internacional de Màgia, Memorial Li-Chang (2020)</x:t>
  </x:si>
  <x:si>
    <x:t>Festival Internacional de Màgia, Memorial Li-Chang (2021)</x:t>
  </x:si>
  <x:si>
    <x:t>Festival Internacional de Màgia, Memorial Li-Chang (2022)</x:t>
  </x:si>
  <x:si>
    <x:t>Festival Internacional de Màgia, Memorial Li-Chang (2023)</x:t>
  </x:si>
  <x:si>
    <x:t>Festival Internacional de Màgia, Memorial Li-Chang (2024)</x:t>
  </x:si>
  <x:si>
    <x:t>Festival Internacional de Màgia, Memorial Li-Chang (2025)</x:t>
  </x:si>
  <x:si>
    <x:t>Fet a Etiòpia (2024)</x:t>
  </x:si>
  <x:si>
    <x:t>Fet i amagar (2005)</x:t>
  </x:si>
  <x:si>
    <x:t>Fi (2012)</x:t>
  </x:si>
  <x:si>
    <x:t>Ficció (2006)</x:t>
  </x:si>
  <x:si>
    <x:t>Fievel se'n va a l'Oest (1991)</x:t>
  </x:si>
  <x:si>
    <x:t>Filip (2022)</x:t>
  </x:si>
  <x:si>
    <x:t>Fill d'una altra mare (2017)</x:t>
  </x:si>
  <x:si>
    <x:t>Fill de Caín (2013)</x:t>
  </x:si>
  <x:si>
    <x:t>Filla del dolor (2013)</x:t>
  </x:si>
  <x:si>
    <x:t>Fills del sol (2020)</x:t>
  </x:si>
  <x:si>
    <x:t>Final de la Lliga de Campions a Roma (2009)</x:t>
  </x:si>
  <x:si>
    <x:t>Finançament: més enllà dels diners (2025)</x:t>
  </x:si>
  <x:si>
    <x:t>Fineta, una foqueta la mar de salada (2006)</x:t>
  </x:si>
  <x:si>
    <x:t>Fins a perdre el senderi (2012)</x:t>
  </x:si>
  <x:si>
    <x:t>Fins aviat, Don Glees (2021)</x:t>
  </x:si>
  <x:si>
    <x:t>Firecreek (1968)</x:t>
  </x:si>
  <x:si>
    <x:t>Firefox (1982)</x:t>
  </x:si>
  <x:si>
    <x:t>Firewall (2006)</x:t>
  </x:si>
  <x:si>
    <x:t>First Light (2018)</x:t>
  </x:si>
  <x:si>
    <x:t>Fish Tank (2009)</x:t>
  </x:si>
  <x:si>
    <x:t>Fisherman's Friends (2019)</x:t>
  </x:si>
  <x:si>
    <x:t>Five days to dance [VOSC] (2014)</x:t>
  </x:si>
  <x:si>
    <x:t>Flash Gordon (1980)</x:t>
  </x:si>
  <x:si>
    <x:t>Flashback Estiu sagnant (2000)</x:t>
  </x:si>
  <x:si>
    <x:t>Flashmob per la Independència de Catalunya (2012)</x:t>
  </x:si>
  <x:si>
    <x:t>Fletxa trencada (1950)</x:t>
  </x:si>
  <x:si>
    <x:t>Flint, agent secret (1966)</x:t>
  </x:si>
  <x:si>
    <x:t>Floquet de Neu - L'únic goril·la albí (2014)</x:t>
  </x:si>
  <x:si>
    <x:t>Floquet de Neu (2011)</x:t>
  </x:si>
  <x:si>
    <x:t>Flor de cactus (1969)</x:t>
  </x:si>
  <x:si>
    <x:t>Flor de Nit (1993)</x:t>
  </x:si>
  <x:si>
    <x:t>Florence Foster Jenkins (2016)</x:t>
  </x:si>
  <x:si>
    <x:t>Flors negres (2009)</x:t>
  </x:si>
  <x:si>
    <x:t>Flow (2024)</x:t>
  </x:si>
  <x:si>
    <x:t>Flyboys: Herois de l'aire (2006)</x:t>
  </x:si>
  <x:si>
    <x:t>Foc (2014)</x:t>
  </x:si>
  <x:si>
    <x:t>Foc mort (1997)</x:t>
  </x:si>
  <x:si>
    <x:t>Focus (2015)</x:t>
  </x:si>
  <x:si>
    <x:t>Fondre a negre (2006)</x:t>
  </x:si>
  <x:si>
    <x:t>For Evita. Una astracanada musical (2023)</x:t>
  </x:si>
  <x:si>
    <x:t>For the Love of Spock [VOSC] (2016)</x:t>
  </x:si>
  <x:si>
    <x:t>Fora de comptes (2010)</x:t>
  </x:si>
  <x:si>
    <x:t>Fora de joc (2010)</x:t>
  </x:si>
  <x:si>
    <x:t>Fora de joc (2024)</x:t>
  </x:si>
  <x:si>
    <x:t>Fora de la llei (1943)</x:t>
  </x:si>
  <x:si>
    <x:t>Fora l'amor (2003)</x:t>
  </x:si>
  <x:si>
    <x:t>Forasters (2008)</x:t>
  </x:si>
  <x:si>
    <x:t>Força 10 de Navarone (1978)</x:t>
  </x:si>
  <x:si>
    <x:t>Força de xoc (1999)</x:t>
  </x:si>
  <x:si>
    <x:t>Força major (2014)</x:t>
  </x:si>
  <x:si>
    <x:t>Força vital (1985)</x:t>
  </x:si>
  <x:si>
    <x:t>Forenses (2013)</x:t>
  </x:si>
  <x:si>
    <x:t>Forjadors de la diada (2008)</x:t>
  </x:si>
  <x:si>
    <x:t>Formentera Lady (2018)</x:t>
  </x:si>
  <x:si>
    <x:t>Forrest Gump (1994)</x:t>
  </x:si>
  <x:si>
    <x:t>Fort Bravo (1953)</x:t>
  </x:si>
  <x:si>
    <x:t>Fortalesa infernal 2 (1999)</x:t>
  </x:si>
  <x:si>
    <x:t>Fortunata (2017)</x:t>
  </x:si>
  <x:si>
    <x:t>Fosques intencions (2015)</x:t>
  </x:si>
  <x:si>
    <x:t>Foto de família (2018)</x:t>
  </x:si>
  <x:si>
    <x:t>Four Lions (2010)</x:t>
  </x:si>
  <x:si>
    <x:t>Four Rooms (1995)</x:t>
  </x:si>
  <x:si>
    <x:t>Foxcatcher (2014)</x:t>
  </x:si>
  <x:si>
    <x:t>Foxfire: Confessions d'una banda de noies (2012)</x:t>
  </x:si>
  <x:si>
    <x:t>Fracture (2007)</x:t>
  </x:si>
  <x:si>
    <x:t>Fràgils (2005)</x:t>
  </x:si>
  <x:si>
    <x:t>França-Àfrica. Secrets d'un divorci (2025)</x:t>
  </x:si>
  <x:si>
    <x:t>Francesc Boix: Un fotògraf a l'infern (2002)</x:t>
  </x:si>
  <x:si>
    <x:t>Franco i Hollywood (2025)</x:t>
  </x:si>
  <x:si>
    <x:t>Franco, el sentinella d'Occident (2005)</x:t>
  </x:si>
  <x:si>
    <x:t>Frankenstein de Mary Shelley (1994)</x:t>
  </x:si>
  <x:si>
    <x:t>Franklin i el tresor del llac (2006)</x:t>
  </x:si>
  <x:si>
    <x:t>Franklyn (2008)</x:t>
  </x:si>
  <x:si>
    <x:t>Fred al juliol (2014)</x:t>
  </x:si>
  <x:si>
    <x:t>Frederica Montseny, la dona que parla (2021)</x:t>
  </x:si>
  <x:si>
    <x:t>Free Birds: La revolta dels galls dindis (2013)</x:t>
  </x:si>
  <x:si>
    <x:t>Freedom (2007)</x:t>
  </x:si>
  <x:si>
    <x:t>Freeheld (2015)</x:t>
  </x:si>
  <x:si>
    <x:t>Freightened. El preu real del transport marítim (2016)</x:t>
  </x:si>
  <x:si>
    <x:t>French Kiss (1995)</x:t>
  </x:si>
  <x:si>
    <x:t>Frenesí (1972)</x:t>
  </x:si>
  <x:si>
    <x:t>Frequency (2000)</x:t>
  </x:si>
  <x:si>
    <x:t>Fritzi: Un conte revolucionari (2019)</x:t>
  </x:si>
  <x:si>
    <x:t>Frontera (2025)</x:t>
  </x:si>
  <x:si>
    <x:t>Frozen I (2013)</x:t>
  </x:si>
  <x:si>
    <x:t>Frozen II (2019)</x:t>
  </x:si>
  <x:si>
    <x:t>Fúcsia la mini bruixa (2010)</x:t>
  </x:si>
  <x:si>
    <x:t>Fugida de Pretòria (2020)</x:t>
  </x:si>
  <x:si>
    <x:t>Fugida en auto (1915)</x:t>
  </x:si>
  <x:si>
    <x:t>Fugint de la foscor (2001)</x:t>
  </x:si>
  <x:si>
    <x:t>Fugir de Venus (2025)</x:t>
  </x:si>
  <x:si>
    <x:t>Fulles d'herba (2009)</x:t>
  </x:si>
  <x:si>
    <x:t>Fumata blanca (2002)</x:t>
  </x:si>
  <x:si>
    <x:t>Funan (2018)</x:t>
  </x:si>
  <x:si>
    <x:t>Funny Games (2007)</x:t>
  </x:si>
  <x:si>
    <x:t>Funny Games [VOSC] (1997)</x:t>
  </x:si>
  <x:si>
    <x:t>Funny Girl (1968)</x:t>
  </x:si>
  <x:si>
    <x:t>Fúria (2012)</x:t>
  </x:si>
  <x:si>
    <x:t>Fúria cega (2011)</x:t>
  </x:si>
  <x:si>
    <x:t>Fúria oriental (1972)</x:t>
  </x:si>
  <x:si>
    <x:t>Fúria silenciosa (1982)</x:t>
  </x:si>
  <x:si>
    <x:t>Futuresport (1998)</x:t>
  </x:si>
  <x:si>
    <x:t>Gàbia (2018)</x:t>
  </x:si>
  <x:si>
    <x:t>Gabo, la creació de Gabriel García Márquez (2015)</x:t>
  </x:si>
  <x:si>
    <x:t>Gabrielle (2013)</x:t>
  </x:si>
  <x:si>
    <x:t>Gàdor i els taurons (2024)</x:t>
  </x:si>
  <x:si>
    <x:t>Gairebé famosos(2000)</x:t>
  </x:si>
  <x:si>
    <x:t>Gairebé impossible (2019)</x:t>
  </x:si>
  <x:si>
    <x:t>Gala (2003)</x:t>
  </x:si>
  <x:si>
    <x:t>Gal·lípoli (1981)</x:t>
  </x:si>
  <x:si>
    <x:t>Game Over (2015)</x:t>
  </x:si>
  <x:si>
    <x:t>Gamer (2009)</x:t>
  </x:si>
  <x:si>
    <x:t>Gangs of Wasseypur 1a part (2012)</x:t>
  </x:si>
  <x:si>
    <x:t>Gangs of Wasseypur 2a part (2012)</x:t>
  </x:si>
  <x:si>
    <x:t>Gangster Squad: Brigada d'elit (2013)</x:t>
  </x:si>
  <x:si>
    <x:t>Garbo, l'home que va salvar el món (2009)</x:t>
  </x:si>
  <x:si>
    <x:t>Garfield 2 (2006)</x:t>
  </x:si>
  <x:si>
    <x:t>Garfield: la pel·lícula (2024)</x:t>
  </x:si>
  <x:si>
    <x:t>Garrick (2008)</x:t>
  </x:si>
  <x:si>
    <x:t>Gat negre, gat blanc (1998)</x:t>
  </x:si>
  <x:si>
    <x:t>Gats. Un viatge de tornada a casa (2016)</x:t>
  </x:si>
  <x:si>
    <x:t>Gattaca (1997)</x:t>
  </x:si>
  <x:si>
    <x:t>Gaudí, l'arquitecte de Déu (2019)</x:t>
  </x:si>
  <x:si>
    <x:t>Gaza, entre la runa (2009)</x:t>
  </x:si>
  <x:si>
    <x:t>Gaza: entre dos focs (2019)</x:t>
  </x:si>
  <x:si>
    <x:t>Gegant (1956)</x:t>
  </x:si>
  <x:si>
    <x:t>Generació Kibbutz (2020)</x:t>
  </x:si>
  <x:si>
    <x:t>Generació Low Cost (2021)</x:t>
  </x:si>
  <x:si>
    <x:t>Genesis – Live (1973)</x:t>
  </x:si>
  <x:si>
    <x:t>Genesis: In Concert (1977)</x:t>
  </x:si>
  <x:si>
    <x:t>Genets de la justícia (2020)</x:t>
  </x:si>
  <x:si>
    <x:t>Gent de confiança (2004)</x:t>
  </x:si>
  <x:si>
    <x:t>Gent poc corrent (2005)</x:t>
  </x:si>
  <x:si>
    <x:t>Gent que ve i bah (2018)</x:t>
  </x:si>
  <x:si>
    <x:t>George i el drac (2004)</x:t>
  </x:si>
  <x:si>
    <x:t>Geotempesta (2017)</x:t>
  </x:si>
  <x:si>
    <x:t>Gerani a l'hivern (1987)</x:t>
  </x:si>
  <x:si>
    <x:t>Germà ós (2003)</x:t>
  </x:si>
  <x:si>
    <x:t>Germandat de sang (2009)</x:t>
  </x:si>
  <x:si>
    <x:t>Germanes (2012)</x:t>
  </x:si>
  <x:si>
    <x:t>Germanes de sang (2001)</x:t>
  </x:si>
  <x:si>
    <x:t>Germanes de sang (2014)</x:t>
  </x:si>
  <x:si>
    <x:t>Germanes per sorpresa (2018)</x:t>
  </x:si>
  <x:si>
    <x:t>Germans de sang (1995)</x:t>
  </x:si>
  <x:si>
    <x:t>Germans per pebrots (2008)</x:t>
  </x:si>
  <x:si>
    <x:t>Gernika (2016)</x:t>
  </x:si>
  <x:si>
    <x:t>Geronimo (1962)</x:t>
  </x:si>
  <x:si>
    <x:t>Get Carter: Assassí implacable (2000)</x:t>
  </x:si>
  <x:si>
    <x:t>Ghost (1990)</x:t>
  </x:si>
  <x:si>
    <x:t>Ghost in the Shell (1995)</x:t>
  </x:si>
  <x:si>
    <x:t>Ghost in the Shell 2 Innocència (2004)</x:t>
  </x:si>
  <x:si>
    <x:t>Ghost in the Shell 2.0 (2008)</x:t>
  </x:si>
  <x:si>
    <x:t>Ghost Rider II El motorista fantasma, Esperit de venjança (2011)</x:t>
  </x:si>
  <x:si>
    <x:t>Ghost ship: vaixell fantasma (2002)</x:t>
  </x:si>
  <x:si>
    <x:t>Ghost World (2001)</x:t>
  </x:si>
  <x:si>
    <x:t>Ghostlight [VOSC] (2024)</x:t>
  </x:si>
  <x:si>
    <x:t>Giallo (2009)</x:t>
  </x:si>
  <x:si>
    <x:t>Gilda (1946)</x:t>
  </x:si>
  <x:si>
    <x:t>Ginger Snaps (2001)</x:t>
  </x:si>
  <x:si>
    <x:t>Gintama (2017)</x:t>
  </x:si>
  <x:si>
    <x:t>Gira-sols silvestres (2022)</x:t>
  </x:si>
  <x:si>
    <x:t>Girl (2018)</x:t>
  </x:si>
  <x:si>
    <x:t>Gisaku (2005)</x:t>
  </x:si>
  <x:si>
    <x:t>Gladiator II (2024)</x:t>
  </x:si>
  <x:si>
    <x:t>Glimmer man (1996)</x:t>
  </x:si>
  <x:si>
    <x:t>Gloria (1999)</x:t>
  </x:si>
  <x:si>
    <x:t>Glups!! (1985)</x:t>
  </x:si>
  <x:si>
    <x:t>Godzilla - 1954 (1954)</x:t>
  </x:si>
  <x:si>
    <x:t>Godzilla (1998)</x:t>
  </x:si>
  <x:si>
    <x:t>Godzilla (2014)</x:t>
  </x:si>
  <x:si>
    <x:t>Godzilla contra Gigan (1972)</x:t>
  </x:si>
  <x:si>
    <x:t>Godzilla contra King Guidorah (1991)</x:t>
  </x:si>
  <x:si>
    <x:t>Godzilla contra Mothra (1992)</x:t>
  </x:si>
  <x:si>
    <x:t>Gog (1954)</x:t>
  </x:si>
  <x:si>
    <x:t>Gold, la gran estafa (2016)</x:t>
  </x:si>
  <x:si>
    <x:t>GoldenEye (1995)</x:t>
  </x:si>
  <x:si>
    <x:t>Goldfinger (1964)</x:t>
  </x:si>
  <x:si>
    <x:t>Golfus de Roma (1966)</x:t>
  </x:si>
  <x:si>
    <x:t>Goliath (2022)</x:t>
  </x:si>
  <x:si>
    <x:t>Gomorra (2008)</x:t>
  </x:si>
  <x:si>
    <x:t>Good (2008)</x:t>
  </x:si>
  <x:si>
    <x:t>Goodbye Ringo (2018)</x:t>
  </x:si>
  <x:si>
    <x:t>Goodbye Scotland (2014)</x:t>
  </x:si>
  <x:si>
    <x:t>Google i el cervell mundial (2013)</x:t>
  </x:si>
  <x:si>
    <x:t>Goomer (1999)</x:t>
  </x:si>
  <x:si>
    <x:t>Goril·les en la boira (1988)</x:t>
  </x:si>
  <x:si>
    <x:t>Gorky Park (1983)</x:t>
  </x:si>
  <x:si>
    <x:t>Gosford Park (2001)</x:t>
  </x:si>
  <x:si>
    <x:t>Goshu, el violoncel·lista (1982)</x:t>
  </x:si>
  <x:si>
    <x:t>Gossos (2002)</x:t>
  </x:si>
  <x:si>
    <x:t>Gossos a l'espai (2010)</x:t>
  </x:si>
  <x:si>
    <x:t>Gossos assassins (2006)</x:t>
  </x:si>
  <x:si>
    <x:t>Gossos de l'espai (2010)</x:t>
  </x:si>
  <x:si>
    <x:t>Gossos de palla (2011)</x:t>
  </x:si>
  <x:si>
    <x:t>Gothika (2003)</x:t>
  </x:si>
  <x:si>
    <x:t>Grace de Mònaco (2014)</x:t>
  </x:si>
  <x:si>
    <x:t>Gràcies per la propina (1997)</x:t>
  </x:si>
  <x:si>
    <x:t>Gràcies, patró! (2015)</x:t>
  </x:si>
  <x:si>
    <x:t>Gran Torino (2008)</x:t>
  </x:si>
  <x:si>
    <x:t>Granados, el color de la música (2002)</x:t>
  </x:si>
  <x:si>
    <x:t>Grand Piano (2013)</x:t>
  </x:si>
  <x:si>
    <x:t>Grand Prix (1966)</x:t>
  </x:si>
  <x:si>
    <x:t>Grand Prix a la muntanya dels invents (1975)</x:t>
  </x:si>
  <x:si>
    <x:t>Grans esperances (2012)</x:t>
  </x:si>
  <x:si>
    <x:t>Grans horitzons (1958)</x:t>
  </x:si>
  <x:si>
    <x:t>Gravity (2013)</x:t>
  </x:si>
  <x:si>
    <x:t>Grècia, illes al límit (2025)</x:t>
  </x:si>
  <x:si>
    <x:t>Green Book (2018)</x:t>
  </x:si>
  <x:si>
    <x:t>Green Zone: districte protegit (2010)</x:t>
  </x:si>
  <x:si>
    <x:t>Greenland 2: Migració (2026)</x:t>
  </x:si>
  <x:si>
    <x:t>Gremlins I (1984)</x:t>
  </x:si>
  <x:si>
    <x:t>Gremlins II la nova generació (1990)</x:t>
  </x:si>
  <x:si>
    <x:t>Gresca fins al final (2013)</x:t>
  </x:si>
  <x:si>
    <x:t>Gringo Es busca viu o mort (2018)</x:t>
  </x:si>
  <x:si>
    <x:t>Gringo vell (1989)</x:t>
  </x:si>
  <x:si>
    <x:t>Grisú, la tragèdia de Fígols (2024)</x:t>
  </x:si>
  <x:si>
    <x:t>Groenlàndia no es ven (2025)</x:t>
  </x:si>
  <x:si>
    <x:t>Gru 4. El meu dolent preferit (2024)</x:t>
  </x:si>
  <x:si>
    <x:t>Gru, el meu dolent preferit 1 (2010)</x:t>
  </x:si>
  <x:si>
    <x:t>Gru, el meu dolent preferit 2 (2013)</x:t>
  </x:si>
  <x:si>
    <x:t>Gru, el meu dolent preferit 3 (2017)</x:t>
  </x:si>
  <x:si>
    <x:t>Grup salvatge (1969)</x:t>
  </x:si>
  <x:si>
    <x:t>Guardiana de dracs (2024)</x:t>
  </x:si>
  <x:si>
    <x:t>Guardians de la Revolució: els amos de l'Iran (2025)</x:t>
  </x:si>
  <x:si>
    <x:t>Guardians del museu (2023)</x:t>
  </x:si>
  <x:si>
    <x:t>Guerra de bandes (2009)</x:t>
  </x:si>
  <x:si>
    <x:t>Guerra entre homes i dones (1972)</x:t>
  </x:si>
  <x:si>
    <x:t>Guerrera (2011)</x:t>
  </x:si>
  <x:si>
    <x:t>Guest [VOSC] (2010)</x:t>
  </x:si>
  <x:si>
    <x:t>Guillaume i els nois, a taula! (2013)</x:t>
  </x:si>
  <x:si>
    <x:t>Guillem d’Efak. L’ànima negra de l’illa (2017)</x:t>
  </x:si>
  <x:si>
    <x:t>Guillot i Llebre salven el bosc (2024)</x:t>
  </x:si>
  <x:si>
    <x:t>Gun (2010)</x:t>
  </x:si>
  <x:si>
    <x:t>Gunjal [VOSC] (2022)</x:t>
  </x:si>
  <x:si>
    <x:t>H (2014)</x:t>
  </x:si>
  <x:si>
    <x:t>Ha arribat l'àguila (1976)</x:t>
  </x:si>
  <x:si>
    <x:t>Ha nascut una estrella (2018)</x:t>
  </x:si>
  <x:si>
    <x:t>Habitació sense sortida (2007)</x:t>
  </x:si>
  <x:si>
    <x:t>Habitar la utopía (2014)</x:t>
  </x:si>
  <x:si>
    <x:t>Hackers (1995)</x:t>
  </x:si>
  <x:si>
    <x:t>Hackers 1-O (2018)</x:t>
  </x:si>
  <x:si>
    <x:t>Hada (2023)</x:t>
  </x:si>
  <x:si>
    <x:t>Hair (1979)</x:t>
  </x:si>
  <x:si>
    <x:t>Hairspray (2007)</x:t>
  </x:si>
  <x:si>
    <x:t>Haití, el regne de les bandes (2024)</x:t>
  </x:si>
  <x:si>
    <x:t>Half Nelson (2006)</x:t>
  </x:si>
  <x:si>
    <x:t>Halloween (1978)</x:t>
  </x:si>
  <x:si>
    <x:t>Halloween (2007)</x:t>
  </x:si>
  <x:si>
    <x:t>Halloween 2 (1981)</x:t>
  </x:si>
  <x:si>
    <x:t>Halloween: la maledicció de Michael Myers (1995)</x:t>
  </x:si>
  <x:si>
    <x:t>Hamas, la creació d'un monstre (2024)</x:t>
  </x:si>
  <x:si>
    <x:t>Han arribat (1996)</x:t>
  </x:si>
  <x:si>
    <x:t>Han robat La Gioconda (2025)</x:t>
  </x:si>
  <x:si>
    <x:t>Hancock (2007)</x:t>
  </x:si>
  <x:si>
    <x:t>Hangar 18 (1980)</x:t>
  </x:si>
  <x:si>
    <x:t>Hanna (2011)</x:t>
  </x:si>
  <x:si>
    <x:t>Hanna i els monstres (2023)</x:t>
  </x:si>
  <x:si>
    <x:t>Hannah Arendt (2012)</x:t>
  </x:si>
  <x:si>
    <x:t>Hannah i les seves germanes (1986)</x:t>
  </x:si>
  <x:si>
    <x:t>Hanne (2018)</x:t>
  </x:si>
  <x:si>
    <x:t>Hanover Street (1979)</x:t>
  </x:si>
  <x:si>
    <x:t>Hansel i Gretel (2005)</x:t>
  </x:si>
  <x:si>
    <x:t>Hànuman (1998)</x:t>
  </x:si>
  <x:si>
    <x:t>Happy family (2010)</x:t>
  </x:si>
  <x:si>
    <x:t>Happy Feet: Trencant el gel (2006)</x:t>
  </x:si>
  <x:si>
    <x:t>Happy: un conte sobre la felicitat (2008)</x:t>
  </x:si>
  <x:si>
    <x:t>Hardcore Henry (2015)</x:t>
  </x:si>
  <x:si>
    <x:t>Harold i el llapis màgic (2024)</x:t>
  </x:si>
  <x:si>
    <x:t>Harold i Kumar s'escapen de Guantánamo (2008)</x:t>
  </x:si>
  <x:si>
    <x:t>Harold i Maude (1971)</x:t>
  </x:si>
  <x:si>
    <x:t>Harry Black i el tigre (1958)</x:t>
  </x:si>
  <x:si>
    <x:t>Harry el brut (1971)</x:t>
  </x:si>
  <x:si>
    <x:t>Harry el fort (1973)</x:t>
  </x:si>
  <x:si>
    <x:t>Harry l'Executor (1976)</x:t>
  </x:si>
  <x:si>
    <x:t>Harry Potter i el calze de foc (2005)</x:t>
  </x:si>
  <x:si>
    <x:t>Harry Potter i el misteri del príncep (2009)</x:t>
  </x:si>
  <x:si>
    <x:t>Harry Potter i el pres d'Azkaban (2004)</x:t>
  </x:si>
  <x:si>
    <x:t>Harry Potter i l'Orde del Fènix (2007)</x:t>
  </x:si>
  <x:si>
    <x:t>Harry Potter i la cambra secreta (2002)</x:t>
  </x:si>
  <x:si>
    <x:t>Harry Potter i la pedra filosofal (2001)</x:t>
  </x:si>
  <x:si>
    <x:t>Harry Potter i les relíquies de la mort: part 1 (2010)</x:t>
  </x:si>
  <x:si>
    <x:t>Harry Potter i les relíquies de la mort: part 2 (2011)</x:t>
  </x:si>
  <x:si>
    <x:t>Harry, un amic que us estima (2000)</x:t>
  </x:si>
  <x:si>
    <x:t>Harsh Times: Vides al límit (2005)</x:t>
  </x:si>
  <x:si>
    <x:t>Hasta la vista (2011)</x:t>
  </x:si>
  <x:si>
    <x:t>Hava, Maryam, Ayesha (2019)</x:t>
  </x:si>
  <x:si>
    <x:t>Havies de ser tu (2010)</x:t>
  </x:si>
  <x:si>
    <x:t>He caminat amb un zombi (1943)</x:t>
  </x:si>
  <x:si>
    <x:t>Headhunters (2011)</x:t>
  </x:si>
  <x:si>
    <x:t>Heavies tendres: La pel·lícula (2023)</x:t>
  </x:si>
  <x:si>
    <x:t>Hei Buh i el castell embruixat (2022)</x:t>
  </x:si>
  <x:si>
    <x:t>Heidi (2015)</x:t>
  </x:si>
  <x:si>
    <x:t>Heidi, el rescat del linx (2025)</x:t>
  </x:si>
  <x:si>
    <x:t>Heinrich Himmler Anatomia d'un assassí de masses (2008)</x:t>
  </x:si>
  <x:si>
    <x:t>Hellboy (2004)</x:t>
  </x:si>
  <x:si>
    <x:t>Hellboy II: l'exèrcit daurat (2008)</x:t>
  </x:si>
  <x:si>
    <x:t>Hellion: L'àngel caigut (2007)</x:t>
  </x:si>
  <x:si>
    <x:t>Hello World (2019)</x:t>
  </x:si>
  <x:si>
    <x:t>Hellraiser (1987)</x:t>
  </x:si>
  <x:si>
    <x:t>Hem caminat damunt la Lluna (1992)</x:t>
  </x:si>
  <x:si>
    <x:t>Hem d'atrapar Santa Claus!! (2008)</x:t>
  </x:si>
  <x:si>
    <x:t>Hem fet el cim! (1985)</x:t>
  </x:si>
  <x:si>
    <x:t>Her Blue Sky (2019)</x:t>
  </x:si>
  <x:si>
    <x:t>Hercules (1997)</x:t>
  </x:si>
  <x:si>
    <x:t>Hèrcules: L'origen de la llegenda (2014)</x:t>
  </x:si>
  <x:si>
    <x:t>Heretgia en taronja torrat (Una obra mestra) (2019)</x:t>
  </x:si>
  <x:si>
    <x:t>Hero (2002)</x:t>
  </x:si>
  <x:si>
    <x:t>Heroi de ratlles (2005)</x:t>
  </x:si>
  <x:si>
    <x:t>Heroi per accident (1992)</x:t>
  </x:si>
  <x:si>
    <x:t>Herois (2010)</x:t>
  </x:si>
  <x:si>
    <x:t>Herois a la galàxia (1988)</x:t>
  </x:si>
  <x:si>
    <x:t>Herois de Central Park (2023)</x:t>
  </x:si>
  <x:si>
    <x:t>Herois del cel (2005)</x:t>
  </x:si>
  <x:si>
    <x:t>Hi havia una vegada a Amèrica - I (1984)</x:t>
  </x:si>
  <x:si>
    <x:t>Hi havia una vegada a Amèrica - II (1984)</x:t>
  </x:si>
  <x:si>
    <x:t>Hi havia una vegada a la Xina. Part 1 (1991)</x:t>
  </x:si>
  <x:si>
    <x:t>Hi havia una vegada a la Xina. Part 2 (1992)</x:t>
  </x:si>
  <x:si>
    <x:t>Hi havia una vegada a la Xina. Part 3 (1993)</x:t>
  </x:si>
  <x:si>
    <x:t>Hi havia una vegada... (2020)</x:t>
  </x:si>
  <x:si>
    <x:t>Hipnos (2004)</x:t>
  </x:si>
  <x:si>
    <x:t>Hiroshima (1983)</x:t>
  </x:si>
  <x:si>
    <x:t>Histèria (2011)</x:t>
  </x:si>
  <x:si>
    <x:t>Història d'O (1975)</x:t>
  </x:si>
  <x:si>
    <x:t>Història d'un assaig (2020)</x:t>
  </x:si>
  <x:si>
    <x:t>Història d'un crim (2006)</x:t>
  </x:si>
  <x:si>
    <x:t>Història d'un segrest (2005)</x:t>
  </x:si>
  <x:si>
    <x:t>Història d'una anarquista (2007)</x:t>
  </x:si>
  <x:si>
    <x:t>Història d'una gavina i del gat que li va ensenyar a volar (1998)</x:t>
  </x:si>
  <x:si>
    <x:t>Història d'una mare (2025)</x:t>
  </x:si>
  <x:si>
    <x:t>Història d'una monja (1959)</x:t>
  </x:si>
  <x:si>
    <x:t>Història d'una traïció (2021)</x:t>
  </x:si>
  <x:si>
    <x:t>Història de la meva mort (2013)</x:t>
  </x:si>
  <x:si>
    <x:t>Història del cafè (para todos) (2011)</x:t>
  </x:si>
  <x:si>
    <x:t>Història intermitent del Parlament (2020)</x:t>
  </x:si>
  <x:si>
    <x:t>Històries de Manhattan (2007)</x:t>
  </x:si>
  <x:si>
    <x:t>Històries de mitjanit (1997)</x:t>
  </x:si>
  <x:si>
    <x:t>Històries de Palau (2018)</x:t>
  </x:si>
  <x:si>
    <x:t>Històries per no explicar (2022)</x:t>
  </x:si>
  <x:si>
    <x:t>Historietes (1994)</x:t>
  </x:si>
  <x:si>
    <x:t>Hit Man (2023)</x:t>
  </x:si>
  <x:si>
    <x:t>Hitchcock (2012)</x:t>
  </x:si>
  <x:si>
    <x:t>Hitchcock/Truffaut [VOSC] (2015)</x:t>
  </x:si>
  <x:si>
    <x:t>Hitler i París (2017)</x:t>
  </x:si>
  <x:si>
    <x:t>Hits (2019)</x:t>
  </x:si>
  <x:si>
    <x:t>Hola, Europa! (2012)</x:t>
  </x:si>
  <x:si>
    <x:t>Hollywood, departament d'homicidis (2003)</x:t>
  </x:si>
  <x:si>
    <x:t>Home mort (2017)</x:t>
  </x:si>
  <x:si>
    <x:t>Home: Llar dolça llar (2015)</x:t>
  </x:si>
  <x:si>
    <x:t>Homenatge a Pau Riba (2006)</x:t>
  </x:si>
  <x:si>
    <x:t>Homenatge a Pepe Rubianes. El club (2009)</x:t>
  </x:si>
  <x:si>
    <x:t>Homenatge als Beatles sobre gel (2011)</x:t>
  </x:si>
  <x:si>
    <x:t>Homes a l'aigua (2018)</x:t>
  </x:si>
  <x:si>
    <x:t>Homes a punt de tenir un atac de nervis (2022)</x:t>
  </x:si>
  <x:si>
    <x:t>Homes d'empresa (2010)</x:t>
  </x:si>
  <x:si>
    <x:t>Homes i No (1978)</x:t>
  </x:si>
  <x:si>
    <x:t>Homes i ratolins (1992)</x:t>
  </x:si>
  <x:si>
    <x:t>Homicidi en primer grau (1995)</x:t>
  </x:si>
  <x:si>
    <x:t>Honor de caballer (2008)</x:t>
  </x:si>
  <x:si>
    <x:t>Honor de cavalleria (2006)</x:t>
  </x:si>
  <x:si>
    <x:t>Hook (1991)</x:t>
  </x:si>
  <x:si>
    <x:t>Hope (2019)</x:t>
  </x:si>
  <x:si>
    <x:t>Hopper: El polletllebre (2022)</x:t>
  </x:si>
  <x:si>
    <x:t>Hoppers (2026)</x:t>
  </x:si>
  <x:si>
    <x:t>Hora punta (1998)</x:t>
  </x:si>
  <x:si>
    <x:t>Hora punta 3 (2007)</x:t>
  </x:si>
  <x:si>
    <x:t>Horitzons perduts (1937)</x:t>
  </x:si>
  <x:si>
    <x:t>Hostage (2005)</x:t>
  </x:si>
  <x:si>
    <x:t>Hostel (2005)</x:t>
  </x:si>
  <x:si>
    <x:t>Hostel 2 (2007)</x:t>
  </x:si>
  <x:si>
    <x:t>Hotel Artemis (2018)</x:t>
  </x:si>
  <x:si>
    <x:t>Hotel Bombai (2018)</x:t>
  </x:si>
  <x:si>
    <x:t>Hotel Rwanda (2004)</x:t>
  </x:si>
  <x:si>
    <x:t>Hotel Salvation (2016)</x:t>
  </x:si>
  <x:si>
    <x:t>Hotel Transsilvània 1 (2012)</x:t>
  </x:si>
  <x:si>
    <x:t>Hotel Transsilvània 2 (2015)</x:t>
  </x:si>
  <x:si>
    <x:t>Hotel Transsilvània 3 Unes vacances monstruoses (2018)</x:t>
  </x:si>
  <x:si>
    <x:t>Hotel Transsilvània 4 Transformania (2022)</x:t>
  </x:si>
  <x:si>
    <x:t>House of D (2004)</x:t>
  </x:si>
  <x:si>
    <x:t>Hula Girls (2006)</x:t>
  </x:si>
  <x:si>
    <x:t>Human Lost (2019)</x:t>
  </x:si>
  <x:si>
    <x:t>Hurlyburly (1998)</x:t>
  </x:si>
  <x:si>
    <x:t>Hvaldimir La veritable història de la balena espia (2024)</x:t>
  </x:si>
  <x:si>
    <x:t>Hypnotic (2023)</x:t>
  </x:si>
  <x:si>
    <x:t>I això... de qui és? (2021)</x:t>
  </x:si>
  <x:si>
    <x:t>I Am Woman (2019)</x:t>
  </x:si>
  <x:si>
    <x:t>I ara, on anem (2011)</x:t>
  </x:si>
  <x:si>
    <x:t>I ara, què envaïm? (2015)</x:t>
  </x:si>
  <x:si>
    <x:t>I la vida continua (2014)</x:t>
  </x:si>
  <x:si>
    <x:t>I Love Sarah Jane [VOSC] (2008)</x:t>
  </x:si>
  <x:si>
    <x:t>I mor perquè et toca (2022)</x:t>
  </x:si>
  <x:si>
    <x:t>I si vivim tots junts? (2011)</x:t>
  </x:si>
  <x:si>
    <x:t>I si...? (2013)</x:t>
  </x:si>
  <x:si>
    <x:t>I tant que sí! Potser (2008)</x:t>
  </x:si>
  <x:si>
    <x:t>I tu, que en saps! (2004)</x:t>
  </x:si>
  <x:si>
    <x:t>I vas arribar tu (2020)</x:t>
  </x:si>
  <x:si>
    <x:t>I'm Here [VOSC] (2010)</x:t>
  </x:si>
  <x:si>
    <x:t>Ice Age 1: L'edat de gel (2002)</x:t>
  </x:si>
  <x:si>
    <x:t>Ice Age 2: El desglaç (2006)</x:t>
  </x:si>
  <x:si>
    <x:t>Ice Age 3: L'origen dels dinosaures (2009)</x:t>
  </x:si>
  <x:si>
    <x:t>Ice Age 4: La formació dels continents (2012)</x:t>
  </x:si>
  <x:si>
    <x:t>Ice Age 5: El gran cataclisme (2016)</x:t>
  </x:si>
  <x:si>
    <x:t>Ida (2013)</x:t>
  </x:si>
  <x:si>
    <x:t>Identitat (2003)</x:t>
  </x:si>
  <x:si>
    <x:t>Iep! (2010)</x:t>
  </x:si>
  <x:si>
    <x:t>Ignacio Ramonet : “Els mercats, un poder sense societat” (2012)</x:t>
  </x:si>
  <x:si>
    <x:t>Ignasi M. (2013)</x:t>
  </x:si>
  <x:si>
    <x:t>Ikea: El saqueig dels boscos (2024)</x:t>
  </x:si>
  <x:si>
    <x:t>Il Gattopardo [VOSC] (1963)</x:t>
  </x:si>
  <x:si>
    <x:t>Il·lusions perdudes (2021)</x:t>
  </x:si>
  <x:si>
    <x:t>Imagina't tu i jo (Roses vermelles) (2005)</x:t>
  </x:si>
  <x:si>
    <x:t>Immadurs (2011)</x:t>
  </x:si>
  <x:si>
    <x:t>Immigrants (L.A. Dolce Vita) (2008)</x:t>
  </x:si>
  <x:si>
    <x:t>Impacte imminent (1996)</x:t>
  </x:si>
  <x:si>
    <x:t>Impacte sobtat (1983)</x:t>
  </x:si>
  <x:si>
    <x:t>Imperium (2016)</x:t>
  </x:si>
  <x:si>
    <x:t>Implosion (2011)</x:t>
  </x:si>
  <x:si>
    <x:t>In the Tall Grass [VOSC] (2019)</x:t>
  </x:si>
  <x:si>
    <x:t>Incendis (2010)</x:t>
  </x:si>
  <x:si>
    <x:t>Incerta Glòria (2017)</x:t>
  </x:si>
  <x:si>
    <x:t>Incidències (2015)</x:t>
  </x:si>
  <x:si>
    <x:t>Inconscients (2004)</x:t>
  </x:si>
  <x:si>
    <x:t>Indestructible (2016)</x:t>
  </x:si>
  <x:si>
    <x:t>Indiana Jones - A la recerca de l'arca perduda (1981)</x:t>
  </x:si>
  <x:si>
    <x:t>Indiana Jones i el dial del destí (2023)</x:t>
  </x:si>
  <x:si>
    <x:t>Indiana Jones i el regne de la calavera de cristall (2008)</x:t>
  </x:si>
  <x:si>
    <x:t>Indiana Jones i el temple maleït (1984)</x:t>
  </x:si>
  <x:si>
    <x:t>Indiana Jones i l'última croada (1989)</x:t>
  </x:si>
  <x:si>
    <x:t>Indignats (2012)</x:t>
  </x:si>
  <x:si>
    <x:t>Indomable (2011)</x:t>
  </x:si>
  <x:si>
    <x:t>Infants a les xarxes: sobreexposats en nom del like (2023)</x:t>
  </x:si>
  <x:si>
    <x:t>Infectats (2009)</x:t>
  </x:si>
  <x:si>
    <x:t>Infern als núvols (1951)</x:t>
  </x:si>
  <x:si>
    <x:t>Infern blanc (2011)</x:t>
  </x:si>
  <x:si>
    <x:t>Infern blau (2016)</x:t>
  </x:si>
  <x:si>
    <x:t>Infiltrat al KKKlan (2018)</x:t>
  </x:si>
  <x:si>
    <x:t>Infiltrats (2006)</x:t>
  </x:si>
  <x:si>
    <x:t>Infiltrats (2025)</x:t>
  </x:si>
  <x:si>
    <x:t>Informe general II. El nou rapte d'Europa (2015)</x:t>
  </x:si>
  <x:si>
    <x:t>Ingenu i afortunat (1920)</x:t>
  </x:si>
  <x:si>
    <x:t>Ingrid (2009)</x:t>
  </x:si>
  <x:si>
    <x:t>Inner Workings (2016)</x:t>
  </x:si>
  <x:si>
    <x:t>Innocència i joventut (1937)</x:t>
  </x:si>
  <x:si>
    <x:t>Innocència interrompuda (1999)</x:t>
  </x:si>
  <x:si>
    <x:t>Innocència rebel (1997)</x:t>
  </x:si>
  <x:si>
    <x:t>Inoblidable (2017)</x:t>
  </x:si>
  <x:si>
    <x:t>Insensibles (2012)</x:t>
  </x:si>
  <x:si>
    <x:t>Inseparables (1988)</x:t>
  </x:si>
  <x:si>
    <x:t>Insidious (2010)</x:t>
  </x:si>
  <x:si>
    <x:t>Insidious: Capítol 2 (2013)</x:t>
  </x:si>
  <x:si>
    <x:t>Insidious: Capítol 3 (2015)</x:t>
  </x:si>
  <x:si>
    <x:t>Insomni (2002)</x:t>
  </x:si>
  <x:si>
    <x:t>Inspector Wolff: El retorn (2012)</x:t>
  </x:si>
  <x:si>
    <x:t>Inspectora Nemez: Sentència de mort (2019)</x:t>
  </x:si>
  <x:si>
    <x:t>Instint bàsic (1992)</x:t>
  </x:si>
  <x:si>
    <x:t>Instint maternal (2017)</x:t>
  </x:si>
  <x:si>
    <x:t>Instint maternal (2018)</x:t>
  </x:si>
  <x:si>
    <x:t>Instruccions per enterrar un pare (2020)</x:t>
  </x:si>
  <x:si>
    <x:t>Instrusisme: la salut en perill (2024)</x:t>
  </x:si>
  <x:si>
    <x:t>Intencions perverses (1999)</x:t>
  </x:si>
  <x:si>
    <x:t>Intercanvi fatal (2016)</x:t>
  </x:si>
  <x:si>
    <x:t>Interès d’Estat. En ruta (2017)</x:t>
  </x:si>
  <x:si>
    <x:t>Interestatal 60: Episodis de carretera (2002)</x:t>
  </x:si>
  <x:si>
    <x:t>Interferències (2011)</x:t>
  </x:si>
  <x:si>
    <x:t>Interiors (1978)</x:t>
  </x:si>
  <x:si>
    <x:t>Interstella 5555 The 5tory of the 5ecret 5tar 5ystem [VOSC] (2003)</x:t>
  </x:si>
  <x:si>
    <x:t>Interstellar (versió IMAX) (2014)</x:t>
  </x:si>
  <x:si>
    <x:t>Íntim i personal (1996)</x:t>
  </x:si>
  <x:si>
    <x:t>Intocable (2011)</x:t>
  </x:si>
  <x:si>
    <x:t>Intractable (2021)</x:t>
  </x:si>
  <x:si>
    <x:t>Inuyasha 1: els sentiments que viuen més enllà del temps (2001)</x:t>
  </x:si>
  <x:si>
    <x:t>Inuyasha 2: el castell més enllà del mirall (2002)</x:t>
  </x:si>
  <x:si>
    <x:t>Inuyasha 3: l'espasa de la conquesta (2003)</x:t>
  </x:si>
  <x:si>
    <x:t>Inuyasha 4: foc a l'illa mística (2004)</x:t>
  </x:si>
  <x:si>
    <x:t>Inuyashiki (2018)</x:t>
  </x:si>
  <x:si>
    <x:t>Invasió (2007)</x:t>
  </x:si>
  <x:si>
    <x:t>Invasió a la Terra (2011)</x:t>
  </x:si>
  <x:si>
    <x:t>Invasors de l'Everest (2023)</x:t>
  </x:si>
  <x:si>
    <x:t>Invasors de Mart (1953)</x:t>
  </x:si>
  <x:si>
    <x:t>Invictus (2009)</x:t>
  </x:si>
  <x:si>
    <x:t>Invisibles (2014)</x:t>
  </x:si>
  <x:si>
    <x:t>Invitació a la dansa (1956)</x:t>
  </x:si>
  <x:si>
    <x:t>Invitació a un pistoler (1964)</x:t>
  </x:si>
  <x:si>
    <x:t>Ip Man (2008)</x:t>
  </x:si>
  <x:si>
    <x:t>Iqbal i el superxip (2016)</x:t>
  </x:si>
  <x:si>
    <x:t>Iqbal i la fórmula secreta (2015)</x:t>
  </x:si>
  <x:si>
    <x:t>Ira de titans (2012)</x:t>
  </x:si>
  <x:si>
    <x:t>Iris (2004)</x:t>
  </x:si>
  <x:si>
    <x:t>Iris TV (2003)</x:t>
  </x:si>
  <x:si>
    <x:t>Irlanda del Nord: Una frontera d'alt risc (2024)</x:t>
  </x:si>
  <x:si>
    <x:t>Iron Maiden - Rock In Rio (1985)</x:t>
  </x:si>
  <x:si>
    <x:t>Iron Maiden - Rock In Rio (2001)</x:t>
  </x:si>
  <x:si>
    <x:t>Iron Man (2008)</x:t>
  </x:si>
  <x:si>
    <x:t>Irrational Man (2015)</x:t>
  </x:si>
  <x:si>
    <x:t>Irresistible (2006)</x:t>
  </x:si>
  <x:si>
    <x:t>Isaac (2020)</x:t>
  </x:si>
  <x:si>
    <x:t>Isadora (1968)</x:t>
  </x:si>
  <x:si>
    <x:t>Ismael (2013)</x:t>
  </x:si>
  <x:si>
    <x:t>Israel, els ministres del caos (2024)</x:t>
  </x:si>
  <x:si>
    <x:t>Israel: els homes de negre (2016)</x:t>
  </x:si>
  <x:si>
    <x:t>It (2017)</x:t>
  </x:si>
  <x:si>
    <x:t>It Follows (2014)</x:t>
  </x:si>
  <x:si>
    <x:t>Ivanhoe (1952)</x:t>
  </x:si>
  <x:si>
    <x:t>Ja pots matar la núvia (2016)</x:t>
  </x:si>
  <x:si>
    <x:t>Ja t'enyoro (2015)</x:t>
  </x:si>
  <x:si>
    <x:t>Jaciment lunar (1996)</x:t>
  </x:si>
  <x:si>
    <x:t>Jack Frost (1998)</x:t>
  </x:si>
  <x:si>
    <x:t>Jack, el matagegants (2013)</x:t>
  </x:si>
  <x:si>
    <x:t>Jackie (2012)</x:t>
  </x:si>
  <x:si>
    <x:t>Jackie (2016)</x:t>
  </x:si>
  <x:si>
    <x:t>Jackie Brown (1997)</x:t>
  </x:si>
  <x:si>
    <x:t>Jacob llop (2011)</x:t>
  </x:si>
  <x:si>
    <x:t>Jacob, Mimi i els gossos del barri (2019)</x:t>
  </x:si>
  <x:si>
    <x:t>Jacuzzi al passat (2010)</x:t>
  </x:si>
  <x:si>
    <x:t>Jane Eyre (2011)</x:t>
  </x:si>
  <x:si>
    <x:t>Japó, l’imperi dels homes (1987)</x:t>
  </x:si>
  <x:si>
    <x:t>Jàson i els argonautes (1963)</x:t>
  </x:si>
  <x:si>
    <x:t>Jaume I, memòria d'un rei (2010)</x:t>
  </x:si>
  <x:si>
    <x:t>Javier Cercas i l'impostor (2025)</x:t>
  </x:si>
  <x:si>
    <x:t>JCVD (2008)</x:t>
  </x:si>
  <x:si>
    <x:t>Jean Michel Jarre - Destination Docklands (1988)</x:t>
  </x:si>
  <x:si>
    <x:t>Jean Michel Jarre - The Twelve Dreams Of The Sun (1999)</x:t>
  </x:si>
  <x:si>
    <x:t>Jean-François i el sentit de la vida (2018)</x:t>
  </x:si>
  <x:si>
    <x:t>Jeanny, la cinquena noia (2022)</x:t>
  </x:si>
  <x:si>
    <x:t>Jeepers Creepers 2 (2003)</x:t>
  </x:si>
  <x:si>
    <x:t>Jeepers Creepers. El renaixement (2022)</x:t>
  </x:si>
  <x:si>
    <x:t>Jeremiah Johnson (1972)</x:t>
  </x:si>
  <x:si>
    <x:t>Jersey Boys (2014)</x:t>
  </x:si>
  <x:si>
    <x:t>Jesus Christ Superstar [VOSC] (1973)</x:t>
  </x:si>
  <x:si>
    <x:t>Jet Boy (2001)</x:t>
  </x:si>
  <x:si>
    <x:t>Jexi (2019)</x:t>
  </x:si>
  <x:si>
    <x:t>Jezebel (1938)</x:t>
  </x:si>
  <x:si>
    <x:t>JFK, cas pendent (2013)</x:t>
  </x:si>
  <x:si>
    <x:t>Jimmy Neutró, el nen inventor (2001)</x:t>
  </x:si>
  <x:si>
    <x:t>Jimmy Page &amp; Robert Plant - Live at Rockpalast (1998)</x:t>
  </x:si>
  <x:si>
    <x:t>Jimmy Page, Robert Plant - No Quarter, Unledded (2004)</x:t>
  </x:si>
  <x:si>
    <x:t>Jimmy's Hall [VOSC] (2014)</x:t>
  </x:si>
  <x:si>
    <x:t>Jindabyne (2006)</x:t>
  </x:si>
  <x:si>
    <x:t>Jo confesso (1953)</x:t>
  </x:si>
  <x:si>
    <x:t>Jo hi vaig ser (2012)</x:t>
  </x:si>
  <x:si>
    <x:t>Jo la busco (2018)</x:t>
  </x:si>
  <x:si>
    <x:t>Jo sí que et crec (2024)</x:t>
  </x:si>
  <x:si>
    <x:t>Jo sóc l'amor (2009)</x:t>
  </x:si>
  <x:si>
    <x:t>Jo sóc la Juani (2006)</x:t>
  </x:si>
  <x:si>
    <x:t>Jo soc nosaltres (2022)</x:t>
  </x:si>
  <x:si>
    <x:t>Jo vigilo el camí (1970)</x:t>
  </x:si>
  <x:si>
    <x:t>Jo, Daniel Blake (2016)</x:t>
  </x:si>
  <x:si>
    <x:t>Jo, Frankenstein (2014)</x:t>
  </x:si>
  <x:si>
    <x:t>Jo, gran caçador (1979)</x:t>
  </x:si>
  <x:si>
    <x:t>Jo, Ramon Llull (2016)</x:t>
  </x:si>
  <x:si>
    <x:t>Jo, robot (2004)</x:t>
  </x:si>
  <x:si>
    <x:t>Jo, Tonya (2017)</x:t>
  </x:si>
  <x:si>
    <x:t>Joan Baptista Humet - Concert al Palau de la Musica (1985)</x:t>
  </x:si>
  <x:si>
    <x:t>Joan Peiró i la justícia de Franco (2004)</x:t>
  </x:si>
  <x:si>
    <x:t>Joana Biarnés, una entre tots (2015)</x:t>
  </x:si>
  <x:si>
    <x:t>Joana d'Arc (1999)</x:t>
  </x:si>
  <x:si>
    <x:t>Jobs (2013)</x:t>
  </x:si>
  <x:si>
    <x:t>Joc amb la mort (1978)</x:t>
  </x:si>
  <x:si>
    <x:t>Joc d'armes (2016)</x:t>
  </x:si>
  <x:si>
    <x:t>Joc de dones (2004)</x:t>
  </x:si>
  <x:si>
    <x:t>Jocs bruts (2013)</x:t>
  </x:si>
  <x:si>
    <x:t>Jocs de guerra (1983)</x:t>
  </x:si>
  <x:si>
    <x:t>Jocs prohibits (1952)</x:t>
  </x:si>
  <x:si>
    <x:t>Jocs secrets (2006)</x:t>
  </x:si>
  <x:si>
    <x:t>Jodorowsky's Dune [VOSC] (2013)</x:t>
  </x:si>
  <x:si>
    <x:t>John Rambo (2008)</x:t>
  </x:si>
  <x:si>
    <x:t>John Wick 3: Parabellum (2019)</x:t>
  </x:si>
  <x:si>
    <x:t>John Wick Chapter 4 (2023)</x:t>
  </x:si>
  <x:si>
    <x:t>Johnny English (2003)</x:t>
  </x:si>
  <x:si>
    <x:t>Johnny English Returns (2011)</x:t>
  </x:si>
  <x:si>
    <x:t>Johnny English torna a l'acció (2018)</x:t>
  </x:si>
  <x:si>
    <x:t>Johnny i Clementina a l'oest (1965)</x:t>
  </x:si>
  <x:si>
    <x:t>Johnny Mnemonic (1995)</x:t>
  </x:si>
  <x:si>
    <x:t>Jonah Hex (2010)</x:t>
  </x:si>
  <x:si>
    <x:t>Jordi Mir. Pompeufabrant Catalunya (2024)</x:t>
  </x:si>
  <x:si>
    <x:t>Jorge Fernández Díaz contra el mal (2021)</x:t>
  </x:si>
  <x:si>
    <x:t>Josee, el tigre i els peixos (2020)</x:t>
  </x:si>
  <x:si>
    <x:t>Josep (2020)</x:t>
  </x:si>
  <x:si>
    <x:t>Josep Tarradellas, memòria d'una legitimitat (1999)</x:t>
  </x:si>
  <x:si>
    <x:t>Joseph: Rei dels somnis (2000)</x:t>
  </x:si>
  <x:si>
    <x:t>Joséphine (2013)</x:t>
  </x:si>
  <x:si>
    <x:t>Jove i bonica (2013)</x:t>
  </x:si>
  <x:si>
    <x:t>Joventut (2015)</x:t>
  </x:si>
  <x:si>
    <x:t>Joves i bruixes (1996)</x:t>
  </x:si>
  <x:si>
    <x:t>Joves prodigiosos (2000)</x:t>
  </x:si>
  <x:si>
    <x:t>Joy (2015)</x:t>
  </x:si>
  <x:si>
    <x:t>Jubilació impossible (2019)</x:t>
  </x:si>
  <x:si>
    <x:t>Jubilació impossible 2 (2022)</x:t>
  </x:si>
  <x:si>
    <x:t>Jude (1996)</x:t>
  </x:si>
  <x:si>
    <x:t>Judy &amp; Punch (2019)</x:t>
  </x:si>
  <x:si>
    <x:t>Jugant amb foc (2023)</x:t>
  </x:si>
  <x:si>
    <x:t>JuicyFields, l'engany rus (2024)</x:t>
  </x:si>
  <x:si>
    <x:t>Jujol-Gaudí, dos genis de l'arquitectura (2016)</x:t>
  </x:si>
  <x:si>
    <x:t>Júlia ist (2017)</x:t>
  </x:si>
  <x:si>
    <x:t>Julie i Julia (2009)</x:t>
  </x:si>
  <x:si>
    <x:t>Juliet, nua (2018)</x:t>
  </x:si>
  <x:si>
    <x:t>Jumanji (1995)</x:t>
  </x:si>
  <x:si>
    <x:t>Jumpin' Jack Flash (1986)</x:t>
  </x:si>
  <x:si>
    <x:t>Jumping the Broom (2011)</x:t>
  </x:si>
  <x:si>
    <x:t>Jungle Cruise (2021)</x:t>
  </x:si>
  <x:si>
    <x:t>Junior (2023)</x:t>
  </x:si>
  <x:si>
    <x:t>Junts i barrejats (2014)</x:t>
  </x:si>
  <x:si>
    <x:t>Junts i res més (2007)</x:t>
  </x:si>
  <x:si>
    <x:t>Jurassic World: Dominion (2022)</x:t>
  </x:si>
  <x:si>
    <x:t>Jurassic World: El regne caigut (2018)</x:t>
  </x:si>
  <x:si>
    <x:t>Jurassic World: el renéixer (2025)</x:t>
  </x:si>
  <x:si>
    <x:t>Just a gigolo (2019)</x:t>
  </x:si>
  <x:si>
    <x:t>Justícia per als rohingyes (2020)</x:t>
  </x:si>
  <x:si>
    <x:t>Jutge Dredd (1995)</x:t>
  </x:si>
  <x:si>
    <x:t>K-19 (2002)</x:t>
  </x:si>
  <x:si>
    <x:t>K-Pax (2001)</x:t>
  </x:si>
  <x:si>
    <x:t>Kabul, City in the Wind [VOSC] (2018)</x:t>
  </x:si>
  <x:si>
    <x:t>Kaena, la profecia (2003)</x:t>
  </x:si>
  <x:si>
    <x:t>Kai Doh Maru (2001)</x:t>
  </x:si>
  <x:si>
    <x:t>Kamikaze Girls (2004)</x:t>
  </x:si>
  <x:si>
    <x:t>Kàrate a mort a Bangkok (1971)</x:t>
  </x:si>
  <x:si>
    <x:t>Karate Kid (2010)</x:t>
  </x:si>
  <x:si>
    <x:t>Karate Kid I (1984)</x:t>
  </x:si>
  <x:si>
    <x:t>Karate Kid II (1986)</x:t>
  </x:si>
  <x:si>
    <x:t>Karate Kid III (1989)</x:t>
  </x:si>
  <x:si>
    <x:t>Karnabal (1985)</x:t>
  </x:si>
  <x:si>
    <x:t>Katmandú, un mirall al cel (2011)</x:t>
  </x:si>
  <x:si>
    <x:t>Kauwboy (2012)</x:t>
  </x:si>
  <x:si>
    <x:t>Kebab Connection (2005)</x:t>
  </x:si>
  <x:si>
    <x:t>Keith Jarrett trio - Barcelona (1985)</x:t>
  </x:si>
  <x:si>
    <x:t>Kenshin, el guerrer samurai (2012)</x:t>
  </x:si>
  <x:si>
    <x:t>Kerity, la casa dels contes (2009)</x:t>
  </x:si>
  <x:si>
    <x:t>Khumba (2013)</x:t>
  </x:si>
  <x:si>
    <x:t>Kickboxer (1989)</x:t>
  </x:si>
  <x:si>
    <x:t>Kids (1995)</x:t>
  </x:si>
  <x:si>
    <x:t>Kids and Music. Sant Andreu Jazz Band (2012)</x:t>
  </x:si>
  <x:si>
    <x:t>Kiki, l'aprenent de bruixa (1989)</x:t>
  </x:si>
  <x:si>
    <x:t>Kikoriki. Equip invencible (2011)</x:t>
  </x:si>
  <x:si>
    <x:t>Kilian Jornet, de camí a l'Everest (2018)</x:t>
  </x:si>
  <x:si>
    <x:t>Kilian Jornet, el comptador de llacs (2013)</x:t>
  </x:si>
  <x:si>
    <x:t>Kill Bill: Volume 1 (2003)</x:t>
  </x:si>
  <x:si>
    <x:t>Kill Bill: Volume 2 (2004)</x:t>
  </x:si>
  <x:si>
    <x:t>Killers (2010)</x:t>
  </x:si>
  <x:si>
    <x:t>Kincsem (2017)</x:t>
  </x:si>
  <x:si>
    <x:t>King Kong (1933)</x:t>
  </x:si>
  <x:si>
    <x:t>Kinsey (2004)</x:t>
  </x:si>
  <x:si>
    <x:t>Kirikú i els animals salvatges (2005)</x:t>
  </x:si>
  <x:si>
    <x:t>Kirikú i la bruixa (1998)</x:t>
  </x:si>
  <x:si>
    <x:t>Klimt (2006)</x:t>
  </x:si>
  <x:si>
    <x:t>Klute (1971)</x:t>
  </x:si>
  <x:si>
    <x:t>KM 31 Quilòmetre 31 (2006)</x:t>
  </x:si>
  <x:si>
    <x:t>Kneecap [VOSC] (2024)</x:t>
  </x:si>
  <x:si>
    <x:t>Komodo (1999)</x:t>
  </x:si>
  <x:si>
    <x:t>Kon-Tiki (2012)</x:t>
  </x:si>
  <x:si>
    <x:t>Kong: L'Illa Calavera (2017)</x:t>
  </x:si>
  <x:si>
    <x:t>Koyaanisqatsi (1982)</x:t>
  </x:si>
  <x:si>
    <x:t>Krabat i el molí del diable (2008)</x:t>
  </x:si>
  <x:si>
    <x:t>Krámpack (2000)</x:t>
  </x:si>
  <x:si>
    <x:t>Krull (1983)</x:t>
  </x:si>
  <x:si>
    <x:t>Kuap (2018)</x:t>
  </x:si>
  <x:si>
    <x:t>Kundun (1997)</x:t>
  </x:si>
  <x:si>
    <x:t>Kung Fu Panda (2008)</x:t>
  </x:si>
  <x:si>
    <x:t>Kung Fu Panda 2 [VOSC] (2011)</x:t>
  </x:si>
  <x:si>
    <x:t>Kung Fu Panda 4 (2024)</x:t>
  </x:si>
  <x:si>
    <x:t>Kung Fu Sió (2004)</x:t>
  </x:si>
  <x:si>
    <x:t>Kuroko i el bàsquet 1. Recopilació de la copa d'hivern. L'hombra i la llum (2016)</x:t>
  </x:si>
  <x:si>
    <x:t>Kuroko i el bàsquet 2. La copa d'hivern. Més enllà de les llàgrimes (2016)</x:t>
  </x:si>
  <x:si>
    <x:t>Kuroko i el bàsquet 3. Recopilació de la copa d'hivern. Més enllà de les portes (2016)</x:t>
  </x:si>
  <x:si>
    <x:t>L.A. Confidential (1997)</x:t>
  </x:si>
  <x:si>
    <x:t>L'abella Maia (2014)</x:t>
  </x:si>
  <x:si>
    <x:t>L'abella Maia: Els Jocs de la Mel (2018)</x:t>
  </x:si>
  <x:si>
    <x:t>L'acusat perfecte (2019)</x:t>
  </x:si>
  <x:si>
    <x:t>L'adeu a la nit (2019)</x:t>
  </x:si>
  <x:si>
    <x:t>L'ADN del crim (2022)</x:t>
  </x:si>
  <x:si>
    <x:t>L'adopció (2015)</x:t>
  </x:si>
  <x:si>
    <x:t>L'adversari (2024)</x:t>
  </x:si>
  <x:si>
    <x:t>L’advocat del Lincoln (2011)</x:t>
  </x:si>
  <x:si>
    <x:t>L'afer Tornassol (1992)</x:t>
  </x:si>
  <x:si>
    <x:t>L'Agatha i la veritat del crim (2018)</x:t>
  </x:si>
  <x:si>
    <x:t>L'agència (1980)</x:t>
  </x:si>
  <x:si>
    <x:t>L'alberg vermell (2007)</x:t>
  </x:si>
  <x:si>
    <x:t>L'àlbum del Pep (2008)</x:t>
  </x:si>
  <x:si>
    <x:t>L'alegria que passa (2024)</x:t>
  </x:si>
  <x:si>
    <x:t>L'Alice ja no viu aquí (1974)</x:t>
  </x:si>
  <x:si>
    <x:t>L'alta societat (2016)</x:t>
  </x:si>
  <x:si>
    <x:t>L'altra cara de la forca (2008)</x:t>
  </x:si>
  <x:si>
    <x:t>L'altra cara del terror (2004)</x:t>
  </x:si>
  <x:si>
    <x:t>L'altra filla (2009)</x:t>
  </x:si>
  <x:si>
    <x:t>L'altra frontera (2014)</x:t>
  </x:si>
  <x:si>
    <x:t>L'altre costat de l'esperança (2017)</x:t>
  </x:si>
  <x:si>
    <x:t>L'altre costat de la vida (1996)</x:t>
  </x:si>
  <x:si>
    <x:t>L’altre Rusiñol (2006)</x:t>
  </x:si>
  <x:si>
    <x:t>L'alumne (2017)</x:t>
  </x:si>
  <x:si>
    <x:t>L'Alvin i els esquirols. Festa a la carretera (2015)</x:t>
  </x:si>
  <x:si>
    <x:t>L'amarga lluita del Noi del Sucre (2023)</x:t>
  </x:si>
  <x:si>
    <x:t>L'amenaça del drac (2003)</x:t>
  </x:si>
  <x:si>
    <x:t>L'americà impassible (2002)</x:t>
  </x:si>
  <x:si>
    <x:t>L'amfitrió perfecte (2010)</x:t>
  </x:si>
  <x:si>
    <x:t>L'amor de Tony (2010)</x:t>
  </x:si>
  <x:si>
    <x:t>L'amor és a l'aigua (2019)</x:t>
  </x:si>
  <x:si>
    <x:t>L'amor és a l'aire (2013)</x:t>
  </x:si>
  <x:si>
    <x:t>L'amor és estrany (2014)</x:t>
  </x:si>
  <x:si>
    <x:t>L'amor és un crim perfecte (2013)</x:t>
  </x:si>
  <x:si>
    <x:t>L'amor ho pot tot (2009)</x:t>
  </x:si>
  <x:si>
    <x:t>L'amor i altres desastres (2006)</x:t>
  </x:si>
  <x:si>
    <x:t>L'amor i altres objectius impossibles (2009)</x:t>
  </x:si>
  <x:si>
    <x:t>L'amor troba apartament (2021)</x:t>
  </x:si>
  <x:si>
    <x:t>L'Ancien i el món màgic (2017)</x:t>
  </x:si>
  <x:si>
    <x:t>L'aneguet lleig i jo! (2006)</x:t>
  </x:si>
  <x:si>
    <x:t>L'àngel de la mort (2018)</x:t>
  </x:si>
  <x:si>
    <x:t>L’Anton, el seu amic i la revolució russa (2019)</x:t>
  </x:si>
  <x:si>
    <x:t>L'any de la plaga (2018)</x:t>
  </x:si>
  <x:si>
    <x:t>L'any del diluvi (2004)</x:t>
  </x:si>
  <x:si>
    <x:t>L'any que vam viure perillosament (1982)</x:t>
  </x:si>
  <x:si>
    <x:t>L'any sense Santa Claus (2006)</x:t>
  </x:si>
  <x:si>
    <x:t>L'apagada (2019)</x:t>
  </x:si>
  <x:si>
    <x:t>L'aparició (2018)</x:t>
  </x:si>
  <x:si>
    <x:t>L'apartament (1960)</x:t>
  </x:si>
  <x:si>
    <x:t>L'aprenent de Pare Noel (2010)</x:t>
  </x:si>
  <x:si>
    <x:t>L'aprenent de Pare Noel i el floc de neu màgic (2013)</x:t>
  </x:si>
  <x:si>
    <x:t>L'apropiació del descobriment d'Amèrica, una conspiració d'estat (2003)</x:t>
  </x:si>
  <x:si>
    <x:t>L'arbre (2010)</x:t>
  </x:si>
  <x:si>
    <x:t>L'arbre de la sang (2018)</x:t>
  </x:si>
  <x:si>
    <x:t>L'arbre de la vida (2011)</x:t>
  </x:si>
  <x:si>
    <x:t>L'arbre de les cireres (1998)</x:t>
  </x:si>
  <x:si>
    <x:t>L'arbre de Nadal, la llegenda (2002)</x:t>
  </x:si>
  <x:si>
    <x:t>L'armadura de Déu (1986)</x:t>
  </x:si>
  <x:si>
    <x:t>L'armadura de Déu 2: Operació Còndor (1991)</x:t>
  </x:si>
  <x:si>
    <x:t>L'art de la comèdia (2015)</x:t>
  </x:si>
  <x:si>
    <x:t>L'art de robar (2013)</x:t>
  </x:si>
  <x:si>
    <x:t>L'Arthur i els Minimoys (2006)</x:t>
  </x:si>
  <x:si>
    <x:t>L'artista (2011)</x:t>
  </x:si>
  <x:si>
    <x:t>L'ascens d'Estat Islàmic (2014)</x:t>
  </x:si>
  <x:si>
    <x:t>L'ascens de les Tortugues Ninja: La pel·lícula (2022)</x:t>
  </x:si>
  <x:si>
    <x:t>L'assassí americà (2017)</x:t>
  </x:si>
  <x:si>
    <x:t>L'assassí és aquí (2016)</x:t>
  </x:si>
  <x:si>
    <x:t>L'assassí invisible (1977)</x:t>
  </x:si>
  <x:si>
    <x:t>L'assassina (2015)</x:t>
  </x:si>
  <x:si>
    <x:t>L'assassina de nòvios (2017)</x:t>
  </x:si>
  <x:si>
    <x:t>L'assassinat d'un gat (2014)</x:t>
  </x:si>
  <x:si>
    <x:t>L'assassinat de Richard Nixon (2004)</x:t>
  </x:si>
  <x:si>
    <x:t>L’Aston i les pedres (2007)</x:t>
  </x:si>
  <x:si>
    <x:t>L'auca del Senyor Esteve (1984)</x:t>
  </x:si>
  <x:si>
    <x:t>L'autèntica història de Jesse James (1957)</x:t>
  </x:si>
  <x:si>
    <x:t>L'autodeterminació depèn de nosaltres (2010)</x:t>
  </x:si>
  <x:si>
    <x:t>L'avenc (2020)</x:t>
  </x:si>
  <x:si>
    <x:t>L’aventura del Posidó (1972)</x:t>
  </x:si>
  <x:si>
    <x:t>L'aventura del Romànic (2011)</x:t>
  </x:si>
  <x:si>
    <x:t>L'aventura dels Aguiles (2006)</x:t>
  </x:si>
  <x:si>
    <x:t>L'aventurer (1917)</x:t>
  </x:si>
  <x:si>
    <x:t>L'aventurer de mitjanit (1982)</x:t>
  </x:si>
  <x:si>
    <x:t>L'avi de cent anys que es va escapar per la finestra (2013)</x:t>
  </x:si>
  <x:si>
    <x:t>L'avi de la criatura (1932)</x:t>
  </x:si>
  <x:si>
    <x:t>L'àvia (2015)</x:t>
  </x:si>
  <x:si>
    <x:t>L'àvia i el foraster (2024)</x:t>
  </x:si>
  <x:si>
    <x:t>L'aviador (2004)</x:t>
  </x:si>
  <x:si>
    <x:t>L'edat de la innocència (1993)</x:t>
  </x:si>
  <x:si>
    <x:t>L'edat imminent [VOSE] (2024)</x:t>
  </x:si>
  <x:si>
    <x:t>L'edat perfecta (2011)</x:t>
  </x:si>
  <x:si>
    <x:t>L'Eddie, l'àguila (2015)</x:t>
  </x:si>
  <x:si>
    <x:t>L'editor de llibres (2016)</x:t>
  </x:si>
  <x:si>
    <x:t>L'efecte papallona 2 (2006)</x:t>
  </x:si>
  <x:si>
    <x:t>L'efecte Tik Tok (2023)</x:t>
  </x:si>
  <x:si>
    <x:t>L'elecció: Harris contra Trump (2024)</x:t>
  </x:si>
  <x:si>
    <x:t>L'elefanta del mag (2023)</x:t>
  </x:si>
  <x:si>
    <x:t>L'embolic burocràtic (2025)</x:t>
  </x:si>
  <x:si>
    <x:t>L'emperador del nord (1973)</x:t>
  </x:si>
  <x:si>
    <x:t>L'emperador i les seves bogeries (2000)</x:t>
  </x:si>
  <x:si>
    <x:t>L'emperadriu rebel (2022)</x:t>
  </x:si>
  <x:si>
    <x:t>L'empremta (2007)</x:t>
  </x:si>
  <x:si>
    <x:t>L'empremta del silenci (2006)</x:t>
  </x:si>
  <x:si>
    <x:t>L'Endemà (2014)</x:t>
  </x:si>
  <x:si>
    <x:t>L'enfonsament (2004)</x:t>
  </x:si>
  <x:si>
    <x:t>L'engany (2022)</x:t>
  </x:si>
  <x:si>
    <x:t>L'engranatge, els joves davant de l'islamisme radical (2015)</x:t>
  </x:si>
  <x:si>
    <x:t>L'enigma d'un altre món (Versió acolorida) (1951)</x:t>
  </x:si>
  <x:si>
    <x:t>L'enigma de Hidden Lake (2006)</x:t>
  </x:si>
  <x:si>
    <x:t>L'enigma del bruixot (1988)</x:t>
  </x:si>
  <x:si>
    <x:t>L’enigma Juggernaut (1974)</x:t>
  </x:si>
  <x:si>
    <x:t>L'enigma Verdaguer (2019)</x:t>
  </x:si>
  <x:si>
    <x:t>L'ens (1982)</x:t>
  </x:si>
  <x:si>
    <x:t>L'enviada (1998)</x:t>
  </x:si>
  <x:si>
    <x:t>L'equalitzador (2014)</x:t>
  </x:si>
  <x:si>
    <x:t>L'eriço (2009)</x:t>
  </x:si>
  <x:si>
    <x:t>L'esbojarrada historia de les galàxies (1987)</x:t>
  </x:si>
  <x:si>
    <x:t>L'escala de cargol (1975)</x:t>
  </x:si>
  <x:si>
    <x:t>L'escàndol (2019)</x:t>
  </x:si>
  <x:si>
    <x:t>L'escàndol Ted Kennedy (2017)</x:t>
  </x:si>
  <x:si>
    <x:t>L'escola de la vida (2017)</x:t>
  </x:si>
  <x:si>
    <x:t>L'escola inclusiva (2025)</x:t>
  </x:si>
  <x:si>
    <x:t>L'escollit (2006)</x:t>
  </x:si>
  <x:si>
    <x:t>L'Escollit (2016)</x:t>
  </x:si>
  <x:si>
    <x:t>L'escorta del sicari (2017)</x:t>
  </x:si>
  <x:si>
    <x:t>L'escorxador (2022)</x:t>
  </x:si>
  <x:si>
    <x:t>L'escot (1987)</x:t>
  </x:si>
  <x:si>
    <x:t>L'escriptor (2010)</x:t>
  </x:si>
  <x:si>
    <x:t>L'escull (2010)</x:t>
  </x:si>
  <x:si>
    <x:t>L'Escurçó Negre - Endarrere i endavant (1999)</x:t>
  </x:si>
  <x:si>
    <x:t>L'esdeveniment (2021)</x:t>
  </x:si>
  <x:si>
    <x:t>L'espantataurons (2004)</x:t>
  </x:si>
  <x:si>
    <x:t>L'espasa mil-lenaria (1993)</x:t>
  </x:si>
  <x:si>
    <x:t>L'especialista (1994)</x:t>
  </x:si>
  <x:si>
    <x:t>L'esperit burleta (2020)</x:t>
  </x:si>
  <x:si>
    <x:t>L'Esperit del Bosc (2008)</x:t>
  </x:si>
  <x:si>
    <x:t>L'espia (2019)</x:t>
  </x:si>
  <x:si>
    <x:t>L'espia que em va estimar (1977)</x:t>
  </x:si>
  <x:si>
    <x:t>L'espia que em va plantar (2018)</x:t>
  </x:si>
  <x:si>
    <x:t>L'espòs infeliç [VOSC] (2021)</x:t>
  </x:si>
  <x:si>
    <x:t>L'esposa de Txaikovski (2022)</x:t>
  </x:si>
  <x:si>
    <x:t>L'esquadró suïcida (2016)</x:t>
  </x:si>
  <x:si>
    <x:t>L'ésser perfecte (2006)</x:t>
  </x:si>
  <x:si>
    <x:t>L'estafa (2019)</x:t>
  </x:si>
  <x:si>
    <x:t>L'estel misteriós (1991)</x:t>
  </x:si>
  <x:si>
    <x:t>L'estelada de Verdun (2014)</x:t>
  </x:si>
  <x:si>
    <x:t>L'estelada, un símbol provisional (2013)</x:t>
  </x:si>
  <x:si>
    <x:t>L'estil americà (1986)</x:t>
  </x:si>
  <x:si>
    <x:t>L'estiu de la seva vida (2012)</x:t>
  </x:si>
  <x:si>
    <x:t>L'estrany amor de Martha Ivers (1946)</x:t>
  </x:si>
  <x:si>
    <x:t>L'estratègia de Putin (2022)</x:t>
  </x:si>
  <x:si>
    <x:t>L'estratègia del cucut (2001)</x:t>
  </x:si>
  <x:si>
    <x:t>L'exèrcit de les ombres (1969)</x:t>
  </x:si>
  <x:si>
    <x:t>L'exèrcit del pare (2016)</x:t>
  </x:si>
  <x:si>
    <x:t>L'Exili de Kobane (2015)</x:t>
  </x:si>
  <x:si>
    <x:t>L'èxit de la temporada (2022)</x:t>
  </x:si>
  <x:si>
    <x:t>L’exorcisme de l’Emily Rose (2005)</x:t>
  </x:si>
  <x:si>
    <x:t>L'exorcista: El muntatge del director (1973)</x:t>
  </x:si>
  <x:si>
    <x:t>L'exòtic Hotel Marigold (2011)</x:t>
  </x:si>
  <x:si>
    <x:t>L'Expedient Berlín (2013)</x:t>
  </x:si>
  <x:si>
    <x:t>L'expedient Warren (2013)</x:t>
  </x:si>
  <x:si>
    <x:t>L'expedient Warren: El cas Enfield (2016)</x:t>
  </x:si>
  <x:si>
    <x:t>L'experiment (2001)</x:t>
  </x:si>
  <x:si>
    <x:t>L'experiment Belko (2016)</x:t>
  </x:si>
  <x:si>
    <x:t>L'experiment del doctor Quatermass (1955)</x:t>
  </x:si>
  <x:si>
    <x:t>L'exprés de mitjanit (1978)</x:t>
  </x:si>
  <x:si>
    <x:t>L'extraordinari viatge de T.S. Spivet (2013)</x:t>
  </x:si>
  <x:si>
    <x:t>L'habitació (2015)</x:t>
  </x:si>
  <x:si>
    <x:t>L'habitació 1408 (2007)</x:t>
  </x:si>
  <x:si>
    <x:t>L'habitació d'en Marvin (1996)</x:t>
  </x:si>
  <x:si>
    <x:t>L'habitació de Fermat (2007)</x:t>
  </x:si>
  <x:si>
    <x:t>L'habitació del pànic (2002)</x:t>
  </x:si>
  <x:si>
    <x:t>L'herència (2016)</x:t>
  </x:si>
  <x:si>
    <x:t>L'hèroe (2021)</x:t>
  </x:si>
  <x:si>
    <x:t>L'heroi de Berlín (2016)</x:t>
  </x:si>
  <x:si>
    <x:t>L'heroi del coco (2015)</x:t>
  </x:si>
  <x:si>
    <x:t>L'hivern i la primavera al regne d'Escampeta (2008)</x:t>
  </x:si>
  <x:si>
    <x:t>L'home bicentenari (1999)</x:t>
  </x:si>
  <x:si>
    <x:t>L'home d'acer (2013)</x:t>
  </x:si>
  <x:si>
    <x:t>L'home d'Alcatraz (1962)</x:t>
  </x:si>
  <x:si>
    <x:t>L'home d'enlloc (2010)</x:t>
  </x:si>
  <x:si>
    <x:t>L'home de Colorado (1948)</x:t>
  </x:si>
  <x:si>
    <x:t>L'home de l'oest (1958)</x:t>
  </x:si>
  <x:si>
    <x:t>L'home de la camisa taronja (2017)</x:t>
  </x:si>
  <x:si>
    <x:t>L'home de la casa (2005)</x:t>
  </x:si>
  <x:si>
    <x:t>L'home de la cornisa (2012)</x:t>
  </x:si>
  <x:si>
    <x:t>L'home de la pistola d'or (1974)</x:t>
  </x:si>
  <x:si>
    <x:t>L'home de Laramie (1955)</x:t>
  </x:si>
  <x:si>
    <x:t>L'home de les estrelles (1995)</x:t>
  </x:si>
  <x:si>
    <x:t>L'home de les ombres (2012)</x:t>
  </x:si>
  <x:si>
    <x:t>L'home del braç d'or (1955)</x:t>
  </x:si>
  <x:si>
    <x:t>L'home del carrer (1941)</x:t>
  </x:si>
  <x:si>
    <x:t>L'home del cor de ferro (2017)</x:t>
  </x:si>
  <x:si>
    <x:t>L'home del metro (2014)</x:t>
  </x:si>
  <x:si>
    <x:t>L'home del planeta X (1951)</x:t>
  </x:si>
  <x:si>
    <x:t>L'home dels nassos (2023)</x:t>
  </x:si>
  <x:si>
    <x:t>L'home dibuixat. Una conversa amb Jaume Sisa (2021)</x:t>
  </x:si>
  <x:si>
    <x:t>L’home elefant (1980)</x:t>
  </x:si>
  <x:si>
    <x:t>L'home invisible (1933)</x:t>
  </x:si>
  <x:si>
    <x:t>L'home llop (2010)</x:t>
  </x:si>
  <x:si>
    <x:t>L'home llop [VOSC] (1941)</x:t>
  </x:si>
  <x:si>
    <x:t>L'home més enfadat de Brooklyn (2014)</x:t>
  </x:si>
  <x:si>
    <x:t>L'home omega (1971)</x:t>
  </x:si>
  <x:si>
    <x:t>L'home perfecte (2021)</x:t>
  </x:si>
  <x:si>
    <x:t>L'home que coneixia l'infinit (2015)</x:t>
  </x:si>
  <x:si>
    <x:t>L'home que plantava arbres [VOSC] (1987)</x:t>
  </x:si>
  <x:si>
    <x:t>L'home que sabia massa (1956)</x:t>
  </x:si>
  <x:si>
    <x:t>L'home que va inventar el Nadal (2017)</x:t>
  </x:si>
  <x:si>
    <x:t>L'home que va matar Hitler i després el Bigfoot (2018)</x:t>
  </x:si>
  <x:si>
    <x:t>L'home que va matar Liberty Valance (1962)</x:t>
  </x:si>
  <x:si>
    <x:t>L'home sense ombra (2000)</x:t>
  </x:si>
  <x:si>
    <x:t>L'honor del comandant Lex (1952)</x:t>
  </x:si>
  <x:si>
    <x:t>L'hora 25 (1967)</x:t>
  </x:si>
  <x:si>
    <x:t>L'hora d'estiu (2008)</x:t>
  </x:si>
  <x:si>
    <x:t>L'hora de les pistoles (1967)</x:t>
  </x:si>
  <x:si>
    <x:t>L'hora del pati (2010)</x:t>
  </x:si>
  <x:si>
    <x:t>L'hostal de la Glòria (1992)</x:t>
  </x:si>
  <x:si>
    <x:t>L'hostal vermell (2007)</x:t>
  </x:si>
  <x:si>
    <x:t>L'hoste (2006)</x:t>
  </x:si>
  <x:si>
    <x:t>L'hoste (The Host) (2013)</x:t>
  </x:si>
  <x:si>
    <x:t>L'Hotel Royal (2023)</x:t>
  </x:si>
  <x:si>
    <x:t>L'idioma imposible (2010)</x:t>
  </x:si>
  <x:si>
    <x:t>L'ídol caigut (1948)</x:t>
  </x:si>
  <x:si>
    <x:t>L'illa (2005)</x:t>
  </x:si>
  <x:si>
    <x:t>L'illa de l'Ós (1979)</x:t>
  </x:si>
  <x:si>
    <x:t>L'illa de la Nim (2008)</x:t>
  </x:si>
  <x:si>
    <x:t>L'illa de les ànimes perdudes (2007)</x:t>
  </x:si>
  <x:si>
    <x:t>L'illa del Dr. Moreau (1977)</x:t>
  </x:si>
  <x:si>
    <x:t>L'illa dels oblidats (2010)</x:t>
  </x:si>
  <x:si>
    <x:t>L'illa dels records i el mirall màgic (2009)</x:t>
  </x:si>
  <x:si>
    <x:t>L'illa Negra (1991)</x:t>
  </x:si>
  <x:si>
    <x:t>L'il·lusionista (2006)</x:t>
  </x:si>
  <x:si>
    <x:t>L'il·lusionista (2024)</x:t>
  </x:si>
  <x:si>
    <x:t>L'illusionniste [VOSC] (2010)</x:t>
  </x:si>
  <x:si>
    <x:t>L'imaginari del Doctor Parnassus (2009)</x:t>
  </x:si>
  <x:si>
    <x:t>L'immigrant (1917)</x:t>
  </x:si>
  <x:si>
    <x:t>L'Imperi del Sol (1987)</x:t>
  </x:si>
  <x:si>
    <x:t>L'imperi dels llops (2005)</x:t>
  </x:si>
  <x:si>
    <x:t>L'incident [VOSC] (1967)</x:t>
  </x:si>
  <x:si>
    <x:t>L'increïble Hulk (2008)</x:t>
  </x:si>
  <x:si>
    <x:t>L'infern (2005)</x:t>
  </x:si>
  <x:si>
    <x:t>L'infinit [VOSC] (2017)</x:t>
  </x:si>
  <x:si>
    <x:t>L'informe Auschwitz (2021)</x:t>
  </x:si>
  <x:si>
    <x:t>L'innocent (1976)</x:t>
  </x:si>
  <x:si>
    <x:t>L'innocent (2011)</x:t>
  </x:si>
  <x:si>
    <x:t>L'inspector general (1949)</x:t>
  </x:si>
  <x:si>
    <x:t>L'inspector Lavardin (1986)</x:t>
  </x:si>
  <x:si>
    <x:t>L'intercanvi (2008)</x:t>
  </x:si>
  <x:si>
    <x:t>L'intrús (2004)</x:t>
  </x:si>
  <x:si>
    <x:t>L'irlandès (2011)</x:t>
  </x:si>
  <x:si>
    <x:t>L'OBC a la Sagrada Família (2015)</x:t>
  </x:si>
  <x:si>
    <x:t>L'obsessió d'una professora (2015)</x:t>
  </x:si>
  <x:si>
    <x:t>L'ocult (1987)</x:t>
  </x:si>
  <x:si>
    <x:t>L'odissea (2016)</x:t>
  </x:si>
  <x:si>
    <x:t>L'odissea del llop (2019)</x:t>
  </x:si>
  <x:si>
    <x:t>L'ofici d'aprendre (2021)</x:t>
  </x:si>
  <x:si>
    <x:t>L’oficial i l’espia (2019)</x:t>
  </x:si>
  <x:si>
    <x:t>L'ofrena (2020)</x:t>
  </x:si>
  <x:si>
    <x:t>L'ogre del meu sogre (2015)</x:t>
  </x:si>
  <x:si>
    <x:t>L'oli de la vida (1992)</x:t>
  </x:si>
  <x:si>
    <x:t>L'olla a pressió (2006)</x:t>
  </x:si>
  <x:si>
    <x:t>L'olla de grills (1996)</x:t>
  </x:si>
  <x:si>
    <x:t>L'ombra d'Evita (2011)</x:t>
  </x:si>
  <x:si>
    <x:t>L'ombra d'un segrest (2004)</x:t>
  </x:si>
  <x:si>
    <x:t>L'ombra de Caravaggio (2022)</x:t>
  </x:si>
  <x:si>
    <x:t>L'ombra de la llei (2018)</x:t>
  </x:si>
  <x:si>
    <x:t>L'ombra de la nit (1997)</x:t>
  </x:si>
  <x:si>
    <x:t>L'ombra de la sospita (1991)</x:t>
  </x:si>
  <x:si>
    <x:t>L'ombra de la traïció (2011)</x:t>
  </x:si>
  <x:si>
    <x:t>L'ombra de ningú (2006)</x:t>
  </x:si>
  <x:si>
    <x:t>L'ombra del diable (1997)</x:t>
  </x:si>
  <x:si>
    <x:t>L'ombra del faraó [VOSC] (1998)</x:t>
  </x:si>
  <x:si>
    <x:t>L'ombra del passat (2018)</x:t>
  </x:si>
  <x:si>
    <x:t>L'ombra del vampir (2000)</x:t>
  </x:si>
  <x:si>
    <x:t>L'onada (2008)</x:t>
  </x:si>
  <x:si>
    <x:t>L'oncle Boonmee recorda les seves vides anteriors [VOSC] (2010)</x:t>
  </x:si>
  <x:si>
    <x:t>L'oportunitat de la meva vida (2010)</x:t>
  </x:si>
  <x:si>
    <x:t>L'or d'en Mackenna (1969)</x:t>
  </x:si>
  <x:si>
    <x:t>L'orella escapçada (1991)</x:t>
  </x:si>
  <x:si>
    <x:t>L'Òrfena (2009)</x:t>
  </x:si>
  <x:si>
    <x:t>L'orfenat (2007)</x:t>
  </x:si>
  <x:si>
    <x:t>L'organitzadora de bodes (2017)</x:t>
  </x:si>
  <x:si>
    <x:t>L'orgia (1978)</x:t>
  </x:si>
  <x:si>
    <x:t>L'orígen de les curses de dracs (2014)</x:t>
  </x:si>
  <x:si>
    <x:t>L'origen del mal (2022)</x:t>
  </x:si>
  <x:si>
    <x:t>L'origen dels guardians (2012)</x:t>
  </x:si>
  <x:si>
    <x:t>L'Orquestra Plateria, una història (2015)</x:t>
  </x:si>
  <x:si>
    <x:t>L'os (1988)</x:t>
  </x:si>
  <x:si>
    <x:t>L'ós Yogi (2010)</x:t>
  </x:si>
  <x:si>
    <x:t>L'Ovidi: El making of de la pel·lícula que mai es va fer (2016)</x:t>
  </x:si>
  <x:si>
    <x:t>L'Scooby-Doo a l'illa dels zombis (1998)</x:t>
  </x:si>
  <x:si>
    <x:t>L'Scooby-Doo i el fantasma de la bruixa (1999)</x:t>
  </x:si>
  <x:si>
    <x:t>L'Scooby-Doo i el monstre del llac Ness (2004)</x:t>
  </x:si>
  <x:si>
    <x:t>L'Scooby-Doo i els germans Boo (1987)</x:t>
  </x:si>
  <x:si>
    <x:t>L'Scooby-Doo i els invasors extraterrestres (2000)</x:t>
  </x:si>
  <x:si>
    <x:t>L'Scooby-Doo i l'espasa del samurai (2009)</x:t>
  </x:si>
  <x:si>
    <x:t>L'Scooby-Doo i l'home llop reticent (1988)</x:t>
  </x:si>
  <x:si>
    <x:t>L'Scooby-Doo i la ciberpersecució (2001)</x:t>
  </x:si>
  <x:si>
    <x:t>L'Scooby-Doo i la llegenda del vampir (2003)</x:t>
  </x:si>
  <x:si>
    <x:t>L'Scooby-Doo! Abracadabra-Doo (2010)</x:t>
  </x:si>
  <x:si>
    <x:t>L'Scooby-Doo! El campament de la por (2010)</x:t>
  </x:si>
  <x:si>
    <x:t>L'Scooby-Doo! La llegenda del Fantosaure (2011)</x:t>
  </x:si>
  <x:si>
    <x:t>L'Scooby-Doo! La música del vampir (2011)</x:t>
  </x:si>
  <x:si>
    <x:t>L'Scooby-Doo! On és la mòmia? (2005)</x:t>
  </x:si>
  <x:si>
    <x:t>L'Scooby-Doo! Pirates a la vista! (2006)</x:t>
  </x:si>
  <x:si>
    <x:t>L'Skylab (2011)</x:t>
  </x:si>
  <x:si>
    <x:t>L'ull de l'agulla (1981)</x:t>
  </x:si>
  <x:si>
    <x:t>L'últim assalt (2002)</x:t>
  </x:si>
  <x:si>
    <x:t>L'últim autobús (2021)</x:t>
  </x:si>
  <x:si>
    <x:t>L'últim ballarí de Mao (2009)</x:t>
  </x:si>
  <x:si>
    <x:t>L'últim caçador de bruixes (2015)</x:t>
  </x:si>
  <x:si>
    <x:t>L'últim capvespre (1961)</x:t>
  </x:si>
  <x:si>
    <x:t>L'últim comanxe (1953)</x:t>
  </x:si>
  <x:si>
    <x:t>L'últim combat (1983)</x:t>
  </x:si>
  <x:si>
    <x:t>L'últim concert (2012)</x:t>
  </x:si>
  <x:si>
    <x:t>L'últim dels mohicans (1992)</x:t>
  </x:si>
  <x:si>
    <x:t>L'últim desafiament (2013)</x:t>
  </x:si>
  <x:si>
    <x:t>L'últim emperador (1987)</x:t>
  </x:si>
  <x:si>
    <x:t>L'últim esglaó (1999)</x:t>
  </x:si>
  <x:si>
    <x:t>L'últim estiu (2023)</x:t>
  </x:si>
  <x:si>
    <x:t>L'últim exorcisme (2010)</x:t>
  </x:si>
  <x:si>
    <x:t>L'últim exorcisme, segona part (2013)</x:t>
  </x:si>
  <x:si>
    <x:t>L'últim gegant d'Europa (2017)</x:t>
  </x:si>
  <x:si>
    <x:t>L'últim gran heroi (1993)</x:t>
  </x:si>
  <x:si>
    <x:t>L'últim gran mag (2007)</x:t>
  </x:si>
  <x:si>
    <x:t>L’últim home (1996)</x:t>
  </x:si>
  <x:si>
    <x:t>L'últim Late Night (2023)</x:t>
  </x:si>
  <x:si>
    <x:t>L'últim llop (2015)</x:t>
  </x:si>
  <x:si>
    <x:t>L'últim petó (2001)</x:t>
  </x:si>
  <x:si>
    <x:t>L'últim petó (2006)</x:t>
  </x:si>
  <x:si>
    <x:t>L'últim poli (2019)</x:t>
  </x:si>
  <x:si>
    <x:t>L'últim rei (2016)</x:t>
  </x:si>
  <x:si>
    <x:t>L'últim salt (2005)</x:t>
  </x:si>
  <x:si>
    <x:t>L'últim Samurai (2003)</x:t>
  </x:si>
  <x:si>
    <x:t>L'últim senyal (2005)</x:t>
  </x:si>
  <x:si>
    <x:t>L'últim soldat (2023)</x:t>
  </x:si>
  <x:si>
    <x:t>L'últim tren a Auschwitz (2006)</x:t>
  </x:si>
  <x:si>
    <x:t>L'últim tren de Gun Hill (1959)</x:t>
  </x:si>
  <x:si>
    <x:t>L'últim tret (2017)</x:t>
  </x:si>
  <x:si>
    <x:t>L'últim virrei de l'Índia (2017)</x:t>
  </x:si>
  <x:si>
    <x:t>L'últim vol (2009)</x:t>
  </x:si>
  <x:si>
    <x:t>L'últim vot (2008)</x:t>
  </x:si>
  <x:si>
    <x:t>L'últim xou (2006)</x:t>
  </x:si>
  <x:si>
    <x:t>L'última bogeria de Claire Darling (2018)</x:t>
  </x:si>
  <x:si>
    <x:t>L'última carta [VOSC] (2002)</x:t>
  </x:si>
  <x:si>
    <x:t>L'última estació (2009)</x:t>
  </x:si>
  <x:si>
    <x:t>L'última funció (2017)</x:t>
  </x:si>
  <x:si>
    <x:t>L'última illa (2013)</x:t>
  </x:si>
  <x:si>
    <x:t>L'última legió (2007)</x:t>
  </x:si>
  <x:si>
    <x:t>L'última nit al Soho (2021)</x:t>
  </x:si>
  <x:si>
    <x:t>L'última nit de Borís Gruixenko (1975)</x:t>
  </x:si>
  <x:si>
    <x:t>L'última oportunitat (2017)</x:t>
  </x:si>
  <x:si>
    <x:t>L'última trucada (2013)</x:t>
  </x:si>
  <x:si>
    <x:t>L’última vegada que em vaig suïcidar (1997)</x:t>
  </x:si>
  <x:si>
    <x:t>L'última vegada que vaig veure París (1954)</x:t>
  </x:si>
  <x:si>
    <x:t>L'ultimàtum de Bourne (2007)</x:t>
  </x:si>
  <x:si>
    <x:t>L'únic (2001)</x:t>
  </x:si>
  <x:si>
    <x:t>L'únic supervivent (2013)</x:t>
  </x:si>
  <x:si>
    <x:t>La (des)educació de Cameron Post (2018)</x:t>
  </x:si>
  <x:si>
    <x:t>La balada de Cable Hogue (1970)</x:t>
  </x:si>
  <x:si>
    <x:t>La balada de l'estret (2010)</x:t>
  </x:si>
  <x:si>
    <x:t>La Balena (2022)</x:t>
  </x:si>
  <x:si>
    <x:t>La bamba (1987)</x:t>
  </x:si>
  <x:si>
    <x:t>La banda ens visita (2007)</x:t>
  </x:si>
  <x:si>
    <x:t>La batalla d'Alep (2013)</x:t>
  </x:si>
  <x:si>
    <x:t>La batalla de l'any (2013)</x:t>
  </x:si>
  <x:si>
    <x:t>La batalla de la memòria (2009)</x:t>
  </x:si>
  <x:si>
    <x:t>La batalla de les Ardenes (1965)</x:t>
  </x:si>
  <x:si>
    <x:t>La batalla del Riu de la Plata (1956)</x:t>
  </x:si>
  <x:si>
    <x:t>La batalla dels turons del whisky (1965)</x:t>
  </x:si>
  <x:si>
    <x:t>La bella espurna (2023)</x:t>
  </x:si>
  <x:si>
    <x:t>La Bella i la Bèstia (2014)</x:t>
  </x:si>
  <x:si>
    <x:t>La bèstia [VOSC] (1975)</x:t>
  </x:si>
  <x:si>
    <x:t>La Bíblia (1966)</x:t>
  </x:si>
  <x:si>
    <x:t>La Bíblia del rei Jaume I (2011)</x:t>
  </x:si>
  <x:si>
    <x:t>La Bíblia negra (2001)</x:t>
  </x:si>
  <x:si>
    <x:t>La biblioteca dels llibres rebutjats (2019)</x:t>
  </x:si>
  <x:si>
    <x:t>La boda de la June (2014)</x:t>
  </x:si>
  <x:si>
    <x:t>La boda de la meva nòvia (2008)</x:t>
  </x:si>
  <x:si>
    <x:t>La boda de la Rachel (2008)</x:t>
  </x:si>
  <x:si>
    <x:t>La boda de Muriel (1994)</x:t>
  </x:si>
  <x:si>
    <x:t>La boda de Rachel (2008)</x:t>
  </x:si>
  <x:si>
    <x:t>La boda del meu millor amic (1997)</x:t>
  </x:si>
  <x:si>
    <x:t>La boira (2007)</x:t>
  </x:si>
  <x:si>
    <x:t>La bomba del Liceu (2009)</x:t>
  </x:si>
  <x:si>
    <x:t>La bona mentida (2014)</x:t>
  </x:si>
  <x:si>
    <x:t>La bona mort  (2025)</x:t>
  </x:si>
  <x:si>
    <x:t>La Bressola. 40 anys d'immersió a la Catalunya Nord (2018)</x:t>
  </x:si>
  <x:si>
    <x:t>La brigada (2022)</x:t>
  </x:si>
  <x:si>
    <x:t>La bruixa Bibi i el secret de les òlibes blaves (2004)</x:t>
  </x:si>
  <x:si>
    <x:t>La brúixola daurada (2007)</x:t>
  </x:si>
  <x:si>
    <x:t>La cabana del bosc (2012)</x:t>
  </x:si>
  <x:si>
    <x:t>La cabanya (2017)</x:t>
  </x:si>
  <x:si>
    <x:t>La caça (2012)</x:t>
  </x:si>
  <x:si>
    <x:t>La caça de l'Àguila u (2006)</x:t>
  </x:si>
  <x:si>
    <x:t>La caça de l'home (1966)</x:t>
  </x:si>
  <x:si>
    <x:t>La caçarrecompenses (2012)</x:t>
  </x:si>
  <x:si>
    <x:t>La cafeteria (2014)</x:t>
  </x:si>
  <x:si>
    <x:t>La caixa Kovak (2005)</x:t>
  </x:si>
  <x:si>
    <x:t>La cala (2009)</x:t>
  </x:si>
  <x:si>
    <x:t>La calúmnia (1961)</x:t>
  </x:si>
  <x:si>
    <x:t>La cançó censurada (2016)</x:t>
  </x:si>
  <x:si>
    <x:t>La cançó d'Hiawatha (1997)</x:t>
  </x:si>
  <x:si>
    <x:t>La cançó del mar (2014)</x:t>
  </x:si>
  <x:si>
    <x:t>La cançó del mariner (2022)</x:t>
  </x:si>
  <x:si>
    <x:t>La cançó dels noms (2019)</x:t>
  </x:si>
  <x:si>
    <x:t>La càpsula del temps-Dagoll Dagom 40 anys (2014)</x:t>
  </x:si>
  <x:si>
    <x:t>La cara (2016)</x:t>
  </x:si>
  <x:si>
    <x:t>La cara del terror (1999)</x:t>
  </x:si>
  <x:si>
    <x:t>La cara nord (2008)</x:t>
  </x:si>
  <x:si>
    <x:t>La càrrega de la brigada lleugera (1936)</x:t>
  </x:si>
  <x:si>
    <x:t>La càrrega dels genets indis (1953)</x:t>
  </x:si>
  <x:si>
    <x:t>La carretera (2009)</x:t>
  </x:si>
  <x:si>
    <x:t>La casa de cera (2005)</x:t>
  </x:si>
  <x:si>
    <x:t>La casa de l'esperança (2017)</x:t>
  </x:si>
  <x:si>
    <x:t>La casa de la meva àvia (2005)</x:t>
  </x:si>
  <x:si>
    <x:t>La casa de les dagues voladores (2004)</x:t>
  </x:si>
  <x:si>
    <x:t>La casa del llac (2006)</x:t>
  </x:si>
  <x:si>
    <x:t>La casa del rellotge dins de la paret (2018)</x:t>
  </x:si>
  <x:si>
    <x:t>La casa del terror (2019)</x:t>
  </x:si>
  <x:si>
    <x:t>La casa del terror (2020)</x:t>
  </x:si>
  <x:si>
    <x:t>La casa dels esperits (1993)</x:t>
  </x:si>
  <x:si>
    <x:t>La casa dels teus somnis (2006)</x:t>
  </x:si>
  <x:si>
    <x:t>La casa entre els cactus (2022)</x:t>
  </x:si>
  <x:si>
    <x:t>La casa màgica (2013)</x:t>
  </x:si>
  <x:si>
    <x:t>La casa Rússia (1990)</x:t>
  </x:si>
  <x:si>
    <x:t>La casita blanca, la ciutat oculta (2002)</x:t>
  </x:si>
  <x:si>
    <x:t>La catifa màgica (2019)</x:t>
  </x:si>
  <x:si>
    <x:t>La caverna (1998)</x:t>
  </x:si>
  <x:si>
    <x:t>La central (2006)</x:t>
  </x:si>
  <x:si>
    <x:t>La ciència dels somnis (2006)</x:t>
  </x:si>
  <x:si>
    <x:t>La cigonya Richard (2017)</x:t>
  </x:si>
  <x:si>
    <x:t>La cinquena onada (2016)</x:t>
  </x:si>
  <x:si>
    <x:t>La ciutat cremada (1976)</x:t>
  </x:si>
  <x:si>
    <x:t>La ciutat de l'Alegria (1992)</x:t>
  </x:si>
  <x:si>
    <x:t>La ciutat dels nens perduts (1995)</x:t>
  </x:si>
  <x:si>
    <x:t>La ciutat dels prodigis (1999)</x:t>
  </x:si>
  <x:si>
    <x:t>La ciutat perduda (2005)</x:t>
  </x:si>
  <x:si>
    <x:t>La Clara i la Claire (2019)</x:t>
  </x:si>
  <x:si>
    <x:t>La classe d'esgrima (2015)</x:t>
  </x:si>
  <x:si>
    <x:t>La classe de piano (2018)</x:t>
  </x:si>
  <x:si>
    <x:t>La clau de la Sarah (2010)</x:t>
  </x:si>
  <x:si>
    <x:t>La clau màgica (1995)</x:t>
  </x:si>
  <x:si>
    <x:t>La clienta (2008)</x:t>
  </x:si>
  <x:si>
    <x:t>La clínica (2010)</x:t>
  </x:si>
  <x:si>
    <x:t>La colla de la selva al rescat!: El retorn al gel (2011)</x:t>
  </x:si>
  <x:si>
    <x:t>La colla de la selva al rescat!: El tresor del vell Jim (2014)</x:t>
  </x:si>
  <x:si>
    <x:t>La colla dels brivalls, herois del dia (2014)</x:t>
  </x:si>
  <x:si>
    <x:t>La colla dels sis (1982)</x:t>
  </x:si>
  <x:si>
    <x:t>La comtessa de Hong Kong (1967)</x:t>
  </x:si>
  <x:si>
    <x:t>La comtessa descalça (1954)</x:t>
  </x:si>
  <x:si>
    <x:t>La comtessa russa (2005)</x:t>
  </x:si>
  <x:si>
    <x:t>La conferència (2022)</x:t>
  </x:si>
  <x:si>
    <x:t>La confessió (1970)</x:t>
  </x:si>
  <x:si>
    <x:t>La conquesta de l'Oest (1962)</x:t>
  </x:si>
  <x:si>
    <x:t>La conspiració (2010)</x:t>
  </x:si>
  <x:si>
    <x:t>La conspiració del novembre (2014)</x:t>
  </x:si>
  <x:si>
    <x:t>La conspiració del silenci (2014)</x:t>
  </x:si>
  <x:si>
    <x:t>La correspondència (2016)</x:t>
  </x:si>
  <x:si>
    <x:t>La corresponsal (2018)</x:t>
  </x:si>
  <x:si>
    <x:t>La cosmètica de l'enemic (2020)</x:t>
  </x:si>
  <x:si>
    <x:t>La cova maleïda (2005)</x:t>
  </x:si>
  <x:si>
    <x:t>La creu de ferro (1977)</x:t>
  </x:si>
  <x:si>
    <x:t>La criatura (2001)</x:t>
  </x:si>
  <x:si>
    <x:t>La crida de Cthulhu [VOSC] (2005)</x:t>
  </x:si>
  <x:si>
    <x:t>La Crida, història d'una resposta (2011)</x:t>
  </x:si>
  <x:si>
    <x:t>La cripta embruixada (1981)</x:t>
  </x:si>
  <x:si>
    <x:t>La crua realitat (2009)</x:t>
  </x:si>
  <x:si>
    <x:t>La cuinera del president (2012)</x:t>
  </x:si>
  <x:si>
    <x:t>La cursa de l'espai (2001)</x:t>
  </x:si>
  <x:si>
    <x:t>La cursa del segle (1965)</x:t>
  </x:si>
  <x:si>
    <x:t>La dàlia negra (2006)</x:t>
  </x:si>
  <x:si>
    <x:t>La dama (1915)</x:t>
  </x:si>
  <x:si>
    <x:t>La dama d'or (2015)</x:t>
  </x:si>
  <x:si>
    <x:t>La Dama de Ferro (2011)</x:t>
  </x:si>
  <x:si>
    <x:t>La dama de l'exprés (1979)</x:t>
  </x:si>
  <x:si>
    <x:t>La dama de la furgoneta (2015)</x:t>
  </x:si>
  <x:si>
    <x:t>La dama de Xangai (1947)</x:t>
  </x:si>
  <x:si>
    <x:t>La dama del quadre (2017)</x:t>
  </x:si>
  <x:si>
    <x:t>La dana més mortal (2024)</x:t>
  </x:si>
  <x:si>
    <x:t>La darrera nota (2006)</x:t>
  </x:si>
  <x:si>
    <x:t>La decisió (2016)</x:t>
  </x:si>
  <x:si>
    <x:t>La decisió (2017)</x:t>
  </x:si>
  <x:si>
    <x:t>La decisió (2019)</x:t>
  </x:si>
  <x:si>
    <x:t>La decisió de l'Anne (2009)</x:t>
  </x:si>
  <x:si>
    <x:t>La decisió de la Sophie (1982)</x:t>
  </x:si>
  <x:si>
    <x:t>La decisió del rei (2016)</x:t>
  </x:si>
  <x:si>
    <x:t>La delicadesa (2011)</x:t>
  </x:si>
  <x:si>
    <x:t>La desaparició d'en Conan Edogawa (2014)</x:t>
  </x:si>
  <x:si>
    <x:t>La desena victima (1965)</x:t>
  </x:si>
  <x:si>
    <x:t>La diligència: La història de Texas Jack (2016)</x:t>
  </x:si>
  <x:si>
    <x:t>La directora d'orquestra (2018)</x:t>
  </x:si>
  <x:si>
    <x:t>La distància més llarga (2013)</x:t>
  </x:si>
  <x:si>
    <x:t>La Dixie i la rebel·lió zombi (2014)</x:t>
  </x:si>
  <x:si>
    <x:t>La doble de la núvia (2011)</x:t>
  </x:si>
  <x:si>
    <x:t>La doble vida del faquir (2005)</x:t>
  </x:si>
  <x:si>
    <x:t>La dona de foc (1947)</x:t>
  </x:si>
  <x:si>
    <x:t>La dona de l'anarquista (2008)</x:t>
  </x:si>
  <x:si>
    <x:t>La dona de l'espia (2020)</x:t>
  </x:si>
  <x:si>
    <x:t>La dona de l’infern (2019)</x:t>
  </x:si>
  <x:si>
    <x:t>La dona de negre (2012)</x:t>
  </x:si>
  <x:si>
    <x:t>La dona del quadre [VOSC] (1944)</x:t>
  </x:si>
  <x:si>
    <x:t>La dona del segle (2018)</x:t>
  </x:si>
  <x:si>
    <x:t>La dona del viatger del temps (2009)</x:t>
  </x:si>
  <x:si>
    <x:t>La dona dels cabells vermells (2016)</x:t>
  </x:si>
  <x:si>
    <x:t>La dona i el monstre (1954)</x:t>
  </x:si>
  <x:si>
    <x:t>La dona il·legal (2020)</x:t>
  </x:si>
  <x:si>
    <x:t>La dona invisible (2013)</x:t>
  </x:si>
  <x:si>
    <x:t>La dona pirata (1951)</x:t>
  </x:si>
  <x:si>
    <x:t>La dona que va davant (2017)</x:t>
  </x:si>
  <x:si>
    <x:t>La donzella [VOSC] (2016)</x:t>
  </x:si>
  <x:si>
    <x:t>La duquessa (2008)</x:t>
  </x:si>
  <x:si>
    <x:t>La Estrella (2013)</x:t>
  </x:si>
  <x:si>
    <x:t>La família Bélier (2014)</x:t>
  </x:si>
  <x:si>
    <x:t>La família Bloom (2020)</x:t>
  </x:si>
  <x:si>
    <x:t>La familia irreal (2013)</x:t>
  </x:si>
  <x:si>
    <x:t>La família Mitchell contra les màquines (2021)</x:t>
  </x:si>
  <x:si>
    <x:t>La família que tu tries (2019)</x:t>
  </x:si>
  <x:si>
    <x:t>La febre (2005)</x:t>
  </x:si>
  <x:si>
    <x:t>La Festa de la Cervesa (2006)</x:t>
  </x:si>
  <x:si>
    <x:t>La festa de Nadal (2016)</x:t>
  </x:si>
  <x:si>
    <x:t>La Festa dels Súpers - Benvinguts al club (2012)</x:t>
  </x:si>
  <x:si>
    <x:t>La Festa dels Súpers - Connectem (2013)</x:t>
  </x:si>
  <x:si>
    <x:t>La Festa dels Súpers - La història de "Sóc així" (2014)</x:t>
  </x:si>
  <x:si>
    <x:t>La Festa dels súpers (2015)</x:t>
  </x:si>
  <x:si>
    <x:t>La fi és el meu principi (2010)</x:t>
  </x:si>
  <x:si>
    <x:t>La Fifla (2023)</x:t>
  </x:si>
  <x:si>
    <x:t>La filla d'un lladre (2019)</x:t>
  </x:si>
  <x:si>
    <x:t>La filla del Grúfal (2011)</x:t>
  </x:si>
  <x:si>
    <x:t>La filla perfecta (2016)</x:t>
  </x:si>
  <x:si>
    <x:t>La filla pròdiga (2017)</x:t>
  </x:si>
  <x:si>
    <x:t>La fillastra (2015)</x:t>
  </x:si>
  <x:si>
    <x:t>La finestra indiscreta (1954)</x:t>
  </x:si>
  <x:si>
    <x:t>La finestra secreta (2004)</x:t>
  </x:si>
  <x:si>
    <x:t>La flauta dels sis barrufets (1975)</x:t>
  </x:si>
  <x:si>
    <x:t>La flauta màgica [VO] (2006)</x:t>
  </x:si>
  <x:si>
    <x:t>La flor del mal (2002)</x:t>
  </x:si>
  <x:si>
    <x:t>La forca (2015)</x:t>
  </x:si>
  <x:si>
    <x:t>La força de l'amor (2000)</x:t>
  </x:si>
  <x:si>
    <x:t>La força del vent (1992)</x:t>
  </x:si>
  <x:si>
    <x:t>La formiga Z (1998)</x:t>
  </x:si>
  <x:si>
    <x:t>La fornera i l'emperador (1955)</x:t>
  </x:si>
  <x:si>
    <x:t>La fortalesa (2021)</x:t>
  </x:si>
  <x:si>
    <x:t>La fortalesa infernal (1992)</x:t>
  </x:si>
  <x:si>
    <x:t>La fortalesa L'ull del franctirador (2022)</x:t>
  </x:si>
  <x:si>
    <x:t>La fotògrafa de Monte Verità (2021)</x:t>
  </x:si>
  <x:si>
    <x:t>La freda llum del dia (2012)</x:t>
  </x:si>
  <x:si>
    <x:t>La frontera final (1955)</x:t>
  </x:si>
  <x:si>
    <x:t>La fuga de Logan (1976)</x:t>
  </x:si>
  <x:si>
    <x:t>La fugida (1972)</x:t>
  </x:si>
  <x:si>
    <x:t>La fugida (2024)</x:t>
  </x:si>
  <x:si>
    <x:t>La fugida, veritats ocultes (2025)</x:t>
  </x:si>
  <x:si>
    <x:t>La fugitiva [VOSC] (1950)</x:t>
  </x:si>
  <x:si>
    <x:t>La furgo (2025)</x:t>
  </x:si>
  <x:si>
    <x:t>La fúria de Chicago (1980)</x:t>
  </x:si>
  <x:si>
    <x:t>La fúria de la muntanya (2021)</x:t>
  </x:si>
  <x:si>
    <x:t>La furia del dragó (1972)</x:t>
  </x:si>
  <x:si>
    <x:t>La gàbia daurada (2013)</x:t>
  </x:si>
  <x:si>
    <x:t>La gent de l'escala (2018)</x:t>
  </x:si>
  <x:si>
    <x:t>La germana del nuvi (2020)</x:t>
  </x:si>
  <x:si>
    <x:t>La gorgona (1964)</x:t>
  </x:si>
  <x:si>
    <x:t>La gossa Palma (2021)</x:t>
  </x:si>
  <x:si>
    <x:t>La gran aventura de l'abella Hutch (2010)</x:t>
  </x:si>
  <x:si>
    <x:t>La gran aventura del dofí Winter II (2014)</x:t>
  </x:si>
  <x:si>
    <x:t>La gran aventura dels Lunnis i el llibre màgic (2019)</x:t>
  </x:si>
  <x:si>
    <x:t>La gran bellesa (2013)</x:t>
  </x:si>
  <x:si>
    <x:t>La gran boda (2013)</x:t>
  </x:si>
  <x:si>
    <x:t>La gran estafa americana (2013)</x:t>
  </x:si>
  <x:si>
    <x:t>La gran evasió (1963)</x:t>
  </x:si>
  <x:si>
    <x:t>La gran jugada (2016)</x:t>
  </x:si>
  <x:si>
    <x:t>La gran malaltia de l'amor (2017)</x:t>
  </x:si>
  <x:si>
    <x:t>La gran nit de Dagoll Dagom (2024)</x:t>
  </x:si>
  <x:si>
    <x:t>La gran ofensiva (2019)</x:t>
  </x:si>
  <x:si>
    <x:t>La gran revenja (2013)</x:t>
  </x:si>
  <x:si>
    <x:t>La gran seducció (2013)</x:t>
  </x:si>
  <x:si>
    <x:t>La grandesa de viure (2007)</x:t>
  </x:si>
  <x:si>
    <x:t>La granja (2009)</x:t>
  </x:si>
  <x:si>
    <x:t>La guerra d'en Charlie Wilson (2007)</x:t>
  </x:si>
  <x:si>
    <x:t>La guerra dels avis (2020)</x:t>
  </x:si>
  <x:si>
    <x:t>La guerra dels corrents (2017)</x:t>
  </x:si>
  <x:si>
    <x:t>La guerra dels mons (1953)</x:t>
  </x:si>
  <x:si>
    <x:t>La guerra dels mons (2005)</x:t>
  </x:si>
  <x:si>
    <x:t>La guerra dels mons (2013)</x:t>
  </x:si>
  <x:si>
    <x:t>La guerra inacabada (2018)</x:t>
  </x:si>
  <x:si>
    <x:t>La guerra mai vista (2010)</x:t>
  </x:si>
  <x:si>
    <x:t>La Haru al regne dels gats (2002)</x:t>
  </x:si>
  <x:si>
    <x:t>La Henriette ja hi torna (2013)</x:t>
  </x:si>
  <x:si>
    <x:t>La història completa dels meus fracassos sexuals (2008)</x:t>
  </x:si>
  <x:si>
    <x:t>La història de Christiane F. (2021)</x:t>
  </x:si>
  <x:si>
    <x:t>La història de l'Amber (2006)</x:t>
  </x:si>
  <x:si>
    <x:t>La història de Marie Heurtin (2014)</x:t>
  </x:si>
  <x:si>
    <x:t>La història del Nadal (2006)</x:t>
  </x:si>
  <x:si>
    <x:t>La història interminable (1984)</x:t>
  </x:si>
  <x:si>
    <x:t>La IA i la ment humana (2024)</x:t>
  </x:si>
  <x:si>
    <x:t>La imatge permanent (2023)</x:t>
  </x:si>
  <x:si>
    <x:t>La immersió (2023)</x:t>
  </x:si>
  <x:si>
    <x:t>La impaciència del cor (2022)</x:t>
  </x:si>
  <x:si>
    <x:t>La importancia de dir-se Oscar Wilde (2018)</x:t>
  </x:si>
  <x:si>
    <x:t>La importància de ser franc (2002)</x:t>
  </x:si>
  <x:si>
    <x:t>La importància de ser Frank (2021)</x:t>
  </x:si>
  <x:si>
    <x:t>La increïble Elisa (2022)</x:t>
  </x:si>
  <x:si>
    <x:t>La increïble història de la pera gegant (2017)</x:t>
  </x:si>
  <x:si>
    <x:t>La increïble però certa història de la Caputxeta Vermella (2005)</x:t>
  </x:si>
  <x:si>
    <x:t>La independència, pas a pas (2012)</x:t>
  </x:si>
  <x:si>
    <x:t>La infermera (1997)</x:t>
  </x:si>
  <x:si>
    <x:t>La infermera (2016)</x:t>
  </x:si>
  <x:si>
    <x:t>La innocència (2019)</x:t>
  </x:si>
  <x:si>
    <x:t>La inspiració. El gran Pirandello (2022)</x:t>
  </x:si>
  <x:si>
    <x:t>La intervenció (2019)</x:t>
  </x:si>
  <x:si>
    <x:t>La jetée [VOSC] (1962)</x:t>
  </x:si>
  <x:si>
    <x:t>La joia del Nil (1985)</x:t>
  </x:si>
  <x:si>
    <x:t>La Joséphine està embarassada (2016)</x:t>
  </x:si>
  <x:si>
    <x:t>La jove de l'aigua (2006)</x:t>
  </x:si>
  <x:si>
    <x:t>La jove i el mar (2024)</x:t>
  </x:si>
  <x:si>
    <x:t>La jove Jane Austen (2007)</x:t>
  </x:si>
  <x:si>
    <x:t>La joventut d'una reina (1954)</x:t>
  </x:si>
  <x:si>
    <x:t>La juguesca (2015)</x:t>
  </x:si>
  <x:si>
    <x:t>La jungla (2017)</x:t>
  </x:si>
  <x:si>
    <x:t>La Kate i en Leopold (2001)</x:t>
  </x:si>
  <x:si>
    <x:t>La Klara i el Nadal a la granja (2020)</x:t>
  </x:si>
  <x:si>
    <x:t>La La Land (2016)</x:t>
  </x:si>
  <x:si>
    <x:t>La lapidació de Sant Esteve (2012)</x:t>
  </x:si>
  <x:si>
    <x:t>La lapidació de Soraya M (2008)</x:t>
  </x:si>
  <x:si>
    <x:t>La Lassie torna a casa (2020)</x:t>
  </x:si>
  <x:si>
    <x:t>La lectora (2016)</x:t>
  </x:si>
  <x:si>
    <x:t>La legió invencible (1949)</x:t>
  </x:si>
  <x:si>
    <x:t>La Lego Ninjago pel·lícula (2017)</x:t>
  </x:si>
  <x:si>
    <x:t>La Lego pel·lícula (2014)</x:t>
  </x:si>
  <x:si>
    <x:t>La Lego pel·lícula 2 (2019)</x:t>
  </x:si>
  <x:si>
    <x:t>La llamada (2017)</x:t>
  </x:si>
  <x:si>
    <x:t>La llavor del diable (1968)</x:t>
  </x:si>
  <x:si>
    <x:t>La llegenda d'Ochi (2025)</x:t>
  </x:si>
  <x:si>
    <x:t>La llegenda de l'indomable (1967)</x:t>
  </x:si>
  <x:si>
    <x:t>La llegenda de Redbad (2018)</x:t>
  </x:si>
  <x:si>
    <x:t>La llegenda de Santa Claus (2007)</x:t>
  </x:si>
  <x:si>
    <x:t>La llegenda de Sarila (2013)</x:t>
  </x:si>
  <x:si>
    <x:t>La llegenda de Tarzan (2016)</x:t>
  </x:si>
  <x:si>
    <x:t>La llegenda de Tombatossals (2013)</x:t>
  </x:si>
  <x:si>
    <x:t>La llegenda del drac trencaossos (2010)</x:t>
  </x:si>
  <x:si>
    <x:t>La llegenda del Red Dog (2011)</x:t>
  </x:si>
  <x:si>
    <x:t>La llegenda del Zorro (2005)</x:t>
  </x:si>
  <x:si>
    <x:t>La llegenda dels guardians. Les òlibes de Ga'Hoole (2010)</x:t>
  </x:si>
  <x:si>
    <x:t>La llegenda dels perduts (1957)</x:t>
  </x:si>
  <x:si>
    <x:t>La llei de la força (1952)</x:t>
  </x:si>
  <x:si>
    <x:t>La llei del silenci (1954)</x:t>
  </x:si>
  <x:si>
    <x:t>La llengua de les papallones (1999)</x:t>
  </x:si>
  <x:si>
    <x:t>La lletra escarlata (1995)</x:t>
  </x:si>
  <x:si>
    <x:t>La llibreria (2017)</x:t>
  </x:si>
  <x:si>
    <x:t>La Lliga de la Justícia (2017)</x:t>
  </x:si>
  <x:si>
    <x:t>La lliga dels homes extraordinaris (2003)</x:t>
  </x:si>
  <x:si>
    <x:t>La Llista (2008)</x:t>
  </x:si>
  <x:si>
    <x:t>La llista de Schindler (1993)</x:t>
  </x:si>
  <x:si>
    <x:t>La lloba (1941)</x:t>
  </x:si>
  <x:si>
    <x:t>La lluitadora (2007)</x:t>
  </x:si>
  <x:si>
    <x:t>La llum d'Elna (2017)</x:t>
  </x:si>
  <x:si>
    <x:t>La llum de l'Aisha (2025)</x:t>
  </x:si>
  <x:si>
    <x:t>La llum entre els oceans (2016)</x:t>
  </x:si>
  <x:si>
    <x:t>La Ludwig Band "La mateixa sort" - final de gira - (2023)</x:t>
  </x:si>
  <x:si>
    <x:t>La màfia dels cotxes robats (2025)</x:t>
  </x:si>
  <x:si>
    <x:t>La màfia jove (2018)</x:t>
  </x:si>
  <x:si>
    <x:t>La màfia només mata a l'estiu (2013)</x:t>
  </x:si>
  <x:si>
    <x:t>La màgia del sud (2003)</x:t>
  </x:si>
  <x:si>
    <x:t>La mainadera màgica i el gran bum! (2010)</x:t>
  </x:si>
  <x:si>
    <x:t>La malaltia del diumenge (2018)</x:t>
  </x:si>
  <x:si>
    <x:t>La maledicció de l'escorpí de jade (2001)</x:t>
  </x:si>
  <x:si>
    <x:t>La maledicció de la flor daurada (2006)</x:t>
  </x:si>
  <x:si>
    <x:t>La maledicció de la Pantera Rosa (1983)</x:t>
  </x:si>
  <x:si>
    <x:t>La maledicció de Lake Manor (2019)</x:t>
  </x:si>
  <x:si>
    <x:t>La maledicció de les bruixes (1990)</x:t>
  </x:si>
  <x:si>
    <x:t>La maledicció de Tutankamon (2005)</x:t>
  </x:si>
  <x:si>
    <x:t>La maledicció del diable (1957)</x:t>
  </x:si>
  <x:si>
    <x:t>La maleta mexicana (2011)</x:t>
  </x:si>
  <x:si>
    <x:t>La malvada guineu ferotge (2017)</x:t>
  </x:si>
  <x:si>
    <x:t>La Mama Muu torna a casa (2021)</x:t>
  </x:si>
  <x:si>
    <x:t>La màquina del temps (1960)</x:t>
  </x:si>
  <x:si>
    <x:t>La màquina del temps (2002)</x:t>
  </x:si>
  <x:si>
    <x:t>La mar no és blava (2006)</x:t>
  </x:si>
  <x:si>
    <x:t>La marca del llop (2007)</x:t>
  </x:si>
  <x:si>
    <x:t>La mare d'ell (2008)</x:t>
  </x:si>
  <x:si>
    <x:t>La mare de lloguer (2015)</x:t>
  </x:si>
  <x:si>
    <x:t>La mare del nuvi (2005)</x:t>
  </x:si>
  <x:si>
    <x:t>La mare perfecta (2017)</x:t>
  </x:si>
  <x:si>
    <x:t>La Mare Teresa i jo (2022)</x:t>
  </x:si>
  <x:si>
    <x:t>La màscara (1994)</x:t>
  </x:si>
  <x:si>
    <x:t>La màscara del Zorro (1998)</x:t>
  </x:si>
  <x:si>
    <x:t>La matança de Texas l'origen (2006)</x:t>
  </x:si>
  <x:si>
    <x:t>La maternal (2022)</x:t>
  </x:si>
  <x:si>
    <x:t>La memòria dels morts (2004)</x:t>
  </x:si>
  <x:si>
    <x:t>La memòria dels peixos (2004)</x:t>
  </x:si>
  <x:si>
    <x:t>La ment de l'assassí (2012)</x:t>
  </x:si>
  <x:si>
    <x:t>La meva bonica família italiana! (2014)</x:t>
  </x:si>
  <x:si>
    <x:t>La meva casa a París (2014)</x:t>
  </x:si>
  <x:si>
    <x:t>La meva cita a cegues amb la vida (2017)</x:t>
  </x:si>
  <x:si>
    <x:t>La meva família del nord (2018)</x:t>
  </x:si>
  <x:si>
    <x:t>La meva gran aventura sexual (2012)</x:t>
  </x:si>
  <x:si>
    <x:t>La meva nena (2019)</x:t>
  </x:si>
  <x:si>
    <x:t>La meva noia es una extra-terrestre(1988)</x:t>
  </x:si>
  <x:si>
    <x:t>La meva preciosa bugaderia (1985)</x:t>
  </x:si>
  <x:si>
    <x:t>La meva setmana amb Marilyn (2011)</x:t>
  </x:si>
  <x:si>
    <x:t>La meva terra (2014)</x:t>
  </x:si>
  <x:si>
    <x:t>La meva trobada amb la Marilou (2012)</x:t>
  </x:si>
  <x:si>
    <x:t>La meva vida als seixanta (2014)</x:t>
  </x:si>
  <x:si>
    <x:t>La meva vida amb l’Amanda (2018)</x:t>
  </x:si>
  <x:si>
    <x:t>La meva vida d'ara (2013)</x:t>
  </x:si>
  <x:si>
    <x:t>La meva vida en ruïnes (2009)</x:t>
  </x:si>
  <x:si>
    <x:t>La Mia i el lleó blanc (2018)</x:t>
  </x:si>
  <x:si>
    <x:t>La milla verda (1999)</x:t>
  </x:si>
  <x:si>
    <x:t>La millor (2009)</x:t>
  </x:si>
  <x:si>
    <x:t>La millor oferta (2013)</x:t>
  </x:si>
  <x:si>
    <x:t>La millor opció (2016)</x:t>
  </x:si>
  <x:si>
    <x:t>La mina del diable [VOSC] (2005)</x:t>
  </x:si>
  <x:si>
    <x:t>La mirada de l'amor (2013)</x:t>
  </x:si>
  <x:si>
    <x:t>La Mirai, la meva germana petita (2018)</x:t>
  </x:si>
  <x:si>
    <x:t>La moda ràpida: què amaguen les gangues? (2021)</x:t>
  </x:si>
  <x:si>
    <x:t>La mòmia (1959)</x:t>
  </x:si>
  <x:si>
    <x:t>La mòmia: la tomba de l'emperador drac (2008)</x:t>
  </x:si>
  <x:si>
    <x:t>La Mona espera un nen (2014)</x:t>
  </x:si>
  <x:si>
    <x:t>La monja (2005)</x:t>
  </x:si>
  <x:si>
    <x:t>La Monyos (1997)</x:t>
  </x:si>
  <x:si>
    <x:t>La mort a l'ànima (2018)</x:t>
  </x:si>
  <x:si>
    <x:t>La mort arriba suaument (2016)</x:t>
  </x:si>
  <x:si>
    <x:t>La mort de Guillem (2020)</x:t>
  </x:si>
  <x:si>
    <x:t>La mort de Lluís XIV [VOSC] (2016)</x:t>
  </x:si>
  <x:si>
    <x:t>La mort de ningú, l'enigma Heinz Ches (2004)</x:t>
  </x:si>
  <x:si>
    <x:t>La mort del senyor Lazarescu [VOSC] (2005)</x:t>
  </x:si>
  <x:si>
    <x:t>La mort i la donzella (1994)</x:t>
  </x:si>
  <x:si>
    <x:t>La mosquitera (2010)</x:t>
  </x:si>
  <x:si>
    <x:t>La muntanya màgica (2009)</x:t>
  </x:si>
  <x:si>
    <x:t>La muntanya màgica II la banya màgica (2011)</x:t>
  </x:si>
  <x:si>
    <x:t>La musa (1999)</x:t>
  </x:si>
  <x:si>
    <x:t>La música del silenci (2017)</x:t>
  </x:si>
  <x:si>
    <x:t>La narcoamenaça (2026)</x:t>
  </x:si>
  <x:si>
    <x:t>La narradora de pel·lícules (2023)</x:t>
  </x:si>
  <x:si>
    <x:t>La natura de la por (2005)</x:t>
  </x:si>
  <x:si>
    <x:t>La nit cau sobre Manhattan (1996)</x:t>
  </x:si>
  <x:si>
    <x:t>La nit de la iguana (1964)</x:t>
  </x:si>
  <x:si>
    <x:t>La nit del 12 (2022)</x:t>
  </x:si>
  <x:si>
    <x:t>La nit del caçador (1955)</x:t>
  </x:si>
  <x:si>
    <x:t>La nit dels gegants (1968)</x:t>
  </x:si>
  <x:si>
    <x:t>La nit dels morts vivents (1968)</x:t>
  </x:si>
  <x:si>
    <x:t>La nit dels vidres trencats (1991)</x:t>
  </x:si>
  <x:si>
    <x:t>La nit es mou (1975)</x:t>
  </x:si>
  <x:si>
    <x:t>La noia danesa (2015)</x:t>
  </x:si>
  <x:si>
    <x:t>La noia de l’agulla (2024)</x:t>
  </x:si>
  <x:si>
    <x:t>La noia de la finestra (2022)</x:t>
  </x:si>
  <x:si>
    <x:t>La noia de la polsera (2019)</x:t>
  </x:si>
  <x:si>
    <x:t>La noia de les espècies (2005)</x:t>
  </x:si>
  <x:si>
    <x:t>La noia del bosc (2021)</x:t>
  </x:si>
  <x:si>
    <x:t>La noia del llac (2007)</x:t>
  </x:si>
  <x:si>
    <x:t>La noia del metro (2001)</x:t>
  </x:si>
  <x:si>
    <x:t>La noia del tren (2016)</x:t>
  </x:si>
  <x:si>
    <x:t>La noia en la boira (2017)</x:t>
  </x:si>
  <x:si>
    <x:t>La noia que saltava a través del temps (2006)</x:t>
  </x:si>
  <x:si>
    <x:t>La noia tallada en dues (2007)</x:t>
  </x:si>
  <x:si>
    <x:t>La nostra història (1999)</x:t>
  </x:si>
  <x:si>
    <x:t>La nostra hospitalitat (1923)</x:t>
  </x:si>
  <x:si>
    <x:t>La nostra vida (2010)</x:t>
  </x:si>
  <x:si>
    <x:t>La nova guerra dels botons (2011)</x:t>
  </x:si>
  <x:si>
    <x:t>La nova joguina (2022)</x:t>
  </x:si>
  <x:si>
    <x:t>La novena porta (1999)</x:t>
  </x:si>
  <x:si>
    <x:t>La núvia cadàver (2005)</x:t>
  </x:si>
  <x:si>
    <x:t>La núvia de Chucky (1998)</x:t>
  </x:si>
  <x:si>
    <x:t>La núvia de Frankenstein (1935)</x:t>
  </x:si>
  <x:si>
    <x:t>La núvia de la neu (2013)</x:t>
  </x:si>
  <x:si>
    <x:t>La Panadella, històries de la carretera (2015)</x:t>
  </x:si>
  <x:si>
    <x:t>La Pantera Rosa (1963)</x:t>
  </x:si>
  <x:si>
    <x:t>La Pantera Rosa torna (1975)</x:t>
  </x:si>
  <x:si>
    <x:t>La part dels àngels (2012)</x:t>
  </x:si>
  <x:si>
    <x:t>La part positiva de les coses (2012)</x:t>
  </x:si>
  <x:si>
    <x:t>La partícula de Déu (2011)</x:t>
  </x:si>
  <x:si>
    <x:t>La pedra de la paciència (2012)</x:t>
  </x:si>
  <x:si>
    <x:t>La Peggy Sue es va casar (1986)</x:t>
  </x:si>
  <x:si>
    <x:t>La pell freda (2017)</x:t>
  </x:si>
  <x:si>
    <x:t>La pel·lícula d'en Tigger. Les noves aventures de Winnie de Poo i els seus amics (2000)</x:t>
  </x:si>
  <x:si>
    <x:t>La pel·lícula Pokémon: Et trio a tu (2017)</x:t>
  </x:si>
  <x:si>
    <x:t>La pesca del salmó al Iemen (2011)</x:t>
  </x:si>
  <x:si>
    <x:t>La pesta del porc (2026)</x:t>
  </x:si>
  <x:si>
    <x:t>La petita Amélie (2025)</x:t>
  </x:si>
  <x:si>
    <x:t>La petita Anna i el tiet Llargarut (2012)</x:t>
  </x:si>
  <x:si>
    <x:t>La petita bruixa (2018)</x:t>
  </x:si>
  <x:si>
    <x:t>La petita trapella (2018)</x:t>
  </x:si>
  <x:si>
    <x:t>La Pimpinella Escarlata (1934)</x:t>
  </x:si>
  <x:si>
    <x:t>La piràmide invisible. Les urnes de l'1-O (2022)</x:t>
  </x:si>
  <x:si>
    <x:t>La piscine [VOSC] (1969)</x:t>
  </x:si>
  <x:si>
    <x:t>La pitjor feina de la meva vida (2022)</x:t>
  </x:si>
  <x:si>
    <x:t>La pitjor persona del món (2021)</x:t>
  </x:si>
  <x:si>
    <x:t>La plaça del Diamant (1982)</x:t>
  </x:si>
  <x:si>
    <x:t>La Plaga (2013)</x:t>
  </x:si>
  <x:si>
    <x:t>La plaga final (2007)</x:t>
  </x:si>
  <x:si>
    <x:t>La planète sauvage [VOSC] (1973)</x:t>
  </x:si>
  <x:si>
    <x:t>La platja (2000)</x:t>
  </x:si>
  <x:si>
    <x:t>La Ponyo al penya-segat (2008)</x:t>
  </x:si>
  <x:si>
    <x:t>La por (2013)</x:t>
  </x:si>
  <x:si>
    <x:t>La porta màgica (2023)</x:t>
  </x:si>
  <x:si>
    <x:t>La possessió d'Emma Evans (2010)</x:t>
  </x:si>
  <x:si>
    <x:t>La presa nua (1965)</x:t>
  </x:si>
  <x:si>
    <x:t>La prima cosa bella (2010)</x:t>
  </x:si>
  <x:si>
    <x:t>La primavera (2012)</x:t>
  </x:si>
  <x:si>
    <x:t>La primera escola (2024)</x:t>
  </x:si>
  <x:si>
    <x:t>La princesa Cigne 6, demà princesa, avui pirata (2016)</x:t>
  </x:si>
  <x:si>
    <x:t>La princesa Mononoke (1997)</x:t>
  </x:si>
  <x:si>
    <x:t>La princesa promesa (1987)</x:t>
  </x:si>
  <x:si>
    <x:t>La profecia (2006)</x:t>
  </x:si>
  <x:si>
    <x:t>La professora d'història (2014)</x:t>
  </x:si>
  <x:si>
    <x:t>La professora de piano (2019)</x:t>
  </x:si>
  <x:si>
    <x:t>La promesa (2013)</x:t>
  </x:si>
  <x:si>
    <x:t>La promesa (2016)</x:t>
  </x:si>
  <x:si>
    <x:t>La promesse de l'aube (2017)</x:t>
  </x:si>
  <x:si>
    <x:t>La propera pell (2016)</x:t>
  </x:si>
  <x:si>
    <x:t>La prova del crim (2006)</x:t>
  </x:si>
  <x:si>
    <x:t>La Pubilla (2024)</x:t>
  </x:si>
  <x:si>
    <x:t>La punyalada (1989)</x:t>
  </x:si>
  <x:si>
    <x:t>La puta del rei (1992)</x:t>
  </x:si>
  <x:si>
    <x:t>La quadrilla dels onze (1960)</x:t>
  </x:si>
  <x:si>
    <x:t>La quarta fase (2009)</x:t>
  </x:si>
  <x:si>
    <x:t>La quimera de l'or (1925)</x:t>
  </x:si>
  <x:si>
    <x:t>La Rambla de les Floristes (1986)</x:t>
  </x:si>
  <x:si>
    <x:t>La rata pirata (2017)</x:t>
  </x:si>
  <x:si>
    <x:t>La recerca de la felicitat (2006)</x:t>
  </x:si>
  <x:si>
    <x:t>La recerca de Tutankamon (2005)</x:t>
  </x:si>
  <x:si>
    <x:t>La recerca del foc (1981)</x:t>
  </x:si>
  <x:si>
    <x:t>La recluta Benjamin (1980)</x:t>
  </x:si>
  <x:si>
    <x:t>La reina (2006)</x:t>
  </x:si>
  <x:si>
    <x:t>La reina d'Àfrica (1951)</x:t>
  </x:si>
  <x:si>
    <x:t>La reina de Montana (1954)</x:t>
  </x:si>
  <x:si>
    <x:t>La reina de Nova York (1937)</x:t>
  </x:si>
  <x:si>
    <x:t>La reina del desert (2015)</x:t>
  </x:si>
  <x:si>
    <x:t>La reina del riu (2005)</x:t>
  </x:si>
  <x:si>
    <x:t>La reina dels condemnats (2002)</x:t>
  </x:si>
  <x:si>
    <x:t>La reina Margot (1994)</x:t>
  </x:si>
  <x:si>
    <x:t>La reina Victòria (2009)</x:t>
  </x:si>
  <x:si>
    <x:t>La reina Victòria i Abdul (2017)</x:t>
  </x:si>
  <x:si>
    <x:t>La resurrecció dels morts (2004)</x:t>
  </x:si>
  <x:si>
    <x:t>La revenja del comte de Montecristo (2002)</x:t>
  </x:si>
  <x:si>
    <x:t>La revolta dels animals (1954)</x:t>
  </x:si>
  <x:si>
    <x:t>La revolta dels contes (2016)</x:t>
  </x:si>
  <x:si>
    <x:t>La revolució de l'altruisme (2015)</x:t>
  </x:si>
  <x:si>
    <x:t>La revolució silenciosa (2018)</x:t>
  </x:si>
  <x:si>
    <x:t>La Revolució Turística (2014)</x:t>
  </x:si>
  <x:si>
    <x:t>La rifa (1991)</x:t>
  </x:si>
  <x:si>
    <x:t>La rosa porpra del Caire (1985)</x:t>
  </x:si>
  <x:si>
    <x:t>La rossa del bar (1987)</x:t>
  </x:si>
  <x:si>
    <x:t>La ruta cap a El Dorado (2000)</x:t>
  </x:si>
  <x:si>
    <x:t>La sal del mar [VOSC] (2008)</x:t>
  </x:si>
  <x:si>
    <x:t>La salamandra (1981)</x:t>
  </x:si>
  <x:si>
    <x:t>La sega (2007)</x:t>
  </x:si>
  <x:si>
    <x:t>La segona arribada (1998)</x:t>
  </x:si>
  <x:si>
    <x:t>La segona dona (2012)</x:t>
  </x:si>
  <x:si>
    <x:t>La segona nit de noces (2005)</x:t>
  </x:si>
  <x:si>
    <x:t>La selva esmaragda (1985)</x:t>
  </x:si>
  <x:si>
    <x:t>La senda (2012)</x:t>
  </x:si>
  <x:si>
    <x:t>La senyora de les roses (2020)</x:t>
  </x:si>
  <x:si>
    <x:t>La senyoreta Julia (2014)</x:t>
  </x:si>
  <x:si>
    <x:t>La serp blanca: L'origen (2019)</x:t>
  </x:si>
  <x:si>
    <x:t>La seva millor història (2016)</x:t>
  </x:si>
  <x:si>
    <x:t>La Shirin, enamorada (2014)</x:t>
  </x:si>
  <x:si>
    <x:t>La simfonia del professor Holland (1995)</x:t>
  </x:si>
  <x:si>
    <x:t>La síndrome del marit jubilat (2007)</x:t>
  </x:si>
  <x:si>
    <x:t>La societat literària i el pastís de pela de patata (2018)</x:t>
  </x:si>
  <x:si>
    <x:t>La soga (1948)</x:t>
  </x:si>
  <x:si>
    <x:t>La soledat (2007)</x:t>
  </x:si>
  <x:si>
    <x:t>La solitària passió de Judith Hearne (1987)</x:t>
  </x:si>
  <x:si>
    <x:t>La sopa de pedres i altres contes capgirats (2016)</x:t>
  </x:si>
  <x:si>
    <x:t>La sort de l'Emma (2006)</x:t>
  </x:si>
  <x:si>
    <x:t>La taca humana (2003)</x:t>
  </x:si>
  <x:si>
    <x:t>La taronja mecànica [VOSC] (1971)</x:t>
  </x:si>
  <x:si>
    <x:t>La taverna de l'irlandès (1963)</x:t>
  </x:si>
  <x:si>
    <x:t>La tempesta (2017)</x:t>
  </x:si>
  <x:si>
    <x:t>La tempesta de gel (1997)</x:t>
  </x:si>
  <x:si>
    <x:t>La tempesta perfecta (2000)</x:t>
  </x:si>
  <x:si>
    <x:t>La temporada del miracle (2018)</x:t>
  </x:si>
  <x:si>
    <x:t>La teoria del tot (2014)</x:t>
  </x:si>
  <x:si>
    <x:t>La teoria sueca de l'amor (2015)</x:t>
  </x:si>
  <x:si>
    <x:t>La teranyina (1990)</x:t>
  </x:si>
  <x:si>
    <x:t>La teranyina de la Carlota (2006)</x:t>
  </x:si>
  <x:si>
    <x:t>La terra migranya (2006)</x:t>
  </x:si>
  <x:si>
    <x:t>La terra oblidada (1975)</x:t>
  </x:si>
  <x:si>
    <x:t>La terra promesa (2023)</x:t>
  </x:si>
  <x:si>
    <x:t>La teta asustada [VOSC] (2009)</x:t>
  </x:si>
  <x:si>
    <x:t>La teva vida en 65' (2006)</x:t>
  </x:si>
  <x:si>
    <x:t>La tomba de les lluernes (1988)</x:t>
  </x:si>
  <x:si>
    <x:t>La torre de Suso (2007)</x:t>
  </x:si>
  <x:si>
    <x:t>La tortuga vermella (2016)</x:t>
  </x:si>
  <x:si>
    <x:t>La tragèdia del Manchester United (2011)</x:t>
  </x:si>
  <x:si>
    <x:t>La trama (2013)</x:t>
  </x:si>
  <x:si>
    <x:t>La trampa (1966)</x:t>
  </x:si>
  <x:si>
    <x:t>La trampa (1999)</x:t>
  </x:si>
  <x:si>
    <x:t>La travessia (2020)</x:t>
  </x:si>
  <x:si>
    <x:t>La trena (2023)</x:t>
  </x:si>
  <x:si>
    <x:t>La treva (1997)</x:t>
  </x:si>
  <x:si>
    <x:t>La Trinca biografia no autoritzada (2011)</x:t>
  </x:si>
  <x:si>
    <x:t>La usurpadora (2015)</x:t>
  </x:si>
  <x:si>
    <x:t>La vaca (2016)</x:t>
  </x:si>
  <x:si>
    <x:t>La vall de Gwangi (1969)</x:t>
  </x:si>
  <x:si>
    <x:t>La vall de la fúria (1980)</x:t>
  </x:si>
  <x:si>
    <x:t>La vall de les mentides (2014)</x:t>
  </x:si>
  <x:si>
    <x:t>La vall del coure (1950)</x:t>
  </x:si>
  <x:si>
    <x:t>La vall del fugitiu (1969)</x:t>
  </x:si>
  <x:si>
    <x:t>La vall dels ossos (2022)</x:t>
  </x:si>
  <x:si>
    <x:t>La vampira de Barcelona (2020)</x:t>
  </x:si>
  <x:si>
    <x:t>La venjança de Frank James (1940)</x:t>
  </x:si>
  <x:si>
    <x:t>La venjança de Frankenstein (1958)</x:t>
  </x:si>
  <x:si>
    <x:t>La venjança de la Pantera Rosa (1978)</x:t>
  </x:si>
  <x:si>
    <x:t>La Ventafocs (1973)</x:t>
  </x:si>
  <x:si>
    <x:t>La Ventafocs i el príncep secret (2018)</x:t>
  </x:si>
  <x:si>
    <x:t>La venus de les pells (2013)</x:t>
  </x:si>
  <x:si>
    <x:t>La verge roja (2024)</x:t>
  </x:si>
  <x:si>
    <x:t>La veritat fa mal (2015)</x:t>
  </x:si>
  <x:si>
    <x:t>La veritat oculta (2010)</x:t>
  </x:si>
  <x:si>
    <x:t>La veritat sobre l'Emma (2016)</x:t>
  </x:si>
  <x:si>
    <x:t>La Víctor (2017)</x:t>
  </x:si>
  <x:si>
    <x:t>La victòria de Gisèle Pelicot (2025)</x:t>
  </x:si>
  <x:si>
    <x:t>La vida amb el pare (1947)</x:t>
  </x:si>
  <x:si>
    <x:t>La vida comença avui (2010)</x:t>
  </x:si>
  <x:si>
    <x:t>La vida d’en Carbassó (2016)</x:t>
  </x:si>
  <x:si>
    <x:t>La vida d'en Pi (2012)</x:t>
  </x:si>
  <x:si>
    <x:t>La vida davant dels seus ulls (2007)</x:t>
  </x:si>
  <x:si>
    <x:t>La vida de Brian (1979)</x:t>
  </x:si>
  <x:si>
    <x:t>La vida del gran Ramsés II - El faraó i el saltinbanqui (2005)</x:t>
  </x:si>
  <x:si>
    <x:t>La vida del grup (2005)</x:t>
  </x:si>
  <x:si>
    <x:t>La vida dels altres (2006)</x:t>
  </x:si>
  <x:si>
    <x:t>La vida en joc (2006)</x:t>
  </x:si>
  <x:si>
    <x:t>La vida en rosa (2007)</x:t>
  </x:si>
  <x:si>
    <x:t>La vida és bella (1997)</x:t>
  </x:si>
  <x:si>
    <x:t>La vida futura (1936)</x:t>
  </x:si>
  <x:si>
    <x:t>La vida lliure (2017)</x:t>
  </x:si>
  <x:si>
    <x:t>La vida privada d'Enric VIII (1933)</x:t>
  </x:si>
  <x:si>
    <x:t>La vida privada de Pippa Lee (2009)</x:t>
  </x:si>
  <x:si>
    <x:t>La vida privada de Sherlock Holmes (1970)</x:t>
  </x:si>
  <x:si>
    <x:t>La vida secreta de les paraules (2005)</x:t>
  </x:si>
  <x:si>
    <x:t>La vida secreta del rellotge biològic (2009)</x:t>
  </x:si>
  <x:si>
    <x:t>La vida sense la Grace (2007)</x:t>
  </x:si>
  <x:si>
    <x:t>La vida sense la Sara Amat (2019)</x:t>
  </x:si>
  <x:si>
    <x:t>La vídua Clicquot (2023)</x:t>
  </x:si>
  <x:si>
    <x:t>La violinista (2018)</x:t>
  </x:si>
  <x:si>
    <x:t>La viuda (2018)</x:t>
  </x:si>
  <x:si>
    <x:t>La volta al món en 80 dies (2004)</x:t>
  </x:si>
  <x:si>
    <x:t>La voluntària (2022)</x:t>
  </x:si>
  <x:si>
    <x:t>La xarxa (1995)</x:t>
  </x:si>
  <x:si>
    <x:t>La xarxa social (2010)</x:t>
  </x:si>
  <x:si>
    <x:t>La xarxa ultra (2024)</x:t>
  </x:si>
  <x:si>
    <x:t>La xifra negra (2018)</x:t>
  </x:si>
  <x:si>
    <x:t>La Xirgu (2015)</x:t>
  </x:si>
  <x:si>
    <x:t>La Zoe i la Tempesta (2022)</x:t>
  </x:si>
  <x:si>
    <x:t>La zona (2007)</x:t>
  </x:si>
  <x:si>
    <x:t>La zona morta (1983)</x:t>
  </x:si>
  <x:si>
    <x:t>Laban, el petit fantasma. Quina por! (2007)</x:t>
  </x:si>
  <x:si>
    <x:t>Laberint (1986)</x:t>
  </x:si>
  <x:si>
    <x:t>Lady Bird (2017)</x:t>
  </x:si>
  <x:si>
    <x:t>Lady Chatterley (2006)</x:t>
  </x:si>
  <x:si>
    <x:t>Lady Falcó (1985)</x:t>
  </x:si>
  <x:si>
    <x:t>Lady Hamilton [VOSC] (1941)</x:t>
  </x:si>
  <x:si>
    <x:t>Laia (1971)</x:t>
  </x:si>
  <x:si>
    <x:t>Laia (2016)</x:t>
  </x:si>
  <x:si>
    <x:t>Laietana, 43. El cau de la Bèstia (2023)</x:t>
  </x:si>
  <x:si>
    <x:t>Lali Symon (2023)</x:t>
  </x:si>
  <x:si>
    <x:t>Lament pel Brexit (2024)</x:t>
  </x:si>
  <x:si>
    <x:t>Land of mine. Sota la sorra (2015)</x:t>
  </x:si>
  <x:si>
    <x:t>Lantana (2001)</x:t>
  </x:si>
  <x:si>
    <x:t>Larry Crowne (2011)</x:t>
  </x:si>
  <x:si>
    <x:t>Las cloacas de Interior (2017)</x:t>
  </x:si>
  <x:si>
    <x:t>Lasa eta Zabala [VOSC] (2014)</x:t>
  </x:si>
  <x:si>
    <x:t>Lassie (2005)</x:t>
  </x:si>
  <x:si>
    <x:t>Lassie Una nova aventura (2023)</x:t>
  </x:si>
  <x:si>
    <x:t>Last Days (2005)</x:t>
  </x:si>
  <x:si>
    <x:t>Laura (1944)</x:t>
  </x:si>
  <x:si>
    <x:t>Laura està sola (2003)</x:t>
  </x:si>
  <x:si>
    <x:t>Lava (2014)</x:t>
  </x:si>
  <x:si>
    <x:t>Lawrence d'Aràbia (1962)</x:t>
  </x:si>
  <x:si>
    <x:t>Le Havre (2011)</x:t>
  </x:si>
  <x:si>
    <x:t>Le Week-End (2013)</x:t>
  </x:si>
  <x:si>
    <x:t>Led Zeppelin - Jimmy Page &amp; Robert Plant - Unledded (1994)</x:t>
  </x:si>
  <x:si>
    <x:t>Legion (2010)</x:t>
  </x:si>
  <x:si>
    <x:t>Lego: Les aventures de Clutch Powers (2010)</x:t>
  </x:si>
  <x:si>
    <x:t>Leo da Vinci, missió Mona Lisa (2018)</x:t>
  </x:si>
  <x:si>
    <x:t>Leonard Cohen - Live on London [VOSC] (2008)</x:t>
  </x:si>
  <x:si>
    <x:t>Les 2 vides d'Andrés Rabadán (2008)</x:t>
  </x:si>
  <x:si>
    <x:t>Les amigues de l'Àgata (2015)</x:t>
  </x:si>
  <x:si>
    <x:t>Les ànimes perdudes de Síria (2023)</x:t>
  </x:si>
  <x:si>
    <x:t>Les aparences (2020)</x:t>
  </x:si>
  <x:si>
    <x:t>Les armes del diable (1968)</x:t>
  </x:si>
  <x:si>
    <x:t>Les assassines (2020)</x:t>
  </x:si>
  <x:si>
    <x:t>Les aventures de Rocky i Bullwinkle (2000)</x:t>
  </x:si>
  <x:si>
    <x:t>Les aventures de Sammy: Un viatge extraordinari (2010)</x:t>
  </x:si>
  <x:si>
    <x:t>Les aventures de Sharkboy i Lavagirl (2005)</x:t>
  </x:si>
  <x:si>
    <x:t>Les aventures de Tadeu Jones (2012)</x:t>
  </x:si>
  <x:si>
    <x:t>Les aventures de Tintín i el secret de l'Unicorn (2011)</x:t>
  </x:si>
  <x:si>
    <x:t>Les aventures del capità Blood (1950)</x:t>
  </x:si>
  <x:si>
    <x:t>Les aventures del Petit Fantasma (2013)</x:t>
  </x:si>
  <x:si>
    <x:t>Les aventures dels Cinc (2012)</x:t>
  </x:si>
  <x:si>
    <x:t>Les aventures extraordinàries d'Adèle Blanc-Sec (2010)</x:t>
  </x:si>
  <x:si>
    <x:t>Les àvies de Txernòbil (2015)</x:t>
  </x:si>
  <x:si>
    <x:t>Les boges, boges aventures de Robin Hood (1993)</x:t>
  </x:si>
  <x:si>
    <x:t>Les bones companyies (2023)</x:t>
  </x:si>
  <x:si>
    <x:t>Les bostonianes (1984)</x:t>
  </x:si>
  <x:si>
    <x:t>Les bruixes d'Eastwick (1987)</x:t>
  </x:si>
  <x:si>
    <x:t>Les caixes de Stanley Kubrick (2008)</x:t>
  </x:si>
  <x:si>
    <x:t>Les combattants (2014)</x:t>
  </x:si>
  <x:si>
    <x:t>Les conseqüències (2021)</x:t>
  </x:si>
  <x:si>
    <x:t>Les coses excepcionals (2025)</x:t>
  </x:si>
  <x:si>
    <x:t>Les coses senzilles (2023)</x:t>
  </x:si>
  <x:si>
    <x:t>Les cròniques de Blancaneu: El caçador i la reina del gel (2016)</x:t>
  </x:si>
  <x:si>
    <x:t>Les cròniques de Spiderwick (2008)</x:t>
  </x:si>
  <x:si>
    <x:t>Les dents del diable (1960)</x:t>
  </x:si>
  <x:si>
    <x:t>Les desaparegudes (2017)</x:t>
  </x:si>
  <x:si>
    <x:t>Les desaparicions (2024)</x:t>
  </x:si>
  <x:si>
    <x:t>Les diabòliques (1955)</x:t>
  </x:si>
  <x:si>
    <x:t>Les distàncies (2018)</x:t>
  </x:si>
  <x:si>
    <x:t>Les dones del sisè pis (2010)</x:t>
  </x:si>
  <x:si>
    <x:t>Les dones perfectes (2004)</x:t>
  </x:si>
  <x:si>
    <x:t>Les dues cares de la justícia (2023)</x:t>
  </x:si>
  <x:si>
    <x:t>Les dues nits d'ahir (2020)</x:t>
  </x:si>
  <x:si>
    <x:t>Les dues vides d'Audrey Rose (1977)</x:t>
  </x:si>
  <x:si>
    <x:t>Les eleccions (2005)</x:t>
  </x:si>
  <x:si>
    <x:t>Les espies de Churchill (2019)</x:t>
  </x:si>
  <x:si>
    <x:t>Les estacions (2015)</x:t>
  </x:si>
  <x:si>
    <x:t>Les estacions de l'amor (2012)</x:t>
  </x:si>
  <x:si>
    <x:t>Les exxcursionistes calentes (1999)</x:t>
  </x:si>
  <x:si>
    <x:t>Les fantasies (2021)</x:t>
  </x:si>
  <x:si>
    <x:t>Les filles de Mohamed (2004)</x:t>
  </x:si>
  <x:si>
    <x:t>Les filles del Reich (2020)</x:t>
  </x:si>
  <x:si>
    <x:t>Les germanes Bolena (2008)</x:t>
  </x:si>
  <x:si>
    <x:t>Les germanes enfadades (2004)</x:t>
  </x:si>
  <x:si>
    <x:t>Les germanes Munekata [VOSC] (1950)</x:t>
  </x:si>
  <x:si>
    <x:t>Les guardianes (2017)</x:t>
  </x:si>
  <x:si>
    <x:t>Les Hereves (2021)</x:t>
  </x:si>
  <x:si>
    <x:t>Les hores (2002)</x:t>
  </x:si>
  <x:si>
    <x:t>Les invisibles (2018)</x:t>
  </x:si>
  <x:si>
    <x:t>Les joies de l'Holocaust (2023)</x:t>
  </x:si>
  <x:si>
    <x:t>Les joies de la Castafiore (1992)</x:t>
  </x:si>
  <x:si>
    <x:t>Les línies tortes de Déu (2020)</x:t>
  </x:si>
  <x:si>
    <x:t>Les lleis de la termodinàmica (2018)</x:t>
  </x:si>
  <x:si>
    <x:t>Les Lyonnais (2011)</x:t>
  </x:si>
  <x:si>
    <x:t>Les males herbes (2009)</x:t>
  </x:si>
  <x:si>
    <x:t>Les maletes de Tulse Luper (La història de Moab) (2003)</x:t>
  </x:si>
  <x:si>
    <x:t>Les malifetes de l'Emil (2013)</x:t>
  </x:si>
  <x:si>
    <x:t>Les mans buides (2003)</x:t>
  </x:si>
  <x:si>
    <x:t>Les margarides [VOSC] (1966)</x:t>
  </x:si>
  <x:si>
    <x:t>Les meravelles del mar (2017)</x:t>
  </x:si>
  <x:si>
    <x:t>Les meves tardes amb la Margueritte (2010)</x:t>
  </x:si>
  <x:si>
    <x:t>Les mines del rei Salomó (1937)</x:t>
  </x:si>
  <x:si>
    <x:t>Les nenes (2020)</x:t>
  </x:si>
  <x:si>
    <x:t>Les neus del Kilimanjaro (2011)</x:t>
  </x:si>
  <x:si>
    <x:t>Les noies de la llenceria (2006)</x:t>
  </x:si>
  <x:si>
    <x:t>Les noves aventures d'en Rin-Tin-Tin (2007)</x:t>
  </x:si>
  <x:si>
    <x:t>Les noves aventures de la Caputxeta Vermella (2011)</x:t>
  </x:si>
  <x:si>
    <x:t>Les nòvies dels meus amics (2014)</x:t>
  </x:si>
  <x:si>
    <x:t>Les paraules de la Vero (2005)</x:t>
  </x:si>
  <x:si>
    <x:t>Les Perseides (2019)</x:t>
  </x:si>
  <x:si>
    <x:t>Les petites victòries (2023)</x:t>
  </x:si>
  <x:si>
    <x:t>Les pistoles dels set magnífics (1969)</x:t>
  </x:si>
  <x:si>
    <x:t>Les postres de l'alegria (2012)</x:t>
  </x:si>
  <x:si>
    <x:t>Les quatre plomes (1939)</x:t>
  </x:si>
  <x:si>
    <x:t>Les quatre plomes (2002)</x:t>
  </x:si>
  <x:si>
    <x:t>Les Rachels (2017)</x:t>
  </x:si>
  <x:si>
    <x:t>Les sandàlies del pescador (1968)</x:t>
  </x:si>
  <x:si>
    <x:t>Les set boles de cristall (1991)</x:t>
  </x:si>
  <x:si>
    <x:t>Les set vides del Perich (2020)</x:t>
  </x:si>
  <x:si>
    <x:t>Les supernenes (2002)</x:t>
  </x:si>
  <x:si>
    <x:t>Les Tres Bessones i Gaudí (2002)</x:t>
  </x:si>
  <x:si>
    <x:t>Les Tres Bessones i l'enigma del Quixot (2005)</x:t>
  </x:si>
  <x:si>
    <x:t>Les tres bessones karaoke (2003)</x:t>
  </x:si>
  <x:si>
    <x:t>Les tres edats (1923)</x:t>
  </x:si>
  <x:si>
    <x:t>Les tretze roses (2007)</x:t>
  </x:si>
  <x:si>
    <x:t>Les últimes batalles del papa Francesc (2021)</x:t>
  </x:si>
  <x:si>
    <x:t>Les vides de Cèlia (2006)</x:t>
  </x:si>
  <x:si>
    <x:t>Les vides de la Grace (2013)</x:t>
  </x:si>
  <x:si>
    <x:t>Les vides de Marona (2019)</x:t>
  </x:si>
  <x:si>
    <x:t>Les vides privades de la Pippa Lee (2009)</x:t>
  </x:si>
  <x:si>
    <x:t>Les vuit muntanyes (2022)</x:t>
  </x:si>
  <x:si>
    <x:t>Leviatan (2014)</x:t>
  </x:si>
  <x:si>
    <x:t>Li deien Shin Chan (2004)</x:t>
  </x:si>
  <x:si>
    <x:t>Li deien Trinidad (1970)</x:t>
  </x:si>
  <x:si>
    <x:t>Li diuen Bodhi (1991)</x:t>
  </x:si>
  <x:si>
    <x:t>Libertad (2021)</x:t>
  </x:si>
  <x:si>
    <x:t>Liberté [VOSC] (2019)</x:t>
  </x:si>
  <x:si>
    <x:t>Lifi, una gallina tocada de l'ala (2011)</x:t>
  </x:si>
  <x:si>
    <x:t>Lightyear (2022)</x:t>
  </x:si>
  <x:si>
    <x:t>Lilly (2024)</x:t>
  </x:si>
  <x:si>
    <x:t>Lilo i Stitch (2002)</x:t>
  </x:si>
  <x:si>
    <x:t>Lily, la princesa fada (2009)</x:t>
  </x:si>
  <x:si>
    <x:t>Lily, la princesa fada i el petit unicorn (2011)</x:t>
  </x:si>
  <x:si>
    <x:t>Límit vertical (2000)</x:t>
  </x:si>
  <x:si>
    <x:t>Lincoln (2012)</x:t>
  </x:si>
  <x:si>
    <x:t>Línia mortal (1990)</x:t>
  </x:si>
  <x:si>
    <x:t>Lino (2017)</x:t>
  </x:si>
  <x:si>
    <x:t>Lion (2016)</x:t>
  </x:si>
  <x:si>
    <x:t>Lip Dub per la llengua (2011)</x:t>
  </x:si>
  <x:si>
    <x:t>LipDub per la Independència (2010)</x:t>
  </x:si>
  <x:si>
    <x:t>Lisistrata (2002)</x:t>
  </x:si>
  <x:si>
    <x:t>Live Aid Wembley (1985)</x:t>
  </x:si>
  <x:si>
    <x:t>Living (2022)</x:t>
  </x:si>
  <x:si>
    <x:t>Llach: la revolta permanent (2006)</x:t>
  </x:si>
  <x:si>
    <x:t>Llaços ardents (1996)</x:t>
  </x:si>
  <x:si>
    <x:t>Llaços de sang (2013)</x:t>
  </x:si>
  <x:si>
    <x:t>Lladres d'estar per casa (2000)</x:t>
  </x:si>
  <x:si>
    <x:t>Lladres de famosos (2013)</x:t>
  </x:si>
  <x:si>
    <x:t>Llàgrimes del sol (2003)</x:t>
  </x:si>
  <x:si>
    <x:t>Llança trencada (1954)</x:t>
  </x:si>
  <x:si>
    <x:t>Llanterna verda (2011)</x:t>
  </x:si>
  <x:si>
    <x:t>Llegendes de passió (1994)</x:t>
  </x:si>
  <x:si>
    <x:t>Lleons per xais (2007)</x:t>
  </x:si>
  <x:si>
    <x:t>Llibertàries (1996)</x:t>
  </x:si>
  <x:si>
    <x:t>Llibertats empresonades (2019)</x:t>
  </x:si>
  <x:si>
    <x:t>Llibre de família (2005)</x:t>
  </x:si>
  <x:si>
    <x:t>Llicència per casar (2007)</x:t>
  </x:si>
  <x:si>
    <x:t>Llicència per matar (1975)</x:t>
  </x:si>
  <x:si>
    <x:t>Lliçons d'amor (2013)</x:t>
  </x:si>
  <x:si>
    <x:t>Lliçons perilloses (2015)</x:t>
  </x:si>
  <x:si>
    <x:t>Llits (2010)</x:t>
  </x:si>
  <x:si>
    <x:t>Lliure també m'està bé (2006)</x:t>
  </x:si>
  <x:si>
    <x:t>Llobàs (2023)</x:t>
  </x:si>
  <x:si>
    <x:t>Llop (1994)</x:t>
  </x:si>
  <x:si>
    <x:t>Llops bruts (2015)</x:t>
  </x:si>
  <x:si>
    <x:t>Llops de guerra (2022)</x:t>
  </x:si>
  <x:si>
    <x:t>Lluernes al jardí (2008)</x:t>
  </x:si>
  <x:si>
    <x:t>Lluís Companys. 80 anys de l’assassinat d’un president (2020)</x:t>
  </x:si>
  <x:si>
    <x:t>Lluís Llach - Pla seqüència - Making of (2026)</x:t>
  </x:si>
  <x:si>
    <x:t>Lluís Llach - Pla seqüència (2026)</x:t>
  </x:si>
  <x:si>
    <x:t>Lluís Llach, 25 anys: aprendre. El plaer de la descoberta (1992)</x:t>
  </x:si>
  <x:si>
    <x:t>Lluita de titans (2010)</x:t>
  </x:si>
  <x:si>
    <x:t>Lluita per la pau (2023)</x:t>
  </x:si>
  <x:si>
    <x:t>Llum de dia (2013)</x:t>
  </x:si>
  <x:si>
    <x:t>Llum de dona (1979)</x:t>
  </x:si>
  <x:si>
    <x:t>Llums vermells (2012)</x:t>
  </x:si>
  <x:si>
    <x:t>Lluna al Brasil (2013)</x:t>
  </x:si>
  <x:si>
    <x:t>LLuna calenta (2009)</x:t>
  </x:si>
  <x:si>
    <x:t>Lluna de mel mortal (2010)</x:t>
  </x:si>
  <x:si>
    <x:t>Lluna nova (2009)</x:t>
  </x:si>
  <x:si>
    <x:t>Lluna nova [VOSC] (1940)</x:t>
  </x:si>
  <x:si>
    <x:t>Lluna plena (2011)</x:t>
  </x:si>
  <x:si>
    <x:t>Llunàtics (2021)</x:t>
  </x:si>
  <x:si>
    <x:t>Lluny d'ella (2006)</x:t>
  </x:si>
  <x:si>
    <x:t>Lluny de la terra cremada (2008)</x:t>
  </x:si>
  <x:si>
    <x:t>LMN's (llargmetratge) (2006)</x:t>
  </x:si>
  <x:si>
    <x:t>Lobster soup [VOSC] (2020)</x:t>
  </x:si>
  <x:si>
    <x:t>Lockdown [VOSC] (2021)</x:t>
  </x:si>
  <x:si>
    <x:t>LOL (2008)</x:t>
  </x:si>
  <x:si>
    <x:t>LOL (2012)</x:t>
  </x:si>
  <x:si>
    <x:t>Lola i els seus germans (2018)</x:t>
  </x:si>
  <x:si>
    <x:t>Loli Tormenta (2023)</x:t>
  </x:si>
  <x:si>
    <x:t>Lolita (1962)</x:t>
  </x:si>
  <x:si>
    <x:t>London Boulevard (2010)</x:t>
  </x:si>
  <x:si>
    <x:t>London River (2009)</x:t>
  </x:si>
  <x:si>
    <x:t>Looking for Rohmer [VOSC] (2018)</x:t>
  </x:si>
  <x:si>
    <x:t>Looney Tunes, De nou en acció (2003)</x:t>
  </x:si>
  <x:si>
    <x:t>Looper (2012)</x:t>
  </x:si>
  <x:si>
    <x:t>Lorax, a la recerca de la trúfula perduda (2012)</x:t>
  </x:si>
  <x:si>
    <x:t>Lore (2012)</x:t>
  </x:si>
  <x:si>
    <x:t>Lourdes (2009)</x:t>
  </x:si>
  <x:si>
    <x:t>Love &amp; Mercy (2014)</x:t>
  </x:si>
  <x:si>
    <x:t>Love Actually (2003)</x:t>
  </x:si>
  <x:si>
    <x:t>Love Happens (2009)</x:t>
  </x:si>
  <x:si>
    <x:t>Love Life (2022)</x:t>
  </x:si>
  <x:si>
    <x:t>Love Me Not (2019)</x:t>
  </x:si>
  <x:si>
    <x:t>Love Sick (2006)</x:t>
  </x:si>
  <x:si>
    <x:t>Love Story (1970)</x:t>
  </x:si>
  <x:si>
    <x:t>Love Wrecked (2005)</x:t>
  </x:si>
  <x:si>
    <x:t>Loving Vincent (2017)</x:t>
  </x:si>
  <x:si>
    <x:t>Lucky Luke - La balada dels Dalton (1978)</x:t>
  </x:si>
  <x:si>
    <x:t>Lucky Luke - Tots cap a l'Oest (2007)</x:t>
  </x:si>
  <x:si>
    <x:t>Lucky Luke, l'intrèpid (1971)</x:t>
  </x:si>
  <x:si>
    <x:t>Lucky Luke: Els Dalton en llibertat (1983)</x:t>
  </x:si>
  <x:si>
    <x:t>Luis Enrique, Lucho, Luis (2017)</x:t>
  </x:si>
  <x:si>
    <x:t>Luis i els extraterrestres (2018)</x:t>
  </x:si>
  <x:si>
    <x:t>Lunana, un iac a l'escola (2019)</x:t>
  </x:si>
  <x:si>
    <x:t>Lupin III: The First (2019)</x:t>
  </x:si>
  <x:si>
    <x:t>M'he casat amb una bruixa (1942)</x:t>
  </x:si>
  <x:si>
    <x:t>M'he empassat un extraterrestre (2023)</x:t>
  </x:si>
  <x:si>
    <x:t>M'ho vas prometre (2012)</x:t>
  </x:si>
  <x:si>
    <x:t>Macbeth (1948)</x:t>
  </x:si>
  <x:si>
    <x:t>Macbeth (2015)</x:t>
  </x:si>
  <x:si>
    <x:t>Machete (2010)</x:t>
  </x:si>
  <x:si>
    <x:t>Macià contra Companys; les claus del 14 d'abril (2011)</x:t>
  </x:si>
  <x:si>
    <x:t>Mad Max I (1979)</x:t>
  </x:si>
  <x:si>
    <x:t>Mad Max II EI guerrer de la carretera (1981)</x:t>
  </x:si>
  <x:si>
    <x:t>Mad Max III Més enllà de la cúpula del tro (1985)</x:t>
  </x:si>
  <x:si>
    <x:t>Mad Max: Fúria a la carretera (2015)</x:t>
  </x:si>
  <x:si>
    <x:t>Madagascar (2005)</x:t>
  </x:si>
  <x:si>
    <x:t>Madagascar 2 (2008)</x:t>
  </x:si>
  <x:si>
    <x:t>Madagascar 3: de marxa per Europa (2012)</x:t>
  </x:si>
  <x:si>
    <x:t>Madame (2017)</x:t>
  </x:si>
  <x:si>
    <x:t>Madame Curie (2019)</x:t>
  </x:si>
  <x:si>
    <x:t>Madame Tussaud, una llegenda de cera (2016)</x:t>
  </x:si>
  <x:si>
    <x:t>Maddy Etcheban (2020)</x:t>
  </x:si>
  <x:si>
    <x:t>Madeinusa (2006)</x:t>
  </x:si>
  <x:si>
    <x:t>Madeleine Collins (2021)</x:t>
  </x:si>
  <x:si>
    <x:t>Mademoiselle Chambon (2009)</x:t>
  </x:si>
  <x:si>
    <x:t>Madonna - Ciao Italia: Live from Italy (1988)</x:t>
  </x:si>
  <x:si>
    <x:t>Madonna - Drowned World Tour - Live from Detroit (2001)</x:t>
  </x:si>
  <x:si>
    <x:t>Madonna - The Confessions Tour - Live from London (2007)</x:t>
  </x:si>
  <x:si>
    <x:t>Maduro, dels socialisme a la dictadura (2024)</x:t>
  </x:si>
  <x:si>
    <x:t>Mãe vol dir mare (2025)</x:t>
  </x:si>
  <x:si>
    <x:t>Maestro(s) (2022)</x:t>
  </x:si>
  <x:si>
    <x:t>Maggie (2015)</x:t>
  </x:si>
  <x:si>
    <x:t>Magia a l'aigua (1995)</x:t>
  </x:si>
  <x:si>
    <x:t>Màgia a la llum de la lluna (2014)</x:t>
  </x:si>
  <x:si>
    <x:t>Magic Wonderland (2014)</x:t>
  </x:si>
  <x:si>
    <x:t>Magnòlies d'acer (1989)</x:t>
  </x:si>
  <x:si>
    <x:t>Mai diguis mai més (1983)</x:t>
  </x:si>
  <x:si>
    <x:t>Mai és massa tard (2013)</x:t>
  </x:si>
  <x:si>
    <x:t>Mai és tard (2015)</x:t>
  </x:si>
  <x:si>
    <x:t>Mai és tard per enamorar-se (2008)</x:t>
  </x:si>
  <x:si>
    <x:t>Mai Khoi i els Dissidents (2019)</x:t>
  </x:si>
  <x:si>
    <x:t>Major Dundee (1965)</x:t>
  </x:si>
  <x:si>
    <x:t>Majoria absoluta (2002)</x:t>
  </x:si>
  <x:si>
    <x:t>Making of... Nit de Sant Joan, Dagoll Dagom (2010)</x:t>
  </x:si>
  <x:si>
    <x:t>Mal geni (2017)</x:t>
  </x:si>
  <x:si>
    <x:t>Mal gest (2006)</x:t>
  </x:si>
  <x:si>
    <x:t>Mala uva (2004)</x:t>
  </x:si>
  <x:si>
    <x:t>Malavita (2013)</x:t>
  </x:si>
  <x:si>
    <x:t>Malefici (2005)</x:t>
  </x:si>
  <x:si>
    <x:t>Maleïda 1882 (2019)</x:t>
  </x:si>
  <x:si>
    <x:t>Maleïda mare (1970)</x:t>
  </x:si>
  <x:si>
    <x:t>Maleïts malparits (2009)</x:t>
  </x:si>
  <x:si>
    <x:t>Malenconia (2011)</x:t>
  </x:si>
  <x:si>
    <x:t>Males llavors (2021)</x:t>
  </x:si>
  <x:si>
    <x:t>Males mares (2016)</x:t>
  </x:si>
  <x:si>
    <x:t>Malícia (1993)</x:t>
  </x:si>
  <x:si>
    <x:t>Malson a Elm Street. L'orígen (2010)</x:t>
  </x:si>
  <x:si>
    <x:t>Malson abans de Nadal (1993)</x:t>
  </x:si>
  <x:si>
    <x:t>Mama (2013)</x:t>
  </x:si>
  <x:si>
    <x:t>Mama Maria (2020)</x:t>
  </x:si>
  <x:si>
    <x:t>Mamaaà! (2004)</x:t>
  </x:si>
  <x:si>
    <x:t>Mamífera (2024)</x:t>
  </x:si>
  <x:si>
    <x:t>Mamma mia, ja hi tornem a ser! (2018)</x:t>
  </x:si>
  <x:si>
    <x:t>Mamma mia! (2008)</x:t>
  </x:si>
  <x:si>
    <x:t>Mamut (2009)</x:t>
  </x:si>
  <x:si>
    <x:t>Man on Wire (2008)</x:t>
  </x:si>
  <x:si>
    <x:t>Man to Man (2005)</x:t>
  </x:si>
  <x:si>
    <x:t>Manchester by the Sea (2016)</x:t>
  </x:si>
  <x:si>
    <x:t>Mandela, el llarg camí a la llibertat (2013)</x:t>
  </x:si>
  <x:si>
    <x:t>Mandy (2018)</x:t>
  </x:si>
  <x:si>
    <x:t>Manel - Concert al Razzmatazz (2017)</x:t>
  </x:si>
  <x:si>
    <x:t>Manel - Concert privat Joy Eslava (2011)</x:t>
  </x:si>
  <x:si>
    <x:t>Manel a la sala Apolo de Barcelona (2009)</x:t>
  </x:si>
  <x:si>
    <x:t>MANEL al Palau de la Música (2010)</x:t>
  </x:si>
  <x:si>
    <x:t>Manhattan (1979)</x:t>
  </x:si>
  <x:si>
    <x:t>Maniac (2012)</x:t>
  </x:si>
  <x:si>
    <x:t>Manicòmic (1987)</x:t>
  </x:si>
  <x:si>
    <x:t>Mansió de les tenebres (1999)</x:t>
  </x:si>
  <x:si>
    <x:t>Manual d'amor (2005)</x:t>
  </x:si>
  <x:si>
    <x:t>Manual d'amor 2 (2007)</x:t>
  </x:si>
  <x:si>
    <x:t>Manual d'amor 3 (2011)</x:t>
  </x:si>
  <x:si>
    <x:t>Manual d'un garrepa (2016)</x:t>
  </x:si>
  <x:si>
    <x:t>Manuel de Pedrolo: Trencant l'oblit (2015)</x:t>
  </x:si>
  <x:si>
    <x:t>Mapa de la ciutat de Feixes (Making of La teranyina) (2015)</x:t>
  </x:si>
  <x:si>
    <x:t>Mapa dels sons de Tòquio (2009)</x:t>
  </x:si>
  <x:si>
    <x:t>Mapes a les estrelles (2014)</x:t>
  </x:si>
  <x:si>
    <x:t>Màping Casa Batlló (2026)</x:t>
  </x:si>
  <x:si>
    <x:t>Mar de plàstic (2010)</x:t>
  </x:si>
  <x:si>
    <x:t>Mar i cel (1987)</x:t>
  </x:si>
  <x:si>
    <x:t>Mar i cel (1988)</x:t>
  </x:si>
  <x:si>
    <x:t>Mar i cel (2005)</x:t>
  </x:si>
  <x:si>
    <x:t>Mar i Cel (2014)</x:t>
  </x:si>
  <x:si>
    <x:t>Mar i Cel 1.111 La festa (2015)</x:t>
  </x:si>
  <x:si>
    <x:t>Mara i el senyor del foc (2015)</x:t>
  </x:si>
  <x:si>
    <x:t>Marcat a foc (1950)</x:t>
  </x:si>
  <x:si>
    <x:t>Marcats per l'1 d'octubre (2018)</x:t>
  </x:si>
  <x:si>
    <x:t>Marco (2024)</x:t>
  </x:si>
  <x:si>
    <x:t>Marco Macaco (2012)</x:t>
  </x:si>
  <x:si>
    <x:t>Mare (2009)</x:t>
  </x:si>
  <x:si>
    <x:t>Mare i filles (2013)</x:t>
  </x:si>
  <x:si>
    <x:t>Marea letal (2012)</x:t>
  </x:si>
  <x:si>
    <x:t>Marea nocturna (1961)</x:t>
  </x:si>
  <x:si>
    <x:t>Maremar (2018)</x:t>
  </x:si>
  <x:si>
    <x:t>Mares i filles (2009)</x:t>
  </x:si>
  <x:si>
    <x:t>Mares veritables (2020)</x:t>
  </x:si>
  <x:si>
    <x:t>Margin Call (2011)</x:t>
  </x:si>
  <x:si>
    <x:t>Marguerite Duras: París 1944 (2017)</x:t>
  </x:si>
  <x:si>
    <x:t>Maria Antonieta (2006)</x:t>
  </x:si>
  <x:si>
    <x:t>Maria Aurèlia Capmany, 20 anys després (2011)</x:t>
  </x:si>
  <x:si>
    <x:t>Maria i jo (2010)</x:t>
  </x:si>
  <x:si>
    <x:t>Marihuana, entre el verí i el fàrmac (2016)</x:t>
  </x:si>
  <x:si>
    <x:t>Marina canta Moustaki (2012)</x:t>
  </x:si>
  <x:si>
    <x:t>Marit per sorpresa (2008)</x:t>
  </x:si>
  <x:si>
    <x:t>Marits i mullers (1992)</x:t>
  </x:si>
  <x:si>
    <x:t>Mark Felt, l'home que va fer caure la Casa Blanca (2017)</x:t>
  </x:si>
  <x:si>
    <x:t>Marlowe (2022)</x:t>
  </x:si>
  <x:si>
    <x:t>Marnie (1964)</x:t>
  </x:si>
  <x:si>
    <x:t>Mars Attacks! (1996)</x:t>
  </x:si>
  <x:si>
    <x:t>Martin Eden (2019)</x:t>
  </x:si>
  <x:si>
    <x:t>Martín el gautxo (1952)</x:t>
  </x:si>
  <x:si>
    <x:t>Mary Anning i la platja dels dinosaures (2025)</x:t>
  </x:si>
  <x:si>
    <x:t>Mary i la flor de la bruixa (2017)</x:t>
  </x:si>
  <x:si>
    <x:t>Mary Poppins (1964)</x:t>
  </x:si>
  <x:si>
    <x:t>Mary Shelley [VOSC] (2017)</x:t>
  </x:si>
  <x:si>
    <x:t>Màscares (2009)</x:t>
  </x:si>
  <x:si>
    <x:t>Mascotes I (2016)</x:t>
  </x:si>
  <x:si>
    <x:t>Mascotes II (2019)</x:t>
  </x:si>
  <x:si>
    <x:t>Masies, un llegat que s'ensorra (2025)</x:t>
  </x:si>
  <x:si>
    <x:t>Mass (2021)</x:t>
  </x:si>
  <x:si>
    <x:t>Master Xof (2023)</x:t>
  </x:si>
  <x:si>
    <x:t>Mata'ls suaument (2012)</x:t>
  </x:si>
  <x:si>
    <x:t>Matança americana (2022)</x:t>
  </x:si>
  <x:si>
    <x:t>Matar el missatger (2014)</x:t>
  </x:si>
  <x:si>
    <x:t>Matar un home (2016)</x:t>
  </x:si>
  <x:si>
    <x:t>Matar un rossinyol [VOSC] (1962)</x:t>
  </x:si>
  <x:si>
    <x:t>Match Point (2005)</x:t>
  </x:si>
  <x:si>
    <x:t>Matilda (1996)</x:t>
  </x:si>
  <x:si>
    <x:t>Matinée (1993)</x:t>
  </x:si>
  <x:si>
    <x:t>Matrix (Remasteritzada) (1999)</x:t>
  </x:si>
  <x:si>
    <x:t>Matrix Reloaded (2003)</x:t>
  </x:si>
  <x:si>
    <x:t>Matrix Revolutions (2003)</x:t>
  </x:si>
  <x:si>
    <x:t>Maudie (2016)</x:t>
  </x:si>
  <x:si>
    <x:t>Maverick (1994)</x:t>
  </x:si>
  <x:si>
    <x:t>Mavka. Guardiana del Bosc (2023)</x:t>
  </x:si>
  <x:si>
    <x:t>Maxim risc (1993)</x:t>
  </x:si>
  <x:si>
    <x:t>Mayerling (1968)</x:t>
  </x:si>
  <x:si>
    <x:t>Mazinger Z: Infinity (2017)</x:t>
  </x:si>
  <x:si>
    <x:t>McCabe i la senyora Miller (1971)</x:t>
  </x:si>
  <x:si>
    <x:t>Mea culpa (2014)</x:t>
  </x:si>
  <x:si>
    <x:t>Mediterrani (2021)</x:t>
  </x:si>
  <x:si>
    <x:t>Megan Leavey (2017)</x:t>
  </x:si>
  <x:si>
    <x:t>Mein Führer La veritat més autèntica sobre Adolf Hitler (2007)</x:t>
  </x:si>
  <x:si>
    <x:t>Mel (2010)</x:t>
  </x:si>
  <x:si>
    <x:t>Melinda i Melinda (2004)</x:t>
  </x:si>
  <x:si>
    <x:t>Melody (1971)</x:t>
  </x:si>
  <x:si>
    <x:t>Memento (2000)</x:t>
  </x:si>
  <x:si>
    <x:t>Memòria de l'heroïna (2025)</x:t>
  </x:si>
  <x:si>
    <x:t>Memòria de l'infern (2005)</x:t>
  </x:si>
  <x:si>
    <x:t>Memòries d'Àfrica (1985)</x:t>
  </x:si>
  <x:si>
    <x:t>Memòries d'un home en pijama (2018)</x:t>
  </x:si>
  <x:si>
    <x:t>Memòries d'un zombie adolescent (2013)</x:t>
  </x:si>
  <x:si>
    <x:t>Memòries d'una geisha (2005)</x:t>
  </x:si>
  <x:si>
    <x:t>Memòries de París (2022)</x:t>
  </x:si>
  <x:si>
    <x:t>Memòries de Queens (2006)</x:t>
  </x:si>
  <x:si>
    <x:t>Memòries gitanes. L'altre genocidi (2011)</x:t>
  </x:si>
  <x:si>
    <x:t>Memory (2023)</x:t>
  </x:si>
  <x:si>
    <x:t>Memphis Belle (1990)</x:t>
  </x:si>
  <x:si>
    <x:t>Men in black I (1997)</x:t>
  </x:si>
  <x:si>
    <x:t>Men in black II (2002)</x:t>
  </x:si>
  <x:si>
    <x:t>Men in black III (2012)</x:t>
  </x:si>
  <x:si>
    <x:t>Mendelssohn, els nazis i jo (2009)</x:t>
  </x:si>
  <x:si>
    <x:t>Menja d'amor (2002)</x:t>
  </x:si>
  <x:si>
    <x:t>Menja, resa, estima (2010)</x:t>
  </x:si>
  <x:si>
    <x:t>Menjar per a gats (2008)</x:t>
  </x:si>
  <x:si>
    <x:t>Menjar, jugar, estimar (2017)</x:t>
  </x:si>
  <x:si>
    <x:t>Mentider (2022)</x:t>
  </x:si>
  <x:si>
    <x:t>Mentiders (2012)</x:t>
  </x:si>
  <x:si>
    <x:t>Mentides que expliquem (2017)</x:t>
  </x:si>
  <x:si>
    <x:t>Mentre dorms (2011)</x:t>
  </x:si>
  <x:si>
    <x:t>Mentre hi hagi homes (2001)</x:t>
  </x:si>
  <x:si>
    <x:t>Mentre no hi ets (2014)</x:t>
  </x:si>
  <x:si>
    <x:t>Mentre Nova York dorm (1956)</x:t>
  </x:si>
  <x:si>
    <x:t>Mentre siguem joves (2014)</x:t>
  </x:si>
  <x:si>
    <x:t>Mentre siguis amb mi (2020)</x:t>
  </x:si>
  <x:si>
    <x:t>Ments brillants (2018)</x:t>
  </x:si>
  <x:si>
    <x:t>Menú degustació (2013)</x:t>
  </x:si>
  <x:si>
    <x:t>Meravellós desastre (2023)</x:t>
  </x:si>
  <x:si>
    <x:t>Mercenaris d'elit (2020)</x:t>
  </x:si>
  <x:si>
    <x:t>Merlí: el retorn (2000)</x:t>
  </x:si>
  <x:si>
    <x:t>Més enllà de l'ambició (1988)</x:t>
  </x:si>
  <x:si>
    <x:t>Més enllà de l'aventura del Posidó (1979)</x:t>
  </x:si>
  <x:si>
    <x:t>Més enllà de l'honor (1981)</x:t>
  </x:si>
  <x:si>
    <x:t>Més enllà de l'oblit (2017)</x:t>
  </x:si>
  <x:si>
    <x:t>Més enllà de l'odi (2005)</x:t>
  </x:si>
  <x:si>
    <x:t>Més enllà de La Cubana (2022)</x:t>
  </x:si>
  <x:si>
    <x:t>Més enllà de la vida (2010)</x:t>
  </x:si>
  <x:si>
    <x:t>Més enllà de les estrelles (2003)</x:t>
  </x:si>
  <x:si>
    <x:t>Més enllà de Mombasa (1956)</x:t>
  </x:si>
  <x:si>
    <x:t>Més enllà de Rio Grande (1959)</x:t>
  </x:si>
  <x:si>
    <x:t>Més enllà del dubte (2009)</x:t>
  </x:si>
  <x:si>
    <x:t>Més enllà dels dos minuts infinits (2020)</x:t>
  </x:si>
  <x:si>
    <x:t>Més enllà dels somnis (1998)</x:t>
  </x:si>
  <x:si>
    <x:t>Més fort que les paraules (2013)</x:t>
  </x:si>
  <x:si>
    <x:t>Més que idols (1986)</x:t>
  </x:si>
  <x:si>
    <x:t>Més que un somni - Ho sabia (2022)</x:t>
  </x:si>
  <x:si>
    <x:t>Més ràpid que el vent (1958)</x:t>
  </x:si>
  <x:si>
    <x:t>Més veloç que la mort (2018)</x:t>
  </x:si>
  <x:si>
    <x:t>Messi (2014)</x:t>
  </x:si>
  <x:si>
    <x:t>Messi, el desè art (2021)</x:t>
  </x:si>
  <x:si>
    <x:t>Messies participatiu (2024)</x:t>
  </x:si>
  <x:si>
    <x:t>Mesures extraordinàries (2009)</x:t>
  </x:si>
  <x:si>
    <x:t>Mesures extremes (2016)</x:t>
  </x:si>
  <x:si>
    <x:t>Metamorphosis, de les places als ajuntaments (2016)</x:t>
  </x:si>
  <x:si>
    <x:t>Meteorit (1979)</x:t>
  </x:si>
  <x:si>
    <x:t>Metropolis [VOSC] (1927)</x:t>
  </x:si>
  <x:si>
    <x:t>Meublé. La Casita Blanca (2011)</x:t>
  </x:si>
  <x:si>
    <x:t>Mi loco Erasmus (2012)</x:t>
  </x:si>
  <x:si>
    <x:t>Mia Sarah (2006)</x:t>
  </x:si>
  <x:si>
    <x:t>Michael Clayton (2007)</x:t>
  </x:si>
  <x:si>
    <x:t>Michael Collins (1996)</x:t>
  </x:si>
  <x:si>
    <x:t>Michael Jackson - History Tour Live in Munich (1997)</x:t>
  </x:si>
  <x:si>
    <x:t>Michelle i Barack (2016)</x:t>
  </x:si>
  <x:si>
    <x:t>Midnight in Paris (2011)</x:t>
  </x:si>
  <x:si>
    <x:t>Mil anys de pregàries (2007)</x:t>
  </x:si>
  <x:si>
    <x:t>Mil coses que faria per tu (2017)</x:t>
  </x:si>
  <x:si>
    <x:t>Mil cretins (2011)</x:t>
  </x:si>
  <x:si>
    <x:t>Mil vegades bona nit (2013)</x:t>
  </x:si>
  <x:si>
    <x:t>Milicianes (2018)</x:t>
  </x:si>
  <x:si>
    <x:t>Milions (2004)</x:t>
  </x:si>
  <x:si>
    <x:t>Millennium 1: Els homes que no estimaven les dones (2009)</x:t>
  </x:si>
  <x:si>
    <x:t>Millennium 2: La noia que somiava un llumí i un bidó de gasolina (2009)</x:t>
  </x:si>
  <x:si>
    <x:t>Millennium 3: La reina al palau dels corrents d'aire (2009)</x:t>
  </x:si>
  <x:si>
    <x:t>Millennium: Els homes que no estimaven les dones (2012)</x:t>
  </x:si>
  <x:si>
    <x:t>Million Dollar Baby (2004)</x:t>
  </x:si>
  <x:si>
    <x:t>Millor que mai (2019)</x:t>
  </x:si>
  <x:si>
    <x:t>Millor un altre dia (2014)</x:t>
  </x:si>
  <x:si>
    <x:t>Millor, impossible (1997)</x:t>
  </x:si>
  <x:si>
    <x:t>Mimic (1997)</x:t>
  </x:si>
  <x:si>
    <x:t>Mimzy, més enllà de la imaginació (2007)</x:t>
  </x:si>
  <x:si>
    <x:t>Mina i el món dels somnis (2020)</x:t>
  </x:si>
  <x:si>
    <x:t>Minari: Història de la meva família (2020)</x:t>
  </x:si>
  <x:si>
    <x:t>Mindscape (2013)</x:t>
  </x:si>
  <x:si>
    <x:t>Minions: L'origen de Gru (2022)</x:t>
  </x:si>
  <x:si>
    <x:t>Minuscule I La vallée des fourmis perdues (2013)</x:t>
  </x:si>
  <x:si>
    <x:t>Minuscule II Les mandibules du bout du monde (2018)</x:t>
  </x:si>
  <x:si>
    <x:t>Miquel Àngel: El pecat (2019)</x:t>
  </x:si>
  <x:si>
    <x:t>Miquel Bauçà, poeta invisible (2005)</x:t>
  </x:si>
  <x:si>
    <x:t>Mira per mi (2021)</x:t>
  </x:si>
  <x:si>
    <x:t>Mira qui parla (1989)</x:t>
  </x:si>
  <x:si>
    <x:t>Mira qui parla ara! (1993)</x:t>
  </x:si>
  <x:si>
    <x:t>Mira qui parla també (1990)</x:t>
  </x:si>
  <x:si>
    <x:t>Mirada d'àngel (2001)</x:t>
  </x:si>
  <x:si>
    <x:t>Mirall, mirall (2022)</x:t>
  </x:si>
  <x:si>
    <x:t>Miró (2023)</x:t>
  </x:si>
  <x:si>
    <x:t>Mishima, Una vida en quatre capítols [VOSC] (1985)</x:t>
  </x:si>
  <x:si>
    <x:t>Miss (2020)</x:t>
  </x:si>
  <x:si>
    <x:t>Miss agent especial I (2000)</x:t>
  </x:si>
  <x:si>
    <x:t>Miss agent especial II Armada i fabulosa (2005)</x:t>
  </x:si>
  <x:si>
    <x:t>Miss Dalí (2018)</x:t>
  </x:si>
  <x:si>
    <x:t>Miss Potter (2006)</x:t>
  </x:si>
  <x:si>
    <x:t>Missatge en una ampolla (1999)</x:t>
  </x:si>
  <x:si>
    <x:t>Missió a Mocland, una aventura superespacial (2008)</x:t>
  </x:si>
  <x:si>
    <x:t>Missió d'audaços (1959)</x:t>
  </x:si>
  <x:si>
    <x:t>Missió Impossible - Fallout (2018)</x:t>
  </x:si>
  <x:si>
    <x:t>Missió Impossible (1996)</x:t>
  </x:si>
  <x:si>
    <x:t>Missió Impossible II (2000)</x:t>
  </x:si>
  <x:si>
    <x:t>Missió Impossible III (2006)</x:t>
  </x:si>
  <x:si>
    <x:t>Missió panda a l'Àfrica (2024)</x:t>
  </x:si>
  <x:si>
    <x:t>Misteri al paradís (2016)</x:t>
  </x:si>
  <x:si>
    <x:t>Misteriós assassinat a Manhattan (1993)</x:t>
  </x:si>
  <x:si>
    <x:t>Mitgeres (2011)</x:t>
  </x:si>
  <x:si>
    <x:t>Mithya [VOSC] (2023)</x:t>
  </x:si>
  <x:si>
    <x:t>Modernisme, una història de destrucció (2012)</x:t>
  </x:si>
  <x:si>
    <x:t>Modesty Blaise (1966)</x:t>
  </x:si>
  <x:si>
    <x:t>Modigliani (2004)</x:t>
  </x:si>
  <x:si>
    <x:t>Mogambo (1953)</x:t>
  </x:si>
  <x:si>
    <x:t>Moguda sota el mar (2006)</x:t>
  </x:si>
  <x:si>
    <x:t>Molly's Game (2017)</x:t>
  </x:si>
  <x:si>
    <x:t>Molt de gust (2014)</x:t>
  </x:si>
  <x:si>
    <x:t>Molt soroll per a no res (1993)</x:t>
  </x:si>
  <x:si>
    <x:t>Momentum (2003)</x:t>
  </x:si>
  <x:si>
    <x:t>Mòmies (2023)</x:t>
  </x:si>
  <x:si>
    <x:t>Momo (2017)</x:t>
  </x:si>
  <x:si>
    <x:t>Momo: Una aventura a contra rellotge (2001)</x:t>
  </x:si>
  <x:si>
    <x:t>Món Cavall Fort (2012)</x:t>
  </x:si>
  <x:si>
    <x:t>Món petit (2012)</x:t>
  </x:si>
  <x:si>
    <x:t>Mona Lisa (1986)</x:t>
  </x:si>
  <x:si>
    <x:t>Monarquia o República (2012)</x:t>
  </x:si>
  <x:si>
    <x:t>Mones com la Becky (1999)</x:t>
  </x:si>
  <x:si>
    <x:t>Money Monster (2016)</x:t>
  </x:si>
  <x:si>
    <x:t>Moneyball (2011)</x:t>
  </x:si>
  <x:si>
    <x:t>Mongol (2007)</x:t>
  </x:si>
  <x:si>
    <x:t>Mongol (2024)</x:t>
  </x:si>
  <x:si>
    <x:t>Mónica (2003)</x:t>
  </x:si>
  <x:si>
    <x:t>Monky, un petit mico amb un gran secret (2017)</x:t>
  </x:si>
  <x:si>
    <x:t>Monsenyor (1982)</x:t>
  </x:si>
  <x:si>
    <x:t>Monsieur Chocolat (2016)</x:t>
  </x:si>
  <x:si>
    <x:t>Monster House (2006)</x:t>
  </x:si>
  <x:si>
    <x:t>Monstres contra alienígenes (2009)</x:t>
  </x:si>
  <x:si>
    <x:t>Montana (1950)</x:t>
  </x:si>
  <x:si>
    <x:t>Montana Belle (1952)</x:t>
  </x:si>
  <x:si>
    <x:t>Montserrat, Integral 107 (2024)</x:t>
  </x:si>
  <x:si>
    <x:t>Monturiol, el senyor del mar (1993)</x:t>
  </x:si>
  <x:si>
    <x:t>Monuments Men (2014)</x:t>
  </x:si>
  <x:si>
    <x:t>Moon (2009)</x:t>
  </x:si>
  <x:si>
    <x:t>Moon, el meu amic panda (2025)</x:t>
  </x:si>
  <x:si>
    <x:t>Moonfall (2022)</x:t>
  </x:si>
  <x:si>
    <x:t>Moonlight (2016)</x:t>
  </x:si>
  <x:si>
    <x:t>Moonraker (1979)</x:t>
  </x:si>
  <x:si>
    <x:t>Moonrise Kingdom (2012)</x:t>
  </x:si>
  <x:si>
    <x:t>Moosa Lane [VOSC] (2022)</x:t>
  </x:si>
  <x:si>
    <x:t>Mor un altre dia (2002)</x:t>
  </x:si>
  <x:si>
    <x:t>Morir (o no) (2000)</x:t>
  </x:si>
  <x:si>
    <x:t>Morir a San Hilario (2005)</x:t>
  </x:si>
  <x:si>
    <x:t>Morir de dia (2010)</x:t>
  </x:si>
  <x:si>
    <x:t>Morir en 3 actes (2010)</x:t>
  </x:si>
  <x:si>
    <x:t>Moriràs en 3 dies (2006)</x:t>
  </x:si>
  <x:si>
    <x:t>Mort a la xarxa (1999)</x:t>
  </x:si>
  <x:si>
    <x:t>Mort al Nil (1978)</x:t>
  </x:si>
  <x:si>
    <x:t>Mort entre les flors (1990)</x:t>
  </x:si>
  <x:si>
    <x:t>Mort sota el sol (1982)</x:t>
  </x:si>
  <x:si>
    <x:t>Mortadel·lo i Filemó contra en Jimmy el Catxondo (2014)</x:t>
  </x:si>
  <x:si>
    <x:t>Mortadel·lo i Filemó. Missió: salvar la Terra (2008)</x:t>
  </x:si>
  <x:si>
    <x:t>Mortal (2020)</x:t>
  </x:si>
  <x:si>
    <x:t>Mortal kombat (1995)</x:t>
  </x:si>
  <x:si>
    <x:t>Mortdecai (2015)</x:t>
  </x:si>
  <x:si>
    <x:t>Morts a l'institut (2018)</x:t>
  </x:si>
  <x:si>
    <x:t>Morts i enterrats (1981)</x:t>
  </x:si>
  <x:si>
    <x:t>Morts o lliures. Deportats a Austràlia (2015)</x:t>
  </x:si>
  <x:si>
    <x:t>Moscou zero (2006)</x:t>
  </x:si>
  <x:si>
    <x:t>Mossega com puguis (1995)</x:t>
  </x:si>
  <x:si>
    <x:t>Mossega la bala (1975)</x:t>
  </x:si>
  <x:si>
    <x:t>Mossegades perilloses (1985)</x:t>
  </x:si>
  <x:si>
    <x:t>Mossos, llums i ombres (2020)</x:t>
  </x:si>
  <x:si>
    <x:t>Motherhood (2009)</x:t>
  </x:si>
  <x:si>
    <x:t>Motherless [VOSC] (2022)</x:t>
  </x:si>
  <x:si>
    <x:t>Mothers (2020)</x:t>
  </x:si>
  <x:si>
    <x:t>Mothman, l'última profecia (2002)</x:t>
  </x:si>
  <x:si>
    <x:t>Moulin Rouge (2001)</x:t>
  </x:si>
  <x:si>
    <x:t>Moure muntanyes (2026)</x:t>
  </x:si>
  <x:si>
    <x:t>Movie 43 (2013)</x:t>
  </x:si>
  <x:si>
    <x:t>MR 73 (2008)</x:t>
  </x:si>
  <x:si>
    <x:t>Mr. Brooks (2007)</x:t>
  </x:si>
  <x:si>
    <x:t>Mr. Holmes (2015)</x:t>
  </x:si>
  <x:si>
    <x:t>Mr. Link (2019)</x:t>
  </x:si>
  <x:si>
    <x:t>Mr. Magorium i la seva botiga màgica (2007)</x:t>
  </x:si>
  <x:si>
    <x:t>Mr. Nobody contra Putin (2025)</x:t>
  </x:si>
  <x:si>
    <x:t>Mr. Wain (2021)</x:t>
  </x:si>
  <x:si>
    <x:t>MS1 Màxima seguretat (2012)</x:t>
  </x:si>
  <x:si>
    <x:t>Mud (2012)</x:t>
  </x:si>
  <x:si>
    <x:t>Mudar de vida [VOSC] (1966)</x:t>
  </x:si>
  <x:si>
    <x:t>Mulan (1998)</x:t>
  </x:si>
  <x:si>
    <x:t>Muntanyes màgiques, El món salvatge de l'Alt Tatra (2007)</x:t>
  </x:si>
  <x:si>
    <x:t>Murmuris del cor (1995)</x:t>
  </x:si>
  <x:si>
    <x:t>Murs de silenci. Gran Escala 2000 (2024)</x:t>
  </x:si>
  <x:si>
    <x:t>Musa (2017)</x:t>
  </x:si>
  <x:si>
    <x:t>Museum (2016)</x:t>
  </x:si>
  <x:si>
    <x:t>Música del cor (1999)</x:t>
  </x:si>
  <x:si>
    <x:t>Mustang (2015)</x:t>
  </x:si>
  <x:si>
    <x:t>Mutafukaz (2017)</x:t>
  </x:si>
  <x:si>
    <x:t>My Blueberry Nights (2007)</x:t>
  </x:si>
  <x:si>
    <x:t>My First Summer [VOSC] (2020)</x:t>
  </x:si>
  <x:si>
    <x:t>My Hero Academia: Dos herois (2018)</x:t>
  </x:si>
  <x:si>
    <x:t>My Hero Academia: El despertar dels herois (2019)</x:t>
  </x:si>
  <x:si>
    <x:t>My Hero Academia: Missió mundial d'herois (2021)</x:t>
  </x:si>
  <x:si>
    <x:t>My Own Love Song (2010)</x:t>
  </x:si>
  <x:si>
    <x:t>Mystery Train [VOSC] (1989)</x:t>
  </x:si>
  <x:si>
    <x:t>Mystic river (2003)</x:t>
  </x:si>
  <x:si>
    <x:t>Myway (2007)</x:t>
  </x:si>
  <x:si>
    <x:t>Nadal al carrer Chestnut (2006)</x:t>
  </x:si>
  <x:si>
    <x:t>Nadal al país de les meravelles (2007)</x:t>
  </x:si>
  <x:si>
    <x:t>Nadal al pantà (2013)</x:t>
  </x:si>
  <x:si>
    <x:t>Nadal sobre gel (2020)</x:t>
  </x:si>
  <x:si>
    <x:t>Nadal vinent, com sempre (2019)</x:t>
  </x:si>
  <x:si>
    <x:t>Nader i Simin, una separació (2011)</x:t>
  </x:si>
  <x:si>
    <x:t>Nadia (2016)</x:t>
  </x:si>
  <x:si>
    <x:t>Nadine (1987)</x:t>
  </x:si>
  <x:si>
    <x:t>Nahid (2015)</x:t>
  </x:si>
  <x:si>
    <x:t>Nameless Gangster (2012)</x:t>
  </x:si>
  <x:si>
    <x:t>Nancy Drew (2007)</x:t>
  </x:si>
  <x:si>
    <x:t>Nang Nak (1999)</x:t>
  </x:si>
  <x:si>
    <x:t>Nanny McPhee (2005)</x:t>
  </x:si>
  <x:si>
    <x:t>Napoleó i jo (2006)</x:t>
  </x:si>
  <x:si>
    <x:t>Napoleó, el gosset aventurer (1995)</x:t>
  </x:si>
  <x:si>
    <x:t>Napoléon [VOSC] (1927)</x:t>
  </x:si>
  <x:si>
    <x:t>Naqoyqatsi (2002)</x:t>
  </x:si>
  <x:si>
    <x:t>Narc (2002)</x:t>
  </x:si>
  <x:si>
    <x:t>Naruto: 1 Batalla ninja a la Terra de la Neu! (2004)</x:t>
  </x:si>
  <x:si>
    <x:t>Naruto: 2 La llegenda de la pedra de Gelel (2005)</x:t>
  </x:si>
  <x:si>
    <x:t>Naruto: 3 Els guardians de l'Imperi de la Lluna Creixent (2006)</x:t>
  </x:si>
  <x:si>
    <x:t>Naruto: 9 la pel·lícula: El camí del Ninja (2012)</x:t>
  </x:si>
  <x:si>
    <x:t>Nàufrag (2000)</x:t>
  </x:si>
  <x:si>
    <x:t>Naus silencioses (1972)</x:t>
  </x:si>
  <x:si>
    <x:t>Nausicaä de la Vall del Vent (1984)</x:t>
  </x:si>
  <x:si>
    <x:t>Navajo Joe (1966)</x:t>
  </x:si>
  <x:si>
    <x:t>Navalny (2022)</x:t>
  </x:si>
  <x:si>
    <x:t>Necessitem el teu vot (2018)</x:t>
  </x:si>
  <x:si>
    <x:t>Nedar (2008)</x:t>
  </x:si>
  <x:si>
    <x:t>Neds (2010)</x:t>
  </x:si>
  <x:si>
    <x:t>Need For Speed (2014)</x:t>
  </x:si>
  <x:si>
    <x:t>Negació (2016)</x:t>
  </x:si>
  <x:si>
    <x:t>Negacionistes del canvi climàtic (2020)</x:t>
  </x:si>
  <x:si>
    <x:t>Negocis de família (1989)</x:t>
  </x:si>
  <x:si>
    <x:t>Negre Buenos Aires (2009)</x:t>
  </x:si>
  <x:si>
    <x:t>Neil Young - Live at Rockpalast (2002)</x:t>
  </x:si>
  <x:si>
    <x:t>Neil Young - Rockin' In The Free World - Glastonbury (2009)</x:t>
  </x:si>
  <x:si>
    <x:t>Neil Young – Journey Through The Past (1974)</x:t>
  </x:si>
  <x:si>
    <x:t>Neil Young &amp; Crazy Horse - Weld (1991)</x:t>
  </x:si>
  <x:si>
    <x:t>Nens grans (2010)</x:t>
  </x:si>
  <x:si>
    <x:t>Nens grans 2 (2013)</x:t>
  </x:si>
  <x:si>
    <x:t>Nens robats (1992)</x:t>
  </x:si>
  <x:si>
    <x:t>Netanyahu, crim i càstig? (2025)</x:t>
  </x:si>
  <x:si>
    <x:t>Neteges Sunshine (2008)</x:t>
  </x:si>
  <x:si>
    <x:t>Neu (2022)</x:t>
  </x:si>
  <x:si>
    <x:t>Neu i els arbres màgics (2015)</x:t>
  </x:si>
  <x:si>
    <x:t>Nevada (1950)</x:t>
  </x:si>
  <x:si>
    <x:t>Nevada Express (1975)</x:t>
  </x:si>
  <x:si>
    <x:t>New Police Story (2004)</x:t>
  </x:si>
  <x:si>
    <x:t>New World (2013)</x:t>
  </x:si>
  <x:si>
    <x:t>New York, I Love You (2009)</x:t>
  </x:si>
  <x:si>
    <x:t>Ni oblit ni perdó (2018)</x:t>
  </x:si>
  <x:si>
    <x:t>Ni oblit ni perdó (2020)</x:t>
  </x:si>
  <x:si>
    <x:t>Ni un pas enrere (2020)</x:t>
  </x:si>
  <x:si>
    <x:t>Nick i Norah: Una nit de música i amor (2008)</x:t>
  </x:si>
  <x:si>
    <x:t>Nicky, l'aprenenta de bruixa (2014)</x:t>
  </x:si>
  <x:si>
    <x:t>Nico 2: germà petit, problema gran (2012)</x:t>
  </x:si>
  <x:si>
    <x:t>Nico, el ren que somiava volar (2008)</x:t>
  </x:si>
  <x:si>
    <x:t>Nimona (2023)</x:t>
  </x:si>
  <x:si>
    <x:t>Nine (2009)</x:t>
  </x:si>
  <x:si>
    <x:t>Nines (1987)</x:t>
  </x:si>
  <x:si>
    <x:t>Ningú en sap res, dels gats perses (2009)</x:t>
  </x:si>
  <x:si>
    <x:t>Ningú no és perfecte (1959)</x:t>
  </x:si>
  <x:si>
    <x:t>Ningú no vol la nit (2015)</x:t>
  </x:si>
  <x:si>
    <x:t>Ninja Assassin (2009)</x:t>
  </x:si>
  <x:si>
    <x:t>Ninja Scroll (1993)</x:t>
  </x:si>
  <x:si>
    <x:t>Ninotchka  [VOSC] (1939)</x:t>
  </x:si>
  <x:si>
    <x:t>Nirvana - Live! Tonight! Sold Out!! (1994)</x:t>
  </x:si>
  <x:si>
    <x:t>Nirvana - MTV Unplugged (1994)</x:t>
  </x:si>
  <x:si>
    <x:t>Nit de jocs (2018)</x:t>
  </x:si>
  <x:si>
    <x:t>Nit de marxa (2013)</x:t>
  </x:si>
  <x:si>
    <x:t>Nit de Sant Joan (2010)</x:t>
  </x:si>
  <x:si>
    <x:t>Nit de vi i copes (2011)</x:t>
  </x:si>
  <x:si>
    <x:t>Nit eterna (1947)</x:t>
  </x:si>
  <x:si>
    <x:t>Nit reial (2015)</x:t>
  </x:si>
  <x:si>
    <x:t>Nits de tempesta (2008)</x:t>
  </x:si>
  <x:si>
    <x:t>Nivell 13 (1999)</x:t>
  </x:si>
  <x:si>
    <x:t>Nivell 16 (2018)</x:t>
  </x:si>
  <x:si>
    <x:t>Nixon (1995)</x:t>
  </x:si>
  <x:si>
    <x:t>Ño (1984)</x:t>
  </x:si>
  <x:si>
    <x:t>No apaguis mai el llum (2016)</x:t>
  </x:si>
  <x:si>
    <x:t>No confiïs en ningú (2014)</x:t>
  </x:si>
  <x:si>
    <x:t>No culpis el karma del que et passa per gilipolles (2016)</x:t>
  </x:si>
  <x:si>
    <x:t>No diguis mai el seu nom (2017)</x:t>
  </x:si>
  <x:si>
    <x:t>No em demanis que et faci un petó perquè te'l faré (2008)</x:t>
  </x:si>
  <x:si>
    <x:t>No es pot guanyar sempre (1970)</x:t>
  </x:si>
  <x:si>
    <x:t>No és tan fàcil (2009)</x:t>
  </x:si>
  <x:si>
    <x:t>No Escape (2015)</x:t>
  </x:si>
  <x:si>
    <x:t>No m'enredis que m'ho crec (1991)</x:t>
  </x:si>
  <x:si>
    <x:t>No mataràs (2020)</x:t>
  </x:si>
  <x:si>
    <x:t>No molesteu (2014)</x:t>
  </x:si>
  <x:si>
    <x:t>No n'hi ha prou amb una vida (2007)</x:t>
  </x:si>
  <x:si>
    <x:t>No ploris Germaine (2000)</x:t>
  </x:si>
  <x:si>
    <x:t>No ploris, menuda (2017)</x:t>
  </x:si>
  <x:si>
    <x:t>No ploris, vola (2014)</x:t>
  </x:si>
  <x:si>
    <x:t>No s'accepten devolucions (2013)</x:t>
  </x:si>
  <x:si>
    <x:t>No s'apaguen les estreles (2023)</x:t>
  </x:si>
  <x:si>
    <x:t>No sé qui ets (2016)</x:t>
  </x:si>
  <x:si>
    <x:t>No soc el teu negre (2016)</x:t>
  </x:si>
  <x:si>
    <x:t>No t'amoïnis, soc aquí (2020)</x:t>
  </x:si>
  <x:si>
    <x:t>No vull fills (2016)</x:t>
  </x:si>
  <x:si>
    <x:t>Noah (2024)</x:t>
  </x:si>
  <x:si>
    <x:t>Noble (2014)</x:t>
  </x:si>
  <x:si>
    <x:t>Noces Reials (1951)</x:t>
  </x:si>
  <x:si>
    <x:t>Nocturna, una aventura màgica (2007)</x:t>
  </x:si>
  <x:si>
    <x:t>Nòmades del vent (2001)</x:t>
  </x:si>
  <x:si>
    <x:t>Nomadland (2020)</x:t>
  </x:si>
  <x:si>
    <x:t>Només amb vosaltres (2013)</x:t>
  </x:si>
  <x:si>
    <x:t>Només ells (2009)</x:t>
  </x:si>
  <x:si>
    <x:t>Només es viu dues vegades (1967)</x:t>
  </x:si>
  <x:si>
    <x:t>Només les bèsties (2019)</x:t>
  </x:si>
  <x:si>
    <x:t>Només per als teus ulls (1981)</x:t>
  </x:si>
  <x:si>
    <x:t>Només tú (1994)</x:t>
  </x:si>
  <x:si>
    <x:t>Noms en marbre (2002)</x:t>
  </x:si>
  <x:si>
    <x:t>Non-Stop (2014)</x:t>
  </x:si>
  <x:si>
    <x:t>Nordil (2005)</x:t>
  </x:si>
  <x:si>
    <x:t>Norman. L’home que ho aconseguia tot (2016)</x:t>
  </x:si>
  <x:si>
    <x:t>Nosaltres hi érem! (2018)</x:t>
  </x:si>
  <x:si>
    <x:t>Nosaltres no ens matarem amb pistoles (2022)</x:t>
  </x:si>
  <x:si>
    <x:t>Nosaltres, les dones iranianes (2024)</x:t>
  </x:si>
  <x:si>
    <x:t>Nosferatu [VO] (2024)</x:t>
  </x:si>
  <x:si>
    <x:t>Nostradamus (1994)</x:t>
  </x:si>
  <x:si>
    <x:t>Nothing Personal (2009)</x:t>
  </x:si>
  <x:si>
    <x:t>Notorious [VO] (1946)</x:t>
  </x:si>
  <x:si>
    <x:t>Nou Set Dos (2020)</x:t>
  </x:si>
  <x:si>
    <x:t>Nou vides (2005)</x:t>
  </x:si>
  <x:si>
    <x:t>Nova França (2004)</x:t>
  </x:si>
  <x:si>
    <x:t>Nova vida a Nova York (2013)</x:t>
  </x:si>
  <x:si>
    <x:t>Nova York any 2012 (1975)</x:t>
  </x:si>
  <x:si>
    <x:t>Novel·la criminal (2005)</x:t>
  </x:si>
  <x:si>
    <x:t>Novembre (2022)</x:t>
  </x:si>
  <x:si>
    <x:t>Novembre dolç (2001)</x:t>
  </x:si>
  <x:si>
    <x:t>Nowhere Boy (2009)</x:t>
  </x:si>
  <x:si>
    <x:t>Nuremberg (2025)</x:t>
  </x:si>
  <x:si>
    <x:t>Nusos (2003)</x:t>
  </x:si>
  <x:si>
    <x:t>Núvia en fuga (1999)</x:t>
  </x:si>
  <x:si>
    <x:t>Nymphomaniac: Vol. I (2013)</x:t>
  </x:si>
  <x:si>
    <x:t>Nymphomaniac: Vol. II (2013)</x:t>
  </x:si>
  <x:si>
    <x:t>O ara o mai (2007)</x:t>
  </x:si>
  <x:si>
    <x:t>Obama, un somni americà (2008)</x:t>
  </x:si>
  <x:si>
    <x:t>Obert fins la matinada (1996)</x:t>
  </x:si>
  <x:si>
    <x:t>Objecte de seducció (1991)</x:t>
  </x:si>
  <x:si>
    <x:t>Objectiu Terrum (2007)</x:t>
  </x:si>
  <x:si>
    <x:t>Objectiu: La Casa Blanca (2013)</x:t>
  </x:si>
  <x:si>
    <x:t>Objectiu: la Lluna (1991)</x:t>
  </x:si>
  <x:si>
    <x:t>Objectiu: Londres (2016)</x:t>
  </x:si>
  <x:si>
    <x:t>Oblida't de mi (2004)</x:t>
  </x:si>
  <x:si>
    <x:t>Oblidats pel temps (1977)</x:t>
  </x:si>
  <x:si>
    <x:t>Obscura obsessió (2023)</x:t>
  </x:si>
  <x:si>
    <x:t>Obsessió (1976)</x:t>
  </x:si>
  <x:si>
    <x:t>Obsessió (2011)</x:t>
  </x:si>
  <x:si>
    <x:t>Obsessió maternal (2016)</x:t>
  </x:si>
  <x:si>
    <x:t>Obsessió no escrita (2017)</x:t>
  </x:si>
  <x:si>
    <x:t>Obsessionada (2009)</x:t>
  </x:si>
  <x:si>
    <x:t>Ocean's Eleven (2001)</x:t>
  </x:si>
  <x:si>
    <x:t>Ocean's Thirteen (2007)</x:t>
  </x:si>
  <x:si>
    <x:t>Ocean's Twelve (2004)</x:t>
  </x:si>
  <x:si>
    <x:t>Oceans (2009)</x:t>
  </x:si>
  <x:si>
    <x:t>Ocell de presa (1995)</x:t>
  </x:si>
  <x:si>
    <x:t>Ocell del paradís (1932)</x:t>
  </x:si>
  <x:si>
    <x:t>Ocells (2024)</x:t>
  </x:si>
  <x:si>
    <x:t>Ocells de pas (2015)</x:t>
  </x:si>
  <x:si>
    <x:t>Octopussy (1983)</x:t>
  </x:si>
  <x:si>
    <x:t>Odessa (1974)</x:t>
  </x:si>
  <x:si>
    <x:t>Odette Toulemonde (2006)</x:t>
  </x:si>
  <x:si>
    <x:t>Oficial i cavaller (1982)</x:t>
  </x:si>
  <x:si>
    <x:t>Oh Jerusalem (2006)</x:t>
  </x:si>
  <x:si>
    <x:t>Oh, quina joia! (2016)</x:t>
  </x:si>
  <x:si>
    <x:t>Oink Oink (2022)</x:t>
  </x:si>
  <x:si>
    <x:t>Olimp ocupat (Objectiu: La Casa Blanca) (2013)</x:t>
  </x:si>
  <x:si>
    <x:t>Oliver (1968)</x:t>
  </x:si>
  <x:si>
    <x:t>Oliver Twist (1948)</x:t>
  </x:si>
  <x:si>
    <x:t>Oliver Twist (2005)</x:t>
  </x:si>
  <x:si>
    <x:t>Ombres de justícia (2009)</x:t>
  </x:si>
  <x:si>
    <x:t>Ombres i boira (1991)</x:t>
  </x:si>
  <x:si>
    <x:t>Ombres tenebroses (2012)</x:t>
  </x:si>
  <x:si>
    <x:t>Òmnium50A (2011)</x:t>
  </x:si>
  <x:si>
    <x:t>Omplir el buit (2012)</x:t>
  </x:si>
  <x:si>
    <x:t>On era Mazón? (2025)</x:t>
  </x:si>
  <x:si>
    <x:t>On és Anne Frank? (2021)</x:t>
  </x:si>
  <x:si>
    <x:t>On ets, Bernadette? (2019)</x:t>
  </x:si>
  <x:si>
    <x:t>On hi hagi els diners (2000)</x:t>
  </x:si>
  <x:si>
    <x:t>On t'amagues? (2014)</x:t>
  </x:si>
  <x:si>
    <x:t>On the Road (2012)</x:t>
  </x:si>
  <x:si>
    <x:t>Ondina (2020)</x:t>
  </x:si>
  <x:si>
    <x:t>One Piece Film Red (2022)</x:t>
  </x:si>
  <x:si>
    <x:t>One Piece Gold (2016)</x:t>
  </x:si>
  <x:si>
    <x:t>One Piece: Estampida (2019)</x:t>
  </x:si>
  <x:si>
    <x:t>One Shot (2021)</x:t>
  </x:si>
  <x:si>
    <x:t>One Small Step (2018)</x:t>
  </x:si>
  <x:si>
    <x:t>One-Minute Time Machine [VOSC] (2014)</x:t>
  </x:si>
  <x:si>
    <x:t>One, Two, Tree (2014)</x:t>
  </x:si>
  <x:si>
    <x:t>Ong Bak 2 (2008)</x:t>
  </x:si>
  <x:si>
    <x:t>Ong Bak 3 (2010)</x:t>
  </x:si>
  <x:si>
    <x:t>Onward (2020)</x:t>
  </x:si>
  <x:si>
    <x:t>Opal Dream (2006)</x:t>
  </x:si>
  <x:si>
    <x:t>Open Range (2003)</x:t>
  </x:si>
  <x:si>
    <x:t>Operació a Damasc (2017)</x:t>
  </x:si>
  <x:si>
    <x:t>Operació Anthropoid (2016)</x:t>
  </x:si>
  <x:si>
    <x:t>Operació Cacauet (2014)</x:t>
  </x:si>
  <x:si>
    <x:t>Operació cacauet 2. Missió: salvar el parc (2017)</x:t>
  </x:si>
  <x:si>
    <x:t>Operació Catalunya (2017)</x:t>
  </x:si>
  <x:si>
    <x:t>Operació Fortune: El gran engany (2023)</x:t>
  </x:si>
  <x:si>
    <x:t>Operació Garzón contra l'independentisme català (2012)</x:t>
  </x:si>
  <x:si>
    <x:t>Operació Impala (2012)</x:t>
  </x:si>
  <x:si>
    <x:t>Operació Panda (2019)</x:t>
  </x:si>
  <x:si>
    <x:t>Operació Pare Noel (2021)</x:t>
  </x:si>
  <x:si>
    <x:t>Operació Ren (2000)</x:t>
  </x:si>
  <x:si>
    <x:t>Operació Rogue (2014)</x:t>
  </x:si>
  <x:si>
    <x:t>Operació Swordfish (2001)</x:t>
  </x:si>
  <x:si>
    <x:t>Operació Tro (1965)</x:t>
  </x:si>
  <x:si>
    <x:t>Operació U.N.C.L.E. (2015)</x:t>
  </x:si>
  <x:si>
    <x:t>Or verd (2018)</x:t>
  </x:si>
  <x:si>
    <x:t>Oratori de guerra (2007)</x:t>
  </x:si>
  <x:si>
    <x:t>Ordre: Caça sense treva (1948)</x:t>
  </x:si>
  <x:si>
    <x:t>Orgazmo (1997)</x:t>
  </x:si>
  <x:si>
    <x:t>Orgull (2014)</x:t>
  </x:si>
  <x:si>
    <x:t>Origen (2010)</x:t>
  </x:si>
  <x:si>
    <x:t>Orió i la foscor (2024)</x:t>
  </x:si>
  <x:si>
    <x:t>Oriol Cardona, camí als Jocs (2026)</x:t>
  </x:si>
  <x:si>
    <x:t>Orlando (1992)</x:t>
  </x:si>
  <x:si>
    <x:t>Orm al Regne de la Neu (2014)</x:t>
  </x:si>
  <x:si>
    <x:t>Orson west (2021)</x:t>
  </x:si>
  <x:si>
    <x:t>OSS 117: El Caire, niu d'espies (2006)</x:t>
  </x:si>
  <x:si>
    <x:t>OSS 117: Perdut a Rio (2009)</x:t>
  </x:si>
  <x:si>
    <x:t>Ostatges (2017)</x:t>
  </x:si>
  <x:si>
    <x:t>Ostwind - Lliures com el vent (2013)</x:t>
  </x:si>
  <x:si>
    <x:t>Oswald. El falsificador (2022)</x:t>
  </x:si>
  <x:si>
    <x:t>Otel·lo (2012)</x:t>
  </x:si>
  <x:si>
    <x:t>Ötzi, l'home del gel (2017)</x:t>
  </x:si>
  <x:si>
    <x:t>Ouija (2003)</x:t>
  </x:si>
  <x:si>
    <x:t>Outlander (2008)</x:t>
  </x:si>
  <x:si>
    <x:t>Outrage (2010)</x:t>
  </x:si>
  <x:si>
    <x:t>Outrage 3 (2017)</x:t>
  </x:si>
  <x:si>
    <x:t>Ovelles assassines (2006)</x:t>
  </x:si>
  <x:si>
    <x:t>Overlord. El Regne Sagrat (2024)</x:t>
  </x:si>
  <x:si>
    <x:t>Overseas [VOSC] (2019)</x:t>
  </x:si>
  <x:si>
    <x:t>P.D. T'estimo (2007)</x:t>
  </x:si>
  <x:si>
    <x:t>P3K, Pinotxo 3000 (2004)</x:t>
  </x:si>
  <x:si>
    <x:t>Pa d'àngel (1984)</x:t>
  </x:si>
  <x:si>
    <x:t>Pa de llimona amb llavors de rosella (2021)</x:t>
  </x:si>
  <x:si>
    <x:t>Pa negre (2010)</x:t>
  </x:si>
  <x:si>
    <x:t>Pacific Rim (2013)</x:t>
  </x:si>
  <x:si>
    <x:t>Pacifiction (2022)</x:t>
  </x:si>
  <x:si>
    <x:t>Pactar amb el diable (1997)</x:t>
  </x:si>
  <x:si>
    <x:t>Pactar amb el gat (2007)</x:t>
  </x:si>
  <x:si>
    <x:t>Pacte d'honor (1955)</x:t>
  </x:si>
  <x:si>
    <x:t>Pacte de silenci (2012)</x:t>
  </x:si>
  <x:si>
    <x:t>Paddington I (2014)</x:t>
  </x:si>
  <x:si>
    <x:t>Paddington II (2017)</x:t>
  </x:si>
  <x:si>
    <x:t>Paddington: Aventura a la selva (2024)</x:t>
  </x:si>
  <x:si>
    <x:t>Paintball (2009)</x:t>
  </x:si>
  <x:si>
    <x:t>Paios legals (2012)</x:t>
  </x:si>
  <x:si>
    <x:t>Palau reial (2005)</x:t>
  </x:si>
  <x:si>
    <x:t>Pálido (2023)</x:t>
  </x:si>
  <x:si>
    <x:t>Palm Springs (2020)</x:t>
  </x:si>
  <x:si>
    <x:t>Palme [VOSC] (2012)</x:t>
  </x:si>
  <x:si>
    <x:t>Palmira Jaquetti, un cant a la vida (2022)</x:t>
  </x:si>
  <x:si>
    <x:t>Pan: Viatge al país de Mai Més (2015)</x:t>
  </x:si>
  <x:si>
    <x:t>Pandora and the Flying Dutchman [VOSC] (1951)</x:t>
  </x:si>
  <x:si>
    <x:t>Pandorum (2009)</x:t>
  </x:si>
  <x:si>
    <x:t>Pànic (2015)</x:t>
  </x:si>
  <x:si>
    <x:t>Pànic a la granja (2009)</x:t>
  </x:si>
  <x:si>
    <x:t>Panorama per matar (1985)</x:t>
  </x:si>
  <x:si>
    <x:t>Pantalles addictives (2018)</x:t>
  </x:si>
  <x:si>
    <x:t>Papa, sóc una zombi (2011)</x:t>
  </x:si>
  <x:si>
    <x:t>Paparazzi (2004)</x:t>
  </x:si>
  <x:si>
    <x:t>Paper mullat (2019)</x:t>
  </x:si>
  <x:si>
    <x:t>Papillon (1973)</x:t>
  </x:si>
  <x:si>
    <x:t>Paradís en flames (2024)</x:t>
  </x:si>
  <x:si>
    <x:t>Paralitzada pel perill (2021)</x:t>
  </x:si>
  <x:si>
    <x:t>Paranormal Activity (2007)</x:t>
  </x:si>
  <x:si>
    <x:t>Paràsits (2019)</x:t>
  </x:si>
  <x:si>
    <x:t>Paraula contra paraula (2017)</x:t>
  </x:si>
  <x:si>
    <x:t>Paraula d'adolescent (2025)</x:t>
  </x:si>
  <x:si>
    <x:t>Paraula d'honor (2003)</x:t>
  </x:si>
  <x:si>
    <x:t>Paraules d'amor (1968)</x:t>
  </x:si>
  <x:si>
    <x:t>Parc Juràssic I (1993)</x:t>
  </x:si>
  <x:si>
    <x:t>Parc Juràssic II El món perdut (1997)</x:t>
  </x:si>
  <x:si>
    <x:t>Parc Juràssic III (2001)</x:t>
  </x:si>
  <x:si>
    <x:t>Parcialment ennuvolat (2009)</x:t>
  </x:si>
  <x:si>
    <x:t>Pare i soldat (2022)</x:t>
  </x:si>
  <x:si>
    <x:t>Pare per força I (2011)</x:t>
  </x:si>
  <x:si>
    <x:t>Pare per força II (2013)</x:t>
  </x:si>
  <x:si>
    <x:t>Parenostre (2025)</x:t>
  </x:si>
  <x:si>
    <x:t>Pares adoptius (2019)</x:t>
  </x:si>
  <x:si>
    <x:t>París (2008)</x:t>
  </x:si>
  <x:si>
    <x:t>París pot esperar (2016)</x:t>
  </x:si>
  <x:si>
    <x:t>París-Manhattan (2012)</x:t>
  </x:si>
  <x:si>
    <x:t>París, districte 13 (2021)</x:t>
  </x:si>
  <x:si>
    <x:t>Paris, je t'aime (2006)</x:t>
  </x:si>
  <x:si>
    <x:t>París, Texas (1984)</x:t>
  </x:si>
  <x:si>
    <x:t>Parker (2013)</x:t>
  </x:si>
  <x:si>
    <x:t>Parking 2 (2007)</x:t>
  </x:si>
  <x:si>
    <x:t>Parla amb mi (2022)</x:t>
  </x:si>
  <x:si>
    <x:t>Parla amb mi (2023)</x:t>
  </x:si>
  <x:si>
    <x:t>Parlami d'amore (2008)</x:t>
  </x:si>
  <x:si>
    <x:t>Passeig de Gràcia, l'escenari burgès (2020)</x:t>
  </x:si>
  <x:si>
    <x:t>Passejant amb Molière (2013)</x:t>
  </x:si>
  <x:si>
    <x:t>Passengers (2008)</x:t>
  </x:si>
  <x:si>
    <x:t>Passi el que passi (2011)</x:t>
  </x:si>
  <x:si>
    <x:t>Passió (1954)</x:t>
  </x:si>
  <x:si>
    <x:t>Passió devoradora (1988)</x:t>
  </x:si>
  <x:si>
    <x:t>Passió per l'or (1949)</x:t>
  </x:si>
  <x:si>
    <x:t>Passió salvatge (1944)</x:t>
  </x:si>
  <x:si>
    <x:t>Passions a Kenya (1987)</x:t>
  </x:si>
  <x:si>
    <x:t>Pastilla busca malaltia (2016)</x:t>
  </x:si>
  <x:si>
    <x:t>Pastisser i xef (2023)</x:t>
  </x:si>
  <x:si>
    <x:t>Pastoral americana (2016)</x:t>
  </x:si>
  <x:si>
    <x:t>Pàtria. La llegenda d’Otger Cataló i els 9 barons de la fama (2017)</x:t>
  </x:si>
  <x:si>
    <x:t>Patrick (2023)</x:t>
  </x:si>
  <x:si>
    <x:t>Patton (1970)</x:t>
  </x:si>
  <x:si>
    <x:t>Pau amb xocolata (2021)</x:t>
  </x:si>
  <x:si>
    <x:t>Pau Casals, l’home que va fer sentir el silenci (2012)</x:t>
  </x:si>
  <x:si>
    <x:t>Pau Escalé, Go to the Parad-Ice (2012)</x:t>
  </x:si>
  <x:si>
    <x:t>Pau i el seu germà (2001)</x:t>
  </x:si>
  <x:si>
    <x:t>Pau, la força d'un silenci (2017)</x:t>
  </x:si>
  <x:si>
    <x:t>Pavarotti (2019)</x:t>
  </x:si>
  <x:si>
    <x:t>Paycheck (2003)</x:t>
  </x:si>
  <x:si>
    <x:t>Pegasus, l'espia a la butxaca (2022)</x:t>
  </x:si>
  <x:si>
    <x:t>Pelé, el naixement d'una llegenda (2016)</x:t>
  </x:si>
  <x:si>
    <x:t>Pelegrins (2005)</x:t>
  </x:si>
  <x:si>
    <x:t>Pelham un, dos, tres (1974)</x:t>
  </x:si>
  <x:si>
    <x:t>Penèlope (2017)</x:t>
  </x:si>
  <x:si>
    <x:t>Pep Gimeno Botifarra, el cant de les arrels (2014)</x:t>
  </x:si>
  <x:si>
    <x:t>Pepe &amp; Rubianes (2012)</x:t>
  </x:si>
  <x:si>
    <x:t>Pepe Sales: Pobres, Pobres que els donguin pel cul (2007)</x:t>
  </x:si>
  <x:si>
    <x:t>Per a què serveix un ós (2011)</x:t>
  </x:si>
  <x:si>
    <x:t>Per a tota la mort (2020)</x:t>
  </x:si>
  <x:si>
    <x:t>Per amor a la Valerie (2019)</x:t>
  </x:si>
  <x:si>
    <x:t>Per amor o per diners? (2019)</x:t>
  </x:si>
  <x:si>
    <x:t>Per cap d'any TV3 no fa res (1990)</x:t>
  </x:si>
  <x:si>
    <x:t>Per damunt de tot  (2019)</x:t>
  </x:si>
  <x:si>
    <x:t>Per fi sol! (2026)</x:t>
  </x:si>
  <x:si>
    <x:t>Per fi sols! (2012)</x:t>
  </x:si>
  <x:si>
    <x:t>Per fi viuda (2007)</x:t>
  </x:si>
  <x:si>
    <x:t>Per Júpiter! Catalans a la romana (2001)</x:t>
  </x:si>
  <x:si>
    <x:t>Per l'honor d'un fill (2020)</x:t>
  </x:si>
  <x:si>
    <x:t>Per la causa (2000)</x:t>
  </x:si>
  <x:si>
    <x:t>Per molts anys, Mr. Bean! (2021)</x:t>
  </x:si>
  <x:si>
    <x:t>Per què no em vaig menjar el meu pare (2015)</x:t>
  </x:si>
  <x:si>
    <x:t>Per raó de sexe (2018)</x:t>
  </x:si>
  <x:si>
    <x:t>Per sempre (1989)</x:t>
  </x:si>
  <x:si>
    <x:t>Per sobre de la llei (1988)</x:t>
  </x:si>
  <x:si>
    <x:t>Per un grapat de dolars (1964)</x:t>
  </x:si>
  <x:si>
    <x:t>Per un sí o per un no (1988)</x:t>
  </x:si>
  <x:si>
    <x:t>Percy contra Goliat (2020)</x:t>
  </x:si>
  <x:si>
    <x:t>Perdona però vull casar-me amb tu (2010)</x:t>
  </x:si>
  <x:si>
    <x:t>Perdona si et dic amor (2008)</x:t>
  </x:si>
  <x:si>
    <x:t>Perduda (2014)</x:t>
  </x:si>
  <x:si>
    <x:t>Perduts a la neu (2012)</x:t>
  </x:si>
  <x:si>
    <x:t>Perduts en l'espai (1998)</x:t>
  </x:si>
  <x:si>
    <x:t>Pere Casacuberta, esprint trencat (2026)</x:t>
  </x:si>
  <x:si>
    <x:t>Pere i el llop (2006)</x:t>
  </x:si>
  <x:si>
    <x:t>Pere i el llop, The Making of (2006)</x:t>
  </x:si>
  <x:si>
    <x:t>Peret: jo soc la rumba (2018)</x:t>
  </x:si>
  <x:si>
    <x:t>Pérez, el ratolí dels teus somnis (2006)</x:t>
  </x:si>
  <x:si>
    <x:t>Pérez, el ratolí dels teus somnis 2 (2008)</x:t>
  </x:si>
  <x:si>
    <x:t>Perfect Days (2023)</x:t>
  </x:si>
  <x:si>
    <x:t>Perfecte amor equivocat (2003)</x:t>
  </x:si>
  <x:si>
    <x:t>Perill a la xarxa (2016)</x:t>
  </x:si>
  <x:si>
    <x:t>Perill remot (2021)</x:t>
  </x:si>
  <x:si>
    <x:t>Però, qui ha mort en Harry? (1955)</x:t>
  </x:si>
  <x:si>
    <x:t>Persecució al límit (2016)</x:t>
  </x:si>
  <x:si>
    <x:t>Perseguint l'Amy (1997)</x:t>
  </x:si>
  <x:si>
    <x:t>Perseguit (1987)</x:t>
  </x:si>
  <x:si>
    <x:t>Perseguit pel seu passat (1993)</x:t>
  </x:si>
  <x:si>
    <x:t>Perseguit per la mort (1959)</x:t>
  </x:si>
  <x:si>
    <x:t>Persèpolis (2007)</x:t>
  </x:si>
  <x:si>
    <x:t>Personal Shopper (2016)</x:t>
  </x:si>
  <x:si>
    <x:t>Pervers (1995)</x:t>
  </x:si>
  <x:si>
    <x:t>Perversitat (1945)</x:t>
  </x:si>
  <x:si>
    <x:t>Pete i Tillie (1972)</x:t>
  </x:si>
  <x:si>
    <x:t>Peter Gabriel Secret World Live (1994)</x:t>
  </x:si>
  <x:si>
    <x:t>Peter Pan Man [VOSC] (2014)</x:t>
  </x:si>
  <x:si>
    <x:t>Peter Pan: La gran aventura (2003)</x:t>
  </x:si>
  <x:si>
    <x:t>Peter Rabbit 2 L'escapada (2021)</x:t>
  </x:si>
  <x:si>
    <x:t>Petit Gran Home (1970)</x:t>
  </x:si>
  <x:si>
    <x:t>Petit indi (2009)</x:t>
  </x:si>
  <x:si>
    <x:t>Petita Miss Sunshine (2006)</x:t>
  </x:si>
  <x:si>
    <x:t>Petite maman (2021)</x:t>
  </x:si>
  <x:si>
    <x:t>Petites històries animades (2021)</x:t>
  </x:si>
  <x:si>
    <x:t>Petites mentides sense importància (2010)</x:t>
  </x:si>
  <x:si>
    <x:t>Petitet (2018)</x:t>
  </x:si>
  <x:si>
    <x:t>Petra (2018)</x:t>
  </x:si>
  <x:si>
    <x:t>Phantom Boy (2015)</x:t>
  </x:si>
  <x:si>
    <x:t>Phantom Thread - (El fil invisible) (2017)</x:t>
  </x:si>
  <x:si>
    <x:t>Phantoms (1998)</x:t>
  </x:si>
  <x:si>
    <x:t>Phil Collins: Going Back - Live at Roseland Ballroom (2010)</x:t>
  </x:si>
  <x:si>
    <x:t>Phillip Morris, t'estimo! (2009)</x:t>
  </x:si>
  <x:si>
    <x:t>Philomena (2013)</x:t>
  </x:si>
  <x:si>
    <x:t>Pi (1998)</x:t>
  </x:si>
  <x:si>
    <x:t>Picap: 40 anys creant espai musical català (2024)</x:t>
  </x:si>
  <x:si>
    <x:t>Pícnic (1955)</x:t>
  </x:si>
  <x:si>
    <x:t>Pigmalió (1987)</x:t>
  </x:si>
  <x:si>
    <x:t>Pina (2011)</x:t>
  </x:si>
  <x:si>
    <x:t>Pinball, l'home que va salvar el joc (2022)</x:t>
  </x:si>
  <x:si>
    <x:t>Pink Floyd - Live in San Francisco (1970)</x:t>
  </x:si>
  <x:si>
    <x:t>Pink Floyd - Live in Venice (1989)</x:t>
  </x:si>
  <x:si>
    <x:t>Pink Floyd - Pulse Live at London (1994)</x:t>
  </x:si>
  <x:si>
    <x:t>Pink Floyd The Wall [VOSC] (1982)</x:t>
  </x:si>
  <x:si>
    <x:t>Pinotxo de Guillermo del Toro (2022)</x:t>
  </x:si>
  <x:si>
    <x:t>Pinotxo i la seva amiga Coco (2013)</x:t>
  </x:si>
  <x:si>
    <x:t>Pinprick (2009)</x:t>
  </x:si>
  <x:si>
    <x:t>Pioners de la Costa Brava (2008)</x:t>
  </x:si>
  <x:si>
    <x:t>Pippi i el senyor Sense Son (2017)</x:t>
  </x:si>
  <x:si>
    <x:t>Piranya 3D (2010)</x:t>
  </x:si>
  <x:si>
    <x:t>Pirates! (2012)</x:t>
  </x:si>
  <x:si>
    <x:t>Pistolers de Laredo (1959)</x:t>
  </x:si>
  <x:si>
    <x:t>Pitahaya (2014)</x:t>
  </x:si>
  <x:si>
    <x:t>Píxels (2015)</x:t>
  </x:si>
  <x:si>
    <x:t>Píxels, art i negoci (2025)</x:t>
  </x:si>
  <x:si>
    <x:t>Pla 75 (2022)</x:t>
  </x:si>
  <x:si>
    <x:t>Pla A (2021)</x:t>
  </x:si>
  <x:si>
    <x:t>Pla de fuga (2013)</x:t>
  </x:si>
  <x:si>
    <x:t>Pla de venjança (2020)</x:t>
  </x:si>
  <x:si>
    <x:t>Planet 51 (2009)</x:t>
  </x:si>
  <x:si>
    <x:t>Planet Terror (2007)</x:t>
  </x:si>
  <x:si>
    <x:t>Platillos Volantes (2003)</x:t>
  </x:si>
  <x:si>
    <x:t>Platoon (1986)</x:t>
  </x:si>
  <x:si>
    <x:t>Playmobil: La pel·lícula (2019)</x:t>
  </x:si>
  <x:si>
    <x:t>Plens de gràcia (2022)</x:t>
  </x:si>
  <x:si>
    <x:t>Plors en la foscor (2006)</x:t>
  </x:si>
  <x:si>
    <x:t>Pluja de mandonguilles (2009)</x:t>
  </x:si>
  <x:si>
    <x:t>Pluja de mandonguilles 2 (2013)</x:t>
  </x:si>
  <x:si>
    <x:t>Pluja seca. Mediadors internacionals al País Basc (2011)</x:t>
  </x:si>
  <x:si>
    <x:t>Pluto Nash (2002)</x:t>
  </x:si>
  <x:si>
    <x:t>Poder absolut (1997)</x:t>
  </x:si>
  <x:si>
    <x:t>Poder i glòria (2026)</x:t>
  </x:si>
  <x:si>
    <x:t>Poderosa Afrodita (1995)</x:t>
  </x:si>
  <x:si>
    <x:t>Poe (2002)</x:t>
  </x:si>
  <x:si>
    <x:t>Pokémon: detectiu Pikachu (2019)</x:t>
  </x:si>
  <x:si>
    <x:t>Polar Express (2004)</x:t>
  </x:si>
  <x:si>
    <x:t>Poli de guarderia (1990)</x:t>
  </x:si>
  <x:si>
    <x:t>Policia Python 357 (1976)</x:t>
  </x:si>
  <x:si>
    <x:t>Poligàmia (2009)</x:t>
  </x:si>
  <x:si>
    <x:t>Pollastre amb prunes (2011)</x:t>
  </x:si>
  <x:si>
    <x:t>Polònia, el Musical (2015)</x:t>
  </x:si>
  <x:si>
    <x:t>Poltergeist (1982)</x:t>
  </x:si>
  <x:si>
    <x:t>Pompeia (2014)</x:t>
  </x:si>
  <x:si>
    <x:t>Pompoko (1994)</x:t>
  </x:si>
  <x:si>
    <x:t>Pont de Varsòvia (1990)</x:t>
  </x:si>
  <x:si>
    <x:t>Por i fàstic a Las Vegas (1998)</x:t>
  </x:si>
  <x:si>
    <x:t>Porco Rosso (1992)</x:t>
  </x:si>
  <x:si>
    <x:t>Porno deepfake, ets tu la següent? (2022)</x:t>
  </x:si>
  <x:si>
    <x:t>Porta'm a la Lluna (2D) (2008)</x:t>
  </x:si>
  <x:si>
    <x:t>PortAventura, més enllà de l'atracció (2025)</x:t>
  </x:si>
  <x:si>
    <x:t>Posidó (2006)</x:t>
  </x:si>
  <x:si>
    <x:t>Possessió infernal (2013)</x:t>
  </x:si>
  <x:si>
    <x:t>Potiche (2010)</x:t>
  </x:si>
  <x:si>
    <x:t>Pous d'ambició (2007)</x:t>
  </x:si>
  <x:si>
    <x:t>Powaqqatsi (1988)</x:t>
  </x:si>
  <x:si>
    <x:t>Pràcticament màgia (1998)</x:t>
  </x:si>
  <x:si>
    <x:t>Precious (2009)</x:t>
  </x:si>
  <x:si>
    <x:t>Pregunta-ho al vent (2006)</x:t>
  </x:si>
  <x:si>
    <x:t>Premonition (2004)</x:t>
  </x:si>
  <x:si>
    <x:t>Premonition (7 dies) (2007)</x:t>
  </x:si>
  <x:si>
    <x:t>Presa d'una obsessió (2017)</x:t>
  </x:si>
  <x:si>
    <x:t>Presa valuosa (1957)</x:t>
  </x:si>
  <x:si>
    <x:t>Presoners (2013)</x:t>
  </x:si>
  <x:si>
    <x:t>Presumpte innocent (1990)</x:t>
  </x:si>
  <x:si>
    <x:t>Presumptes culpables. Els altres Altsasu  (2022)</x:t>
  </x:si>
  <x:si>
    <x:t>Prim, l'assassinat del carrer del Turco (2014)</x:t>
  </x:si>
  <x:si>
    <x:t>Primavera a Beechwood (2021)</x:t>
  </x:si>
  <x:si>
    <x:t>Primavera del 41 (2007)</x:t>
  </x:si>
  <x:si>
    <x:t>Primer (2004)</x:t>
  </x:si>
  <x:si>
    <x:t>Primera plana (1931)</x:t>
  </x:si>
  <x:si>
    <x:t>Princess of the Row (2019)</x:t>
  </x:si>
  <x:si>
    <x:t>Priscil·la, reina del desert (1994)</x:t>
  </x:si>
  <x:si>
    <x:t>Prodigiosa Ladybug. El món prodigiós: Nova York, herois units (2020)</x:t>
  </x:si>
  <x:si>
    <x:t>Prodigiosa Ladybug. El món prodigiós. Xangai, la llegenda de Ladydragon (2021)</x:t>
  </x:si>
  <x:si>
    <x:t>Prodigiosa Les aventures de Ladybug i Gat Noir – Especial Acció (2022)</x:t>
  </x:si>
  <x:si>
    <x:t>Professor a Groenlàndia (2018)</x:t>
  </x:si>
  <x:si>
    <x:t>Professor Lazhar (2011)</x:t>
  </x:si>
  <x:si>
    <x:t>Projecte Brainstorm (1983)</x:t>
  </x:si>
  <x:si>
    <x:t>Projecte Llàtzer (2016)</x:t>
  </x:si>
  <x:si>
    <x:t>Projecte X (2012)</x:t>
  </x:si>
  <x:si>
    <x:t>Promare (2019)</x:t>
  </x:si>
  <x:si>
    <x:t>Promesa a l'alba (2017)</x:t>
  </x:si>
  <x:si>
    <x:t>Promeses a París (2021)</x:t>
  </x:si>
  <x:si>
    <x:t>Promeses de l'est (2007)</x:t>
  </x:si>
  <x:si>
    <x:t>Promeses incomplides (1998)</x:t>
  </x:si>
  <x:si>
    <x:t>Promet-me (2007)</x:t>
  </x:si>
  <x:si>
    <x:t>Prometo fer bondat (2019)</x:t>
  </x:si>
  <x:si>
    <x:t>Promoció fantasma (2012)</x:t>
  </x:si>
  <x:si>
    <x:t>Protegits pel seu enemic (2008)</x:t>
  </x:si>
  <x:si>
    <x:t>Prova irrefutable (2015)</x:t>
  </x:si>
  <x:si>
    <x:t>Psicosi (1960)</x:t>
  </x:si>
  <x:si>
    <x:t>Pugem a Núria amb cremallera (2020)</x:t>
  </x:si>
  <x:si>
    <x:t>Puig Antich. El llibre vermell (2024)</x:t>
  </x:si>
  <x:si>
    <x:t>Pujol, vist per a sentència (2026)</x:t>
  </x:si>
  <x:si>
    <x:t>Pulp Fiction (1994)</x:t>
  </x:si>
  <x:si>
    <x:t>Pulp: Vida, mort i supermercats [VOSC] (2014)</x:t>
  </x:si>
  <x:si>
    <x:t>Pulse (2006)</x:t>
  </x:si>
  <x:si>
    <x:t>Pulsió (2000)</x:t>
  </x:si>
  <x:si>
    <x:t>Punt límit (1964)</x:t>
  </x:si>
  <x:si>
    <x:t>Punyals per l'esquena (2019)</x:t>
  </x:si>
  <x:si>
    <x:t>Pur vici (2014)</x:t>
  </x:si>
  <x:si>
    <x:t>Push (2009)</x:t>
  </x:si>
  <x:si>
    <x:t>Puta misèria! (1989)</x:t>
  </x:si>
  <x:si>
    <x:t>Qualsevol altra cosa (2003)</x:t>
  </x:si>
  <x:si>
    <x:t>Quan cau la neu (2016)</x:t>
  </x:si>
  <x:si>
    <x:t>Quan cau la nit (2002)</x:t>
  </x:si>
  <x:si>
    <x:t>Quan els dinosaures dominaven la Terra (1970)</x:t>
  </x:si>
  <x:si>
    <x:t>Quan érem soldats (2002)</x:t>
  </x:si>
  <x:si>
    <x:t>Quan Hitler em va robar el conillet rosa (2019)</x:t>
  </x:si>
  <x:si>
    <x:t>Quan jo no hi sigui (2016)</x:t>
  </x:si>
  <x:si>
    <x:t>Quan l'algoritme mata (2026)</x:t>
  </x:si>
  <x:si>
    <x:t>Quan menys t'ho esperes (2003)</x:t>
  </x:si>
  <x:si>
    <x:t>Quan rugix la marabunta (1954)</x:t>
  </x:si>
  <x:si>
    <x:t>Quant m'estimes? (2005)</x:t>
  </x:si>
  <x:si>
    <x:t>Quant temps em queda? (2022)</x:t>
  </x:si>
  <x:si>
    <x:t>Quantum of Solace (2008)</x:t>
  </x:si>
  <x:si>
    <x:t>Quarantine (2008)</x:t>
  </x:si>
  <x:si>
    <x:t>Quasi humans (2013)</x:t>
  </x:si>
  <x:si>
    <x:t>Quatermass 2 (1957)</x:t>
  </x:si>
  <x:si>
    <x:t>Quatre bodes i un funeral (1994)</x:t>
  </x:si>
  <x:si>
    <x:t>Quatre estacions (2010)</x:t>
  </x:si>
  <x:si>
    <x:t>Quatre minuts (2006)</x:t>
  </x:si>
  <x:si>
    <x:t>Quatre tipus de Texas (1963)</x:t>
  </x:si>
  <x:si>
    <x:t>Quatre vides (2007)</x:t>
  </x:si>
  <x:si>
    <x:t>Quatretondeta (2016)</x:t>
  </x:si>
  <x:si>
    <x:t>Que bonic que és viure (1946)</x:t>
  </x:si>
  <x:si>
    <x:t>Que dormis bé (2016)</x:t>
  </x:si>
  <x:si>
    <x:t>Què els passa als homes? (2009)</x:t>
  </x:si>
  <x:si>
    <x:t>Què em passa, doctor? (1972)</x:t>
  </x:si>
  <x:si>
    <x:t>Què està passant a les presons? (2026)</x:t>
  </x:si>
  <x:si>
    <x:t>Què fem, amb la Maisie? (2012)</x:t>
  </x:si>
  <x:si>
    <x:t>Què ha passat (2008)</x:t>
  </x:si>
  <x:si>
    <x:t>Què li passa, a la meva família? (2022)</x:t>
  </x:si>
  <x:si>
    <x:t>Què se n'ha fet, dels Morgan (2009)</x:t>
  </x:si>
  <x:si>
    <x:t>Que se sàpiga (2024)</x:t>
  </x:si>
  <x:si>
    <x:t>Que soni la música! (2019)</x:t>
  </x:si>
  <x:si>
    <x:t>Què t'hi jugues, Mari Pili? (1991)</x:t>
  </x:si>
  <x:si>
    <x:t>Què va passar entre el meu pare i la teva mare? (1972)</x:t>
  </x:si>
  <x:si>
    <x:t>Que ve el llop! (2021)</x:t>
  </x:si>
  <x:si>
    <x:t>Que verda era la meva vall (1941)</x:t>
  </x:si>
  <x:si>
    <x:t>Queda't al meu costat (1998)</x:t>
  </x:si>
  <x:si>
    <x:t>Queen - Live at Wembley Stadium (1986)</x:t>
  </x:si>
  <x:si>
    <x:t>Queen i Slim (2019)</x:t>
  </x:si>
  <x:si>
    <x:t>Queen Live in Budapest (1986)</x:t>
  </x:si>
  <x:si>
    <x:t>Quest (2023)</x:t>
  </x:si>
  <x:si>
    <x:t>Qüestió de paciència (2022)</x:t>
  </x:si>
  <x:si>
    <x:t>Qüestió de pilotes (2007)</x:t>
  </x:si>
  <x:si>
    <x:t>Qui controla la policia? (2020)</x:t>
  </x:si>
  <x:si>
    <x:t>Qui ha enredat en Roger Rabbit? (1988)</x:t>
  </x:si>
  <x:si>
    <x:t>Qui m'estimi que em segueixi! (2019)</x:t>
  </x:si>
  <x:si>
    <x:t>Qui va matar en Bambi? (2013)</x:t>
  </x:si>
  <x:si>
    <x:t>Qui va matar Walter Benjamin? (2005)</x:t>
  </x:si>
  <x:si>
    <x:t>Quia (2001)</x:t>
  </x:si>
  <x:si>
    <x:t>Quico Sabaté. Sense destí (2022)</x:t>
  </x:si>
  <x:si>
    <x:t>Quimica i prou (2015)</x:t>
  </x:si>
  <x:si>
    <x:t>Quin fenomen (2013)</x:t>
  </x:si>
  <x:si>
    <x:t>Quin parell de polis (2010)</x:t>
  </x:si>
  <x:si>
    <x:t>Quines bestioles! (2017)</x:t>
  </x:si>
  <x:si>
    <x:t>Quines vacances! (2006)</x:t>
  </x:si>
  <x:si>
    <x:t>Quo Vadis (1951)</x:t>
  </x:si>
  <x:si>
    <x:t>R2 i el cas del cadàver sense cap (2005)</x:t>
  </x:si>
  <x:si>
    <x:t>Rabbit School: els guardians de l'ou d'or (2017)</x:t>
  </x:si>
  <x:si>
    <x:t>Ràbia (1977)</x:t>
  </x:si>
  <x:si>
    <x:t>Rachel i el foraster (1948)</x:t>
  </x:si>
  <x:si>
    <x:t>Radiacions (2012)</x:t>
  </x:si>
  <x:si>
    <x:t>RAF: facció de l'Exèrcit Roig (2008)</x:t>
  </x:si>
  <x:si>
    <x:t>Ragtime (1981)</x:t>
  </x:si>
  <x:si>
    <x:t>Raimon al Liceu (2012)</x:t>
  </x:si>
  <x:si>
    <x:t>Raimon Memòria de 50 anys (2012)</x:t>
  </x:si>
  <x:si>
    <x:t>Raimon trenta anys d'Al vent (1993)</x:t>
  </x:si>
  <x:si>
    <x:t>Raimon, l'home que diu no (2023)</x:t>
  </x:si>
  <x:si>
    <x:t>Raimon: comiat al Palau (2017)</x:t>
  </x:si>
  <x:si>
    <x:t>Rain man (1988)</x:t>
  </x:si>
  <x:si>
    <x:t>Rams (2020)</x:t>
  </x:si>
  <x:si>
    <x:t>Rape Zombie 1: La luxúria dels morts vivents [VOSC] (2012)</x:t>
  </x:si>
  <x:si>
    <x:t>Rape Zombie 2: L'èxtasi dels morts vivents [VOSC] (2013)</x:t>
  </x:si>
  <x:si>
    <x:t>Rape Zombie 3: Apocalipsi final [VOSC] (2013)</x:t>
  </x:si>
  <x:si>
    <x:t>Ràpida i mortal (1995)</x:t>
  </x:si>
  <x:si>
    <x:t>Rastre ocult (2008)</x:t>
  </x:si>
  <x:si>
    <x:t>Rastres de sàndal (2014)</x:t>
  </x:si>
  <x:si>
    <x:t>Ratatouille (2007)</x:t>
  </x:si>
  <x:si>
    <x:t>Ratolins i guineus: Una amistat d’un altre món (2021)</x:t>
  </x:si>
  <x:si>
    <x:t>Raval, Raval... (2006)</x:t>
  </x:si>
  <x:si>
    <x:t>Raya i l’últim drac (2021)</x:t>
  </x:si>
  <x:si>
    <x:t>Real Madrid - Barcelona (0-5) (1974)</x:t>
  </x:si>
  <x:si>
    <x:t>Rebel (2022)</x:t>
  </x:si>
  <x:si>
    <x:t>Rebel sense causa (1955)</x:t>
  </x:si>
  <x:si>
    <x:t>Rebel·lió a l'illa (2006)</x:t>
  </x:si>
  <x:si>
    <x:t>Rebel·lió Seminola (1955)</x:t>
  </x:si>
  <x:si>
    <x:t>Rebels (2023)</x:t>
  </x:si>
  <x:si>
    <x:t>REC (2007)</x:t>
  </x:si>
  <x:si>
    <x:t>REC 2 (2009)</x:t>
  </x:si>
  <x:si>
    <x:t>REC 3 Gènesi (2012)</x:t>
  </x:si>
  <x:si>
    <x:t>REC 4 Apocalipsi (2014)</x:t>
  </x:si>
  <x:si>
    <x:t>Recorda'm (2010)</x:t>
  </x:si>
  <x:si>
    <x:t>Red (2010)</x:t>
  </x:si>
  <x:si>
    <x:t>Red (2022)</x:t>
  </x:si>
  <x:si>
    <x:t>Red 2 (2013)</x:t>
  </x:si>
  <x:si>
    <x:t>Red Sparrow (2018)</x:t>
  </x:si>
  <x:si>
    <x:t>Red State (2011)</x:t>
  </x:si>
  <x:si>
    <x:t>Red Wing (2013)</x:t>
  </x:si>
  <x:si>
    <x:t>Redacted (2007)</x:t>
  </x:si>
  <x:si>
    <x:t>Redemption (2013)</x:t>
  </x:si>
  <x:si>
    <x:t>Reflexos en un ull daurat (1967)</x:t>
  </x:si>
  <x:si>
    <x:t>Rei de reis (1961)</x:t>
  </x:si>
  <x:si>
    <x:t>Reina de cors (2019)</x:t>
  </x:si>
  <x:si>
    <x:t>Reina i pàtria (2014)</x:t>
  </x:si>
  <x:si>
    <x:t>Reis (2017)</x:t>
  </x:si>
  <x:si>
    <x:t>Relative strangers Una família quasi perfecta (2006)</x:t>
  </x:si>
  <x:si>
    <x:t>Relic (2020)</x:t>
  </x:si>
  <x:si>
    <x:t>Remake (2006)</x:t>
  </x:si>
  <x:si>
    <x:t>Remant com un sol home (2023)</x:t>
  </x:si>
  <x:si>
    <x:t>Remember (2022)</x:t>
  </x:si>
  <x:si>
    <x:t>Rémi: una vida extraordinaria (2018)</x:t>
  </x:si>
  <x:si>
    <x:t>Remors (2011)</x:t>
  </x:si>
  <x:si>
    <x:t>Rendition (2007)</x:t>
  </x:si>
  <x:si>
    <x:t>Renoir (2012)</x:t>
  </x:si>
  <x:si>
    <x:t>Rent [VOSC] (2005)</x:t>
  </x:si>
  <x:si>
    <x:t>Repli-Kate (2002)</x:t>
  </x:si>
  <x:si>
    <x:t>Reporter de guerra (2013)</x:t>
  </x:si>
  <x:si>
    <x:t>Repulsió (1965)</x:t>
  </x:si>
  <x:si>
    <x:t>Rèquiem per Detroit (2012)</x:t>
  </x:si>
  <x:si>
    <x:t>Rèquiem per un camperol (1985)</x:t>
  </x:si>
  <x:si>
    <x:t>Rèquiem per un somni (2000)</x:t>
  </x:si>
  <x:si>
    <x:t>Requisits per ser una persona normal (2015)</x:t>
  </x:si>
  <x:si>
    <x:t>Res a declarar (2010)</x:t>
  </x:si>
  <x:si>
    <x:t>Res a perdre (2023)</x:t>
  </x:si>
  <x:si>
    <x:t>Res no tornarà a ser com abans (2015)</x:t>
  </x:si>
  <x:si>
    <x:t>Rescat (1996)</x:t>
  </x:si>
  <x:si>
    <x:t>Rescat (2009)</x:t>
  </x:si>
  <x:si>
    <x:t>Reservoir dogs (1992)</x:t>
  </x:si>
  <x:si>
    <x:t>Resident Evil (2002)</x:t>
  </x:si>
  <x:si>
    <x:t>Resident Evil 2: Apocalipsi (2004)</x:t>
  </x:si>
  <x:si>
    <x:t>Resident Evil: Extinció (2007)</x:t>
  </x:si>
  <x:si>
    <x:t>Resident Evil: Ultratomba (2010)</x:t>
  </x:si>
  <x:si>
    <x:t>Resident Evil: Venjança (2012)</x:t>
  </x:si>
  <x:si>
    <x:t>Resistència (2008)</x:t>
  </x:si>
  <x:si>
    <x:t>Respect (2021)</x:t>
  </x:si>
  <x:si>
    <x:t>Respira (2017)</x:t>
  </x:si>
  <x:si>
    <x:t>Respira, mama (2024)</x:t>
  </x:si>
  <x:si>
    <x:t>Ressaca a Las Vegas I (2009)</x:t>
  </x:si>
  <x:si>
    <x:t>Ressaca II Ara a Tailàndia (2011)</x:t>
  </x:si>
  <x:si>
    <x:t>Ressaca III (2013)</x:t>
  </x:si>
  <x:si>
    <x:t>Ressuscitat (2016)</x:t>
  </x:si>
  <x:si>
    <x:t>Restless (2011)</x:t>
  </x:si>
  <x:si>
    <x:t>Resurrecció (1999)</x:t>
  </x:si>
  <x:si>
    <x:t>Retorn a Brideshead (2008)</x:t>
  </x:si>
  <x:si>
    <x:t>Retorn a Hope Gap (2019)</x:t>
  </x:si>
  <x:si>
    <x:t>Retorn a Howards End (1992)</x:t>
  </x:si>
  <x:si>
    <x:t>Retorn a l'infern (2006)</x:t>
  </x:si>
  <x:si>
    <x:t>Retorn a Txernòbil  (2020)</x:t>
  </x:si>
  <x:si>
    <x:t>Retorn al futur I (1985)</x:t>
  </x:si>
  <x:si>
    <x:t>Retorn al futur II (1989)</x:t>
  </x:si>
  <x:si>
    <x:t>Retorn al futur III (1990)</x:t>
  </x:si>
  <x:si>
    <x:t>Retorn al llac blau (1991)</x:t>
  </x:si>
  <x:si>
    <x:t>Retorn al passat (1947)</x:t>
  </x:si>
  <x:si>
    <x:t>Retorn Sopa de Cabra Palau Sant Jordi (2011)</x:t>
  </x:si>
  <x:si>
    <x:t>Retornats (2013)</x:t>
  </x:si>
  <x:si>
    <x:t>Retrat d'una obsessió (2006)</x:t>
  </x:si>
  <x:si>
    <x:t>Retrobament (1983)</x:t>
  </x:si>
  <x:si>
    <x:t>Revolta al Fort Laramie (1956)</x:t>
  </x:si>
  <x:si>
    <x:t>Revolució Russa: 100 anys després (2017)</x:t>
  </x:si>
  <x:si>
    <x:t>Revolutionary Quartet: L'enigma Gerhard (2023)</x:t>
  </x:si>
  <x:si>
    <x:t>Rex, un dinosaure a Nova York (1993)</x:t>
  </x:si>
  <x:si>
    <x:t>Ribbit, una petita granota amb un gran dilema (2014)</x:t>
  </x:si>
  <x:si>
    <x:t>Ricard III (1995)</x:t>
  </x:si>
  <x:si>
    <x:t>Ricki (2015)</x:t>
  </x:si>
  <x:si>
    <x:t>Riddick (2013)</x:t>
  </x:si>
  <x:si>
    <x:t>Ride, al ritme de les ones (2014)</x:t>
  </x:si>
  <x:si>
    <x:t>Rifkin's Festival (2020)</x:t>
  </x:si>
  <x:si>
    <x:t>Rin Tin Tin - Heroi de l'Oest (1955)</x:t>
  </x:si>
  <x:si>
    <x:t>Rio Bravo (1959)</x:t>
  </x:si>
  <x:si>
    <x:t>Rio Grande (1950)</x:t>
  </x:si>
  <x:si>
    <x:t>Riparo (2007)</x:t>
  </x:si>
  <x:si>
    <x:t>Ritter Rost - Eisenhart und voll verbeult (El cavaller Rovellat) (2013)</x:t>
  </x:si>
  <x:si>
    <x:t>Riu de sang (1952)</x:t>
  </x:si>
  <x:si>
    <x:t>Riu salvatge (1960)</x:t>
  </x:si>
  <x:si>
    <x:t>Riu Vermell (1948)</x:t>
  </x:si>
  <x:si>
    <x:t>Rivals (2008)</x:t>
  </x:si>
  <x:si>
    <x:t>Rob Roy (1995)</x:t>
  </x:si>
  <x:si>
    <x:t>Rob-B-Hood (2006)</x:t>
  </x:si>
  <x:si>
    <x:t>Robby, Toby i el viatge fantàstic (2016)</x:t>
  </x:si>
  <x:si>
    <x:t>Robert Plant &amp; The Sensational Space Shifters (2014)</x:t>
  </x:si>
  <x:si>
    <x:t>Robin Hood (1973)</x:t>
  </x:si>
  <x:si>
    <x:t>Robin Hood (2010)</x:t>
  </x:si>
  <x:si>
    <x:t>Robin Hood (2018)</x:t>
  </x:si>
  <x:si>
    <x:t>Robin Hood: Príncep dels lladres (1991)</x:t>
  </x:si>
  <x:si>
    <x:t>Robin i Marian (1976)</x:t>
  </x:si>
  <x:si>
    <x:t>Robinson Crusoe a Mart [VOSC] (1964)</x:t>
  </x:si>
  <x:si>
    <x:t>Robocop I (1987)</x:t>
  </x:si>
  <x:si>
    <x:t>Robocop II (1989)</x:t>
  </x:si>
  <x:si>
    <x:t>Robocop III (1992)</x:t>
  </x:si>
  <x:si>
    <x:t>Robot Dreams (2023)</x:t>
  </x:si>
  <x:si>
    <x:t>Robots (2005)</x:t>
  </x:si>
  <x:si>
    <x:t>Rocketman (2019)</x:t>
  </x:si>
  <x:si>
    <x:t>Rocky Balboa (2006)</x:t>
  </x:si>
  <x:si>
    <x:t>Rocky I (1976)</x:t>
  </x:si>
  <x:si>
    <x:t>Rocky II (1979)</x:t>
  </x:si>
  <x:si>
    <x:t>Rocky III (1982)</x:t>
  </x:si>
  <x:si>
    <x:t>Rocky IV (1985)</x:t>
  </x:si>
  <x:si>
    <x:t>Rocky V (1990)</x:t>
  </x:si>
  <x:si>
    <x:t>Rodalies, la història interminable (2026)</x:t>
  </x:si>
  <x:si>
    <x:t>Rodejats per Estat Islàmic (2015)</x:t>
  </x:si>
  <x:si>
    <x:t>Rodencia i la dent de la Princesa (2012)</x:t>
  </x:si>
  <x:si>
    <x:t>Roger Hodgson - Live in Montreal (2006)</x:t>
  </x:si>
  <x:si>
    <x:t>Roger Waters - The Wall live in Berlin (1990)</x:t>
  </x:si>
  <x:si>
    <x:t>Roger Waters – The Wall live in London (2011)</x:t>
  </x:si>
  <x:si>
    <x:t>Rogue Agent (2022)</x:t>
  </x:si>
  <x:si>
    <x:t>Rollerball (1975)</x:t>
  </x:si>
  <x:si>
    <x:t>Romasanta (2004)</x:t>
  </x:si>
  <x:si>
    <x:t>Ron dona error (2021)</x:t>
  </x:si>
  <x:si>
    <x:t>Ronin (1998)</x:t>
  </x:si>
  <x:si>
    <x:t>Roses a l'hivern (2014)</x:t>
  </x:si>
  <x:si>
    <x:t>Rottweiler (2005)</x:t>
  </x:si>
  <x:si>
    <x:t>Roujin Z (1991)</x:t>
  </x:si>
  <x:si>
    <x:t>Rovello - Conte de nadal (2010)</x:t>
  </x:si>
  <x:si>
    <x:t>Rovelló a el somni d'una nit d'estiu (2011)</x:t>
  </x:si>
  <x:si>
    <x:t>Rovelló a Halloween (2009)</x:t>
  </x:si>
  <x:si>
    <x:t>Rovelló i la llegenda de Sant Jordi (2009)</x:t>
  </x:si>
  <x:si>
    <x:t>Rovelló: un Nadal sense Noel (2009)</x:t>
  </x:si>
  <x:si>
    <x:t>Rovelló. El carnaval de la Ventafocs (2007)</x:t>
  </x:si>
  <x:si>
    <x:t>Rowan Atkinson en viu! (1992)</x:t>
  </x:si>
  <x:si>
    <x:t>Roxanne (1987)</x:t>
  </x:si>
  <x:si>
    <x:t>RRRrrrr!!! (2004)</x:t>
  </x:si>
  <x:si>
    <x:t>Rubianes solamente (2003)</x:t>
  </x:si>
  <x:si>
    <x:t>Rudi: El porquet de les carreres (2007)</x:t>
  </x:si>
  <x:si>
    <x:t>Rudolph (1998)</x:t>
  </x:si>
  <x:si>
    <x:t>Rudolph 2 (2001)</x:t>
  </x:si>
  <x:si>
    <x:t>Rufufú (1958)</x:t>
  </x:si>
  <x:si>
    <x:t>Rugrats (1998)</x:t>
  </x:si>
  <x:si>
    <x:t>Rugrats a París (2000)</x:t>
  </x:si>
  <x:si>
    <x:t>Rugrats, vacances salvatges (2003)</x:t>
  </x:si>
  <x:si>
    <x:t>Rumba terapia (2022)</x:t>
  </x:si>
  <x:si>
    <x:t>Rumors i mentides (2010)</x:t>
  </x:si>
  <x:si>
    <x:t>Run (2020)</x:t>
  </x:si>
  <x:si>
    <x:t>Rusc (2021)</x:t>
  </x:si>
  <x:si>
    <x:t>Rush (2013)</x:t>
  </x:si>
  <x:si>
    <x:t>Ruta salvatge (2023)</x:t>
  </x:si>
  <x:si>
    <x:t>Ryanair, l'ombra del baix cost (2024)</x:t>
  </x:si>
  <x:si>
    <x:t>S.W.A.T. (2019)</x:t>
  </x:si>
  <x:si>
    <x:t>Sa majestat dels Mars del Sud (1954)</x:t>
  </x:si>
  <x:si>
    <x:t>Sa majestat Minor (2007)</x:t>
  </x:si>
  <x:si>
    <x:t>Sabates vermelles i els set trols (2019)</x:t>
  </x:si>
  <x:si>
    <x:t>Saben aquell (2023)</x:t>
  </x:si>
  <x:si>
    <x:t>Sabotatge (2014)</x:t>
  </x:si>
  <x:si>
    <x:t>Sabrina (1954)</x:t>
  </x:si>
  <x:si>
    <x:t>Safe (2012)</x:t>
  </x:si>
  <x:si>
    <x:t>Sagrada Família, el repte de Gaudí  (2022)</x:t>
  </x:si>
  <x:si>
    <x:t>Saïd (1999)</x:t>
  </x:si>
  <x:si>
    <x:t>Saint Jack (1979)</x:t>
  </x:si>
  <x:si>
    <x:t>Sakura Wars: La pel·lícula (2001)</x:t>
  </x:si>
  <x:si>
    <x:t>Sala de professors (2023)</x:t>
  </x:si>
  <x:si>
    <x:t>Salomé va ballar aquí (1945)</x:t>
  </x:si>
  <x:si>
    <x:t>Salt (2010)</x:t>
  </x:si>
  <x:si>
    <x:t>Salut i força al canut (1979)</x:t>
  </x:si>
  <x:si>
    <x:t>Salvador Puig Antich (2006)</x:t>
  </x:si>
  <x:si>
    <x:t>Salvador Seguí: història d'un anarcosindicalista (2023)</x:t>
  </x:si>
  <x:si>
    <x:t>Salvatges (2024)</x:t>
  </x:si>
  <x:si>
    <x:t>Salve Maria (2024)</x:t>
  </x:si>
  <x:si>
    <x:t>Salvem el soldat Ryan (1998)</x:t>
  </x:si>
  <x:si>
    <x:t>Samaritan (2022)</x:t>
  </x:si>
  <x:si>
    <x:t>Samba (2014)</x:t>
  </x:si>
  <x:si>
    <x:t>Samos, la vergonya d'Europa (2021)</x:t>
  </x:si>
  <x:si>
    <x:t>Samsara (2011)</x:t>
  </x:si>
  <x:si>
    <x:t>San Andreas (2015)</x:t>
  </x:si>
  <x:si>
    <x:t>Sandokan, el tigre de Borneo (1963)</x:t>
  </x:si>
  <x:si>
    <x:t>Sandra (1965)</x:t>
  </x:si>
  <x:si>
    <x:t>Sandra (2021)</x:t>
  </x:si>
  <x:si>
    <x:t>Sang fresca (1992)</x:t>
  </x:si>
  <x:si>
    <x:t>Sang vermella (2004)</x:t>
  </x:si>
  <x:si>
    <x:t>Sang, suor i llàgrimes (1942)</x:t>
  </x:si>
  <x:si>
    <x:t>Sangtraït al Palau Sant Jordi (1991)</x:t>
  </x:si>
  <x:si>
    <x:t>Sanmao: La núvia del desert (2020)</x:t>
  </x:si>
  <x:si>
    <x:t>Sant Valentí sagnant (2009)</x:t>
  </x:si>
  <x:si>
    <x:t>Santoalla (2016)</x:t>
  </x:si>
  <x:si>
    <x:t>Sau30 Quina nit! Quina Lluna! (2020)</x:t>
  </x:si>
  <x:si>
    <x:t>Savage Grace (2007)</x:t>
  </x:si>
  <x:si>
    <x:t>Saving Santa. Al rescat de Santa Claus (2013)</x:t>
  </x:si>
  <x:si>
    <x:t>Savior (1998)</x:t>
  </x:si>
  <x:si>
    <x:t>Savva, el cor del guerrer (2015)</x:t>
  </x:si>
  <x:si>
    <x:t>Saw (2004)</x:t>
  </x:si>
  <x:si>
    <x:t>Saw II (2005)</x:t>
  </x:si>
  <x:si>
    <x:t>Saw VI (2009)</x:t>
  </x:si>
  <x:si>
    <x:t>Saw VII (2010)</x:t>
  </x:si>
  <x:si>
    <x:t>Saxana i el llibre encantat (2011)</x:t>
  </x:si>
  <x:si>
    <x:t>Scanners (1981)</x:t>
  </x:si>
  <x:si>
    <x:t>Scaramouche (2017)</x:t>
  </x:si>
  <x:si>
    <x:t>Scarlet (2022)</x:t>
  </x:si>
  <x:si>
    <x:t>Scary MoVie 5 (2013)</x:t>
  </x:si>
  <x:si>
    <x:t>Scooby-Doo (2002)</x:t>
  </x:si>
  <x:si>
    <x:t>Scooby! (2020)</x:t>
  </x:si>
  <x:si>
    <x:t>Scoop (2006)</x:t>
  </x:si>
  <x:si>
    <x:t>Scrat in Love (2009)</x:t>
  </x:si>
  <x:si>
    <x:t>Scream (1996)</x:t>
  </x:si>
  <x:si>
    <x:t>Scream 4 (2011)</x:t>
  </x:si>
  <x:si>
    <x:t>Screamers: Assassins cibernètics 2 (2009)</x:t>
  </x:si>
  <x:si>
    <x:t>Scrooge: Conte de Nadal (2022)</x:t>
  </x:si>
  <x:si>
    <x:t>Se fa saber (2013)</x:t>
  </x:si>
  <x:si>
    <x:t>Sé qui m'ha matat (2007)</x:t>
  </x:si>
  <x:si>
    <x:t>Se'ns ha sortit de mare (2014)</x:t>
  </x:si>
  <x:si>
    <x:t>Seconds [VOSC] (1966)</x:t>
  </x:si>
  <x:si>
    <x:t>Secrets compartits (2005)</x:t>
  </x:si>
  <x:si>
    <x:t>Secrets d'estat (2019)</x:t>
  </x:si>
  <x:si>
    <x:t>Secrets d'un crim (2014)</x:t>
  </x:si>
  <x:si>
    <x:t>Secrets d'un diari (2016)</x:t>
  </x:si>
  <x:si>
    <x:t>Secrets d'un escàndol (2023)</x:t>
  </x:si>
  <x:si>
    <x:t>Secrets de família (2005)</x:t>
  </x:si>
  <x:si>
    <x:t>Secrets de família (2020)</x:t>
  </x:si>
  <x:si>
    <x:t>Secrets de rics (2017)</x:t>
  </x:si>
  <x:si>
    <x:t>Seda (2007)</x:t>
  </x:si>
  <x:si>
    <x:t>Seduccions familiars (2020)</x:t>
  </x:si>
  <x:si>
    <x:t>Seduïda per la mentida (2010)</x:t>
  </x:si>
  <x:si>
    <x:t>Seduint un estrany (2007)</x:t>
  </x:si>
  <x:si>
    <x:t>Seduïts pel Pep (2011)</x:t>
  </x:si>
  <x:si>
    <x:t>Segon orígen (2015)</x:t>
  </x:si>
  <x:si>
    <x:t>Segrest (2016)</x:t>
  </x:si>
  <x:si>
    <x:t>Segrestada (2014)</x:t>
  </x:si>
  <x:si>
    <x:t>Segrestades (2009)</x:t>
  </x:si>
  <x:si>
    <x:t>Segrestant la senyoreta Tingle (1999)</x:t>
  </x:si>
  <x:si>
    <x:t>Segueix-me el rotllo (2011)</x:t>
  </x:si>
  <x:si>
    <x:t>Seguint el so [VOSC] (2023)</x:t>
  </x:si>
  <x:si>
    <x:t>Seguretat nacional (2003)</x:t>
  </x:si>
  <x:si>
    <x:t>Seguretat no garantida (2012)</x:t>
  </x:si>
  <x:si>
    <x:t>Selecció natural (2015)</x:t>
  </x:si>
  <x:si>
    <x:t>Selma (2014)</x:t>
  </x:si>
  <x:si>
    <x:t>Sempre (im)perfectes (2025)</x:t>
  </x:si>
  <x:si>
    <x:t>Sempre al teu costat, Hachiko (2009)</x:t>
  </x:si>
  <x:si>
    <x:t>Sempre Alice (2014)</x:t>
  </x:si>
  <x:si>
    <x:t>Sempre Dharma (2023)</x:t>
  </x:si>
  <x:si>
    <x:t>Sempre feliç (2010)</x:t>
  </x:si>
  <x:si>
    <x:t>Sempre teva (2007)</x:t>
  </x:si>
  <x:si>
    <x:t>Senderes d’honor (2017)</x:t>
  </x:si>
  <x:si>
    <x:t>Sense destí (2005)</x:t>
  </x:si>
  <x:si>
    <x:t>Sense filtre (2019)</x:t>
  </x:si>
  <x:si>
    <x:t>Sense identitat (2011)</x:t>
  </x:si>
  <x:si>
    <x:t>Sense límits (2008)</x:t>
  </x:si>
  <x:si>
    <x:t>Sense límits (2011)</x:t>
  </x:si>
  <x:si>
    <x:t>Sense llei (2012)</x:t>
  </x:si>
  <x:si>
    <x:t>Sense paraules (2018)</x:t>
  </x:si>
  <x:si>
    <x:t>Sense perdó (1992)</x:t>
  </x:si>
  <x:si>
    <x:t>Sense pietat (2019)</x:t>
  </x:si>
  <x:si>
    <x:t>Sense rastre (2012)</x:t>
  </x:si>
  <x:si>
    <x:t>Sense rastre (2020)</x:t>
  </x:si>
  <x:si>
    <x:t>Sense reserves (2007)</x:t>
  </x:si>
  <x:si>
    <x:t>Sense sortida (1987)</x:t>
  </x:si>
  <x:si>
    <x:t>Sense sostre (2019)</x:t>
  </x:si>
  <x:si>
    <x:t>Sentència de mort (2007)</x:t>
  </x:si>
  <x:si>
    <x:t>Sentimental (2020)</x:t>
  </x:si>
  <x:si>
    <x:t>Sentit i sensibilitat (1995)</x:t>
  </x:si>
  <x:si>
    <x:t>Senyals del futur (2009)</x:t>
  </x:si>
  <x:si>
    <x:t>Senyora pastora, senyor capellà (2016)</x:t>
  </x:si>
  <x:si>
    <x:t>Senyora Winterbourne (1996)</x:t>
  </x:si>
  <x:si>
    <x:t>Ser o no ser (1942)</x:t>
  </x:si>
  <x:si>
    <x:t>Serena (2014)</x:t>
  </x:si>
  <x:si>
    <x:t>Serenata nostàlgica (1941)</x:t>
  </x:si>
  <x:si>
    <x:t>Serendipity (2001)</x:t>
  </x:si>
  <x:si>
    <x:t>Sergio &amp; Serguéi (2017)</x:t>
  </x:si>
  <x:si>
    <x:t>Sèrie B (2012)</x:t>
  </x:si>
  <x:si>
    <x:t>Serps a l'avió (2006)</x:t>
  </x:si>
  <x:si>
    <x:t>Serrat al Sant Jordi (1996)</x:t>
  </x:si>
  <x:si>
    <x:t>Serrat Simfònic (2003)</x:t>
  </x:si>
  <x:si>
    <x:t>Set ànimes (2008)</x:t>
  </x:si>
  <x:si>
    <x:t>Set anys al Tibet (1997)</x:t>
  </x:si>
  <x:si>
    <x:t>Set de venjança (2010)</x:t>
  </x:si>
  <x:si>
    <x:t>Set dies a Entebbe (2018)</x:t>
  </x:si>
  <x:si>
    <x:t>Set espases (2005)</x:t>
  </x:si>
  <x:si>
    <x:t>Set psicòpates (2012)</x:t>
  </x:si>
  <x:si>
    <x:t>Setembre (1987)</x:t>
  </x:si>
  <x:si>
    <x:t>Setge al referèndum (2017)</x:t>
  </x:si>
  <x:si>
    <x:t>Setup (2011)</x:t>
  </x:si>
  <x:si>
    <x:t>Seven (1995)</x:t>
  </x:si>
  <x:si>
    <x:t>Sévigné (2004)</x:t>
  </x:si>
  <x:si>
    <x:t>Sex Tape. Problemes al núvol (2014)</x:t>
  </x:si>
  <x:si>
    <x:t>Sexe a Nova York I (versió estesa) (2008)</x:t>
  </x:si>
  <x:si>
    <x:t>Sexe a Nova York II (2010)</x:t>
  </x:si>
  <x:si>
    <x:t>Sexe, maraques i chihuahues (2016)</x:t>
  </x:si>
  <x:si>
    <x:t>Sexygénaires (2023)</x:t>
  </x:si>
  <x:si>
    <x:t>Sexykiller (2008)</x:t>
  </x:si>
  <x:si>
    <x:t>Shadow Man (2006)</x:t>
  </x:si>
  <x:si>
    <x:t>Shahid: Créixer o morir a Palestina (2024)</x:t>
  </x:si>
  <x:si>
    <x:t>Shakespeare in Love (1998)</x:t>
  </x:si>
  <x:si>
    <x:t>Shame (2011)</x:t>
  </x:si>
  <x:si>
    <x:t>Shanghai (2010)</x:t>
  </x:si>
  <x:si>
    <x:t>Sharkwater (2022)</x:t>
  </x:si>
  <x:si>
    <x:t>Shelter (2010)</x:t>
  </x:si>
  <x:si>
    <x:t>Sherlock Gnomes (2018)</x:t>
  </x:si>
  <x:si>
    <x:t>Sherlock Holmes (2009)</x:t>
  </x:si>
  <x:si>
    <x:t>Sherlock Holmes, les mans d'un assassí (1990)</x:t>
  </x:si>
  <x:si>
    <x:t>Sherlock Holmes: Un joc d'ombres (2011)</x:t>
  </x:si>
  <x:si>
    <x:t>Sherlock Holmes: Vestida per matar [VOSC] (1946)</x:t>
  </x:si>
  <x:si>
    <x:t>Sherlock Jr. [VOSC] (1924)</x:t>
  </x:si>
  <x:si>
    <x:t>Shin Chan 3 minuts per salvar el món (2005)</x:t>
  </x:si>
  <x:si>
    <x:t>Shin Chan de la jungla (2000)</x:t>
  </x:si>
  <x:si>
    <x:t>Shin Chan i el filet impossible (2003)</x:t>
  </x:si>
  <x:si>
    <x:t>Shin Chan i l'ambició de Karakaka (1995)</x:t>
  </x:si>
  <x:si>
    <x:t>Shin Chan i l'espasa d'or (2008)</x:t>
  </x:si>
  <x:si>
    <x:t>Shin Chan: A l'illa del tresor (1994)</x:t>
  </x:si>
  <x:si>
    <x:t>Shin Chan: A la recerca de les boles perdudes (1997)</x:t>
  </x:si>
  <x:si>
    <x:t>Shin Chan: A ritme de samba (2006)</x:t>
  </x:si>
  <x:si>
    <x:t>Shin Chan: Aventures a Henderland (1996)</x:t>
  </x:si>
  <x:si>
    <x:t>Shin Chan: El meu gos és la bomba (2007)</x:t>
  </x:si>
  <x:si>
    <x:t>Shin Chan: El petit samurai (2002)</x:t>
  </x:si>
  <x:si>
    <x:t>Shin Chan: Els adults contraataquen (2001)</x:t>
  </x:si>
  <x:si>
    <x:t>Shin Chan: La guerra dels balnearis (1999)</x:t>
  </x:si>
  <x:si>
    <x:t>Shin Chan: La invasió (1993)</x:t>
  </x:si>
  <x:si>
    <x:t>Shin Chan: La núvia del futur (2010)</x:t>
  </x:si>
  <x:si>
    <x:t>Shin Chan: La pel·lícula. Això és una animalada! (2009)</x:t>
  </x:si>
  <x:si>
    <x:t>Shin Chan: Operació rescat (1998)</x:t>
  </x:si>
  <x:si>
    <x:t>Shinjuku, la ciutat dels dimonis (1988)</x:t>
  </x:si>
  <x:si>
    <x:t>Shinobi (2005)</x:t>
  </x:si>
  <x:si>
    <x:t>Shirley (2020)</x:t>
  </x:si>
  <x:si>
    <x:t>Shiva Baby (2020)</x:t>
  </x:si>
  <x:si>
    <x:t>Showgirls (1995)</x:t>
  </x:si>
  <x:si>
    <x:t>Showtime (2002)</x:t>
  </x:si>
  <x:si>
    <x:t>Shrek I (2001)</x:t>
  </x:si>
  <x:si>
    <x:t>Shrek II (2004)</x:t>
  </x:si>
  <x:si>
    <x:t>Shrek III tercer (2007)</x:t>
  </x:si>
  <x:si>
    <x:t>Shrek IV feliços per sempre (2010)</x:t>
  </x:si>
  <x:si>
    <x:t>Shutter (2004)</x:t>
  </x:si>
  <x:si>
    <x:t>Shutter Island (2010)</x:t>
  </x:si>
  <x:si>
    <x:t>Si decideixo quedar-me (2014)</x:t>
  </x:si>
  <x:si>
    <x:t>Si Deu vol (2015)</x:t>
  </x:si>
  <x:si>
    <x:t>Si funciona... (2009)</x:t>
  </x:si>
  <x:si>
    <x:t>Si les parets parlessin (1996)</x:t>
  </x:si>
  <x:si>
    <x:t>Si vols de debò (2012)</x:t>
  </x:si>
  <x:si>
    <x:t>Sibyl (2019)</x:t>
  </x:si>
  <x:si>
    <x:t>Sica (2023)</x:t>
  </x:si>
  <x:si>
    <x:t>Sicari (2015)</x:t>
  </x:si>
  <x:si>
    <x:t>Sicko (2007)</x:t>
  </x:si>
  <x:si>
    <x:t>Sigues la meva veu (2021)</x:t>
  </x:si>
  <x:si>
    <x:t>Silenci d'amor (2011)</x:t>
  </x:si>
  <x:si>
    <x:t>Silenci de gel (2010)</x:t>
  </x:si>
  <x:si>
    <x:t>Silenci des del mal (2007)</x:t>
  </x:si>
  <x:si>
    <x:t>Silkwood (1983)</x:t>
  </x:si>
  <x:si>
    <x:t>Silvana [VOSC] (2017)</x:t>
  </x:si>
  <x:si>
    <x:t>Silver Lode (1954)</x:t>
  </x:si>
  <x:si>
    <x:t>Silverado (1985)</x:t>
  </x:si>
  <x:si>
    <x:t>Silvio (i els altres) (2018)</x:t>
  </x:si>
  <x:si>
    <x:t>Simbad i l'ull del tigre (1977)</x:t>
  </x:si>
  <x:si>
    <x:t>Simbad i la princesa (1958)</x:t>
  </x:si>
  <x:si>
    <x:t>Simbad, la llegenda dels set mars (2003)</x:t>
  </x:si>
  <x:si>
    <x:t>Simone, el viatge del segle (2022)</x:t>
  </x:si>
  <x:si>
    <x:t>Simple comme Sylvain (2023)</x:t>
  </x:si>
  <x:si>
    <x:t>Sinatra (1988)</x:t>
  </x:si>
  <x:si>
    <x:t>Singularitats d'una noia rossa (2009)</x:t>
  </x:si>
  <x:si>
    <x:t>Sinister (2012)</x:t>
  </x:si>
  <x:si>
    <x:t>Sinister 2 (2015)</x:t>
  </x:si>
  <x:si>
    <x:t>Sinjar (2022)</x:t>
  </x:si>
  <x:si>
    <x:t>Sis dies corrents (2020)</x:t>
  </x:si>
  <x:si>
    <x:t>Sis nits d'agost (2022)</x:t>
  </x:si>
  <x:si>
    <x:t>Sissí (1955)</x:t>
  </x:si>
  <x:si>
    <x:t>Sissí, emperadriu (1956)</x:t>
  </x:si>
  <x:si>
    <x:t>Sit (2002)</x:t>
  </x:si>
  <x:si>
    <x:t>Situació Crítica: Apol·lo 13 (2007)</x:t>
  </x:si>
  <x:si>
    <x:t>Sixena, pintures sentenciades (2025)</x:t>
  </x:si>
  <x:si>
    <x:t>Sketch. Compte amb el que dibuixes (2024)</x:t>
  </x:si>
  <x:si>
    <x:t>Sky Captain i el món del demà (2004)</x:t>
  </x:si>
  <x:si>
    <x:t>Skyfall (2012)</x:t>
  </x:si>
  <x:si>
    <x:t>Skyline (2010)</x:t>
  </x:si>
  <x:si>
    <x:t>Slastic (1986)</x:t>
  </x:si>
  <x:si>
    <x:t>Slumdog Millionaire (2008)</x:t>
  </x:si>
  <x:si>
    <x:t>Smallfoot (2018)</x:t>
  </x:si>
  <x:si>
    <x:t>Snatch (porcs i diamants) (2000)</x:t>
  </x:si>
  <x:si>
    <x:t>Snowboarder (2003)</x:t>
  </x:si>
  <x:si>
    <x:t>So Undercover (2012)</x:t>
  </x:si>
  <x:si>
    <x:t>Sobre la marxa (2013)</x:t>
  </x:si>
  <x:si>
    <x:t>Sobre la pista de la Pantera Rosa (1982)</x:t>
  </x:si>
  <x:si>
    <x:t>Sobre rodes (2018)</x:t>
  </x:si>
  <x:si>
    <x:t>Sobretot de nit (2023)</x:t>
  </x:si>
  <x:si>
    <x:t>Sobreviu aquesta nit (2020)</x:t>
  </x:si>
  <x:si>
    <x:t>Sobreviure al joc (2021)</x:t>
  </x:si>
  <x:si>
    <x:t>Sóc llegenda (2007)</x:t>
  </x:si>
  <x:si>
    <x:t>Sóc un cyborg [VOSC] (2006)</x:t>
  </x:si>
  <x:si>
    <x:t>Societat negra (2024)</x:t>
  </x:si>
  <x:si>
    <x:t>Socors! Sóc un peix (2000)</x:t>
  </x:si>
  <x:si>
    <x:t>Sodoma i Gomorra (1962)</x:t>
  </x:si>
  <x:si>
    <x:t>Sogra per sorpresa (2020)</x:t>
  </x:si>
  <x:si>
    <x:t>Sol a casa I (1990)</x:t>
  </x:si>
  <x:si>
    <x:t>Sol a casa II perdut a Nova York (1992)</x:t>
  </x:si>
  <x:si>
    <x:t>Sol a Groenlàndia  (2024)</x:t>
  </x:si>
  <x:si>
    <x:t>Sol davant el perill (1952)</x:t>
  </x:si>
  <x:si>
    <x:t>Solan &amp; Eri, missió a la Lluna (2018)</x:t>
  </x:si>
  <x:si>
    <x:t>Solcant els mars (2018)</x:t>
  </x:si>
  <x:si>
    <x:t>Soldat blau (1970)</x:t>
  </x:si>
  <x:si>
    <x:t>Soldat Peaceful (2012)</x:t>
  </x:si>
  <x:si>
    <x:t>Soldat Universal II Germans d'armes (1998)</x:t>
  </x:si>
  <x:si>
    <x:t>Soldat Universal III: Assumptes pendents (1998)</x:t>
  </x:si>
  <x:si>
    <x:t>Soldat Universal: El retorn (1999)</x:t>
  </x:si>
  <x:si>
    <x:t>Soldats de gel (2013)</x:t>
  </x:si>
  <x:si>
    <x:t>Soldats de Salamina (2003)</x:t>
  </x:si>
  <x:si>
    <x:t>Solitary Man (2009)</x:t>
  </x:si>
  <x:si>
    <x:t>Solitud (1991)</x:t>
  </x:si>
  <x:si>
    <x:t>Solitud (2021)</x:t>
  </x:si>
  <x:si>
    <x:t>Solo, el destructor (1996)</x:t>
  </x:si>
  <x:si>
    <x:t>Solomon Kane (2009)</x:t>
  </x:si>
  <x:si>
    <x:t>Som els Miller (2013)</x:t>
  </x:si>
  <x:si>
    <x:t>Som gent honrada (2013)</x:t>
  </x:si>
  <x:si>
    <x:t>Somewhere (2010)</x:t>
  </x:si>
  <x:si>
    <x:t>Somiar un país, construir un somni. (2013)</x:t>
  </x:si>
  <x:si>
    <x:t>Sommersby (1993)</x:t>
  </x:si>
  <x:si>
    <x:t>Somni i silenci (2012)</x:t>
  </x:si>
  <x:si>
    <x:t>Somnis a Oslo (2024)</x:t>
  </x:si>
  <x:si>
    <x:t>Somnis d'una escriptora a Nova York (2020)</x:t>
  </x:si>
  <x:si>
    <x:t>Son &amp; Moon, diari d'un astronauta [VOSC] (2009)</x:t>
  </x:si>
  <x:si>
    <x:t>Són dins (2000)</x:t>
  </x:si>
  <x:si>
    <x:t>Son of the macho dancer (2021)</x:t>
  </x:si>
  <x:si>
    <x:t>Sonata per a violoncel (2015)</x:t>
  </x:si>
  <x:si>
    <x:t>Sopa de Cabra - El Retorn (2011)</x:t>
  </x:si>
  <x:si>
    <x:t>Sopar d'amics (2009)</x:t>
  </x:si>
  <x:si>
    <x:t>Sorry We Missed You (2019)</x:t>
  </x:si>
  <x:si>
    <x:t>Sortir dels marges (2026)</x:t>
  </x:si>
  <x:si>
    <x:t>Sospitós zero (2004)</x:t>
  </x:si>
  <x:si>
    <x:t>Sota amenaça (2011)</x:t>
  </x:si>
  <x:si>
    <x:t>Sota el mateix cel (2008)</x:t>
  </x:si>
  <x:si>
    <x:t>Sota el signe d'Anglaterra (1973)</x:t>
  </x:si>
  <x:si>
    <x:t>Sota el volcà (1984)</x:t>
  </x:si>
  <x:si>
    <x:t>Sota l'aigua tranquil·la (2005)</x:t>
  </x:si>
  <x:si>
    <x:t>Sota la superfície (2019)</x:t>
  </x:si>
  <x:si>
    <x:t>Sota les estrelles de París (2020)</x:t>
  </x:si>
  <x:si>
    <x:t>Sota sospita (1982)</x:t>
  </x:si>
  <x:si>
    <x:t>Sota un cel tòxic (2023)</x:t>
  </x:si>
  <x:si>
    <x:t>Sota una altra bandera (1990)</x:t>
  </x:si>
  <x:si>
    <x:t>Sotazero (2021)</x:t>
  </x:si>
  <x:si>
    <x:t>Soul (2020)</x:t>
  </x:si>
  <x:si>
    <x:t>Souvenir (1994)</x:t>
  </x:si>
  <x:si>
    <x:t>Soy Cuba. El mamut siberià [VOSC] (2004)</x:t>
  </x:si>
  <x:si>
    <x:t>Soylent Green (1973)</x:t>
  </x:si>
  <x:si>
    <x:t>Space Chimps - Missió espacial (2008)</x:t>
  </x:si>
  <x:si>
    <x:t>Space Cowboys (2000)</x:t>
  </x:si>
  <x:si>
    <x:t>Space Jam (1996)</x:t>
  </x:si>
  <x:si>
    <x:t>Space Jam: Noves llegendes (2021)</x:t>
  </x:si>
  <x:si>
    <x:t>Spark, una aventura espacial (2016)</x:t>
  </x:si>
  <x:si>
    <x:t>Sparrows (Pardals) (2015)</x:t>
  </x:si>
  <x:si>
    <x:t>Spawn (1997)</x:t>
  </x:si>
  <x:si>
    <x:t>Species 1: Espècie mortal (1995)</x:t>
  </x:si>
  <x:si>
    <x:t>Species 2: Espècie mortal 2 (1998)</x:t>
  </x:si>
  <x:si>
    <x:t>Spectre (2015)</x:t>
  </x:si>
  <x:si>
    <x:t>Speed (1994)</x:t>
  </x:si>
  <x:si>
    <x:t>Speed Racer (2008)</x:t>
  </x:si>
  <x:si>
    <x:t>Spider-Man: creuant el Multivers (2023)</x:t>
  </x:si>
  <x:si>
    <x:t>Spider-Man. Un nou univers (2018)</x:t>
  </x:si>
  <x:si>
    <x:t>Spiderman I (2002)</x:t>
  </x:si>
  <x:si>
    <x:t>Spiderman II (2004)</x:t>
  </x:si>
  <x:si>
    <x:t>Spiderman III (2007)</x:t>
  </x:si>
  <x:si>
    <x:t>Spielzeugland [VOSC] (2007)</x:t>
  </x:si>
  <x:si>
    <x:t>Spirit, cavalcant en llibertat: L'esperit de Nadal (2019)</x:t>
  </x:si>
  <x:si>
    <x:t>Spirit: el cavall indomable (2002)</x:t>
  </x:si>
  <x:si>
    <x:t>Spirit: Indomable (2021)</x:t>
  </x:si>
  <x:si>
    <x:t>Splice experiment mortal (2009)</x:t>
  </x:si>
  <x:si>
    <x:t>Spotlight (2015)</x:t>
  </x:si>
  <x:si>
    <x:t>Spy Cat (2018)</x:t>
  </x:si>
  <x:si>
    <x:t>Spy Game (2001)</x:t>
  </x:si>
  <x:si>
    <x:t>Spy High (2000)</x:t>
  </x:si>
  <x:si>
    <x:t>Spycies: Dos espies rebels (2019)</x:t>
  </x:si>
  <x:si>
    <x:t>St. Vincent (2014)</x:t>
  </x:si>
  <x:si>
    <x:t>Stalingrad (1993)</x:t>
  </x:si>
  <x:si>
    <x:t>Stand by Me Doraemon (2014)</x:t>
  </x:si>
  <x:si>
    <x:t>Star Trek I: La pel·lícula (1979)</x:t>
  </x:si>
  <x:si>
    <x:t>Star Trek II: La ira de Khan (1982)</x:t>
  </x:si>
  <x:si>
    <x:t>Star Trek III: A la recerca de Spock (1984)</x:t>
  </x:si>
  <x:si>
    <x:t>Star Trek IV: Missió salvar la Terra (1986)</x:t>
  </x:si>
  <x:si>
    <x:t>Star Trek V: L'última frontera (1989)</x:t>
  </x:si>
  <x:si>
    <x:t>Star Trek VI: Aquell país desconegut [VOSC] (1991)</x:t>
  </x:si>
  <x:si>
    <x:t>Star Wars 2: Episodi II - L'atac dels clons (2002)</x:t>
  </x:si>
  <x:si>
    <x:t>Star Wars 3: Episodi III - La venjança dels Sith (2005)</x:t>
  </x:si>
  <x:si>
    <x:t>Star Wars 4: Episodi IV - Una nova esperança (1977)</x:t>
  </x:si>
  <x:si>
    <x:t>Star Wars 5: Episodi V - L'imperi contraataca (1980)</x:t>
  </x:si>
  <x:si>
    <x:t>Star Wars 6: Episodi VI - El retorn del Jedi (1983)</x:t>
  </x:si>
  <x:si>
    <x:t>Star Wars 7: Episodi VII - El despertar de la força (2015)</x:t>
  </x:si>
  <x:si>
    <x:t>Star Wars 8: Episodi VIII - Els últims Jedi (2017)</x:t>
  </x:si>
  <x:si>
    <x:t>Star Wars 9: Episodi IX - L'ascens de Skywalker (2019)</x:t>
  </x:si>
  <x:si>
    <x:t>Star Wars: The Clone Wars (2008)</x:t>
  </x:si>
  <x:si>
    <x:t>Stardust (2007)</x:t>
  </x:si>
  <x:si>
    <x:t>Stargate [Muntatge del director] (1994)</x:t>
  </x:si>
  <x:si>
    <x:t>Stargate: El continu [VOSC] (2008)</x:t>
  </x:si>
  <x:si>
    <x:t>Stargate: L'Arca de la veritat [VOSC] (2008)</x:t>
  </x:si>
  <x:si>
    <x:t>Starman (1984)</x:t>
  </x:si>
  <x:si>
    <x:t>Starship Troopers 2: L'heroi de la federació (2004)</x:t>
  </x:si>
  <x:si>
    <x:t>Starsky i Hutch (2004)</x:t>
  </x:si>
  <x:si>
    <x:t>Stealth: L'amenaça invisible (2005)</x:t>
  </x:si>
  <x:si>
    <x:t>Steel (1997)</x:t>
  </x:si>
  <x:si>
    <x:t>Steins;Gate: l'àrea de càrrega del déjà-vu (2013)</x:t>
  </x:si>
  <x:si>
    <x:t>Stella Cadente (2014)</x:t>
  </x:si>
  <x:si>
    <x:t>Stella: Víctima i culpable (2023)</x:t>
  </x:si>
  <x:si>
    <x:t>Step Up All In (2014)</x:t>
  </x:si>
  <x:si>
    <x:t>Steve Jobs (2015)</x:t>
  </x:si>
  <x:si>
    <x:t>Stigmata (1999)</x:t>
  </x:si>
  <x:si>
    <x:t>Stillwater (2021)</x:t>
  </x:si>
  <x:si>
    <x:t>Stoc de coc (1992)</x:t>
  </x:si>
  <x:si>
    <x:t>Stone (2010)</x:t>
  </x:si>
  <x:si>
    <x:t>Stoned (2005)</x:t>
  </x:si>
  <x:si>
    <x:t>Stonehenge i les cultures megalítiques (1996)</x:t>
  </x:si>
  <x:si>
    <x:t>StopMotion Independència (2013)</x:t>
  </x:si>
  <x:si>
    <x:t>Stopped on Track [VOSC] (2011)</x:t>
  </x:si>
  <x:si>
    <x:t>Storm, La tempesta (2005)</x:t>
  </x:si>
  <x:si>
    <x:t>Street Fighter: La llegenda (2009)</x:t>
  </x:si>
  <x:si>
    <x:t>StreetDance (2010)</x:t>
  </x:si>
  <x:si>
    <x:t>Striptease (1996)</x:t>
  </x:si>
  <x:si>
    <x:t>Stuart Little (1999)</x:t>
  </x:si>
  <x:si>
    <x:t>Stuart Little 2 (2002)</x:t>
  </x:si>
  <x:si>
    <x:t>Subjúdice (1998)</x:t>
  </x:si>
  <x:si>
    <x:t>Submarine (2010)</x:t>
  </x:si>
  <x:si>
    <x:t>Submarino (2010)</x:t>
  </x:si>
  <x:si>
    <x:t>Suburra (2015)</x:t>
  </x:si>
  <x:si>
    <x:t>Sucker Punch (2011)</x:t>
  </x:si>
  <x:si>
    <x:t>Sufragistes (2015)</x:t>
  </x:si>
  <x:si>
    <x:t>Suite francesa (2014)</x:t>
  </x:si>
  <x:si>
    <x:t>Sully (2016)</x:t>
  </x:si>
  <x:si>
    <x:t>Sumaríssim 477: Especial Carrasco i Formiguera (1994)</x:t>
  </x:si>
  <x:si>
    <x:t>Sundown (2021)</x:t>
  </x:si>
  <x:si>
    <x:t>Suñol, un crit valent (2016)</x:t>
  </x:si>
  <x:si>
    <x:t>Super Mario Bros. (1993)</x:t>
  </x:si>
  <x:si>
    <x:t>Super Mario Bros.: La pel·lícula (2023)</x:t>
  </x:si>
  <x:si>
    <x:t>Superagent 86 de pel·lícula (2008)</x:t>
  </x:si>
  <x:si>
    <x:t>Superant la ficció (2006)</x:t>
  </x:si>
  <x:si>
    <x:t>Supercop (1992)</x:t>
  </x:si>
  <x:si>
    <x:t>Supercuc (2021)</x:t>
  </x:si>
  <x:si>
    <x:t>Superfumats (2008)</x:t>
  </x:si>
  <x:si>
    <x:t>Superhero movie (2008)</x:t>
  </x:si>
  <x:si>
    <x:t>SuperKlaus (2024)</x:t>
  </x:si>
  <x:si>
    <x:t>Superman I (1978)</x:t>
  </x:si>
  <x:si>
    <x:t>Superman II (1980)</x:t>
  </x:si>
  <x:si>
    <x:t>Superman III (1983)</x:t>
  </x:si>
  <x:si>
    <x:t>Superman: el retorn (2006)</x:t>
  </x:si>
  <x:si>
    <x:t>Supernova (2020)</x:t>
  </x:si>
  <x:si>
    <x:t>Supernova, La fi de l'univers (2000)</x:t>
  </x:si>
  <x:si>
    <x:t>Superpoli de centre comercial (2009)</x:t>
  </x:si>
  <x:si>
    <x:t>Superpolicia en dificultats (1988)</x:t>
  </x:si>
  <x:si>
    <x:t>Supersortits (2007)</x:t>
  </x:si>
  <x:si>
    <x:t>Supertramp - Live At Queen Mary's College (1977)</x:t>
  </x:si>
  <x:si>
    <x:t>Supervivent (2015)</x:t>
  </x:si>
  <x:si>
    <x:t>Surge (2020)</x:t>
  </x:si>
  <x:si>
    <x:t>Suro (2022)</x:t>
  </x:si>
  <x:si>
    <x:t>Surt el sol a Edimburg (2013)</x:t>
  </x:si>
  <x:si>
    <x:t>Surto amb l'Amber (2020)</x:t>
  </x:si>
  <x:si>
    <x:t>Surveilled (Espiats) [VOSC] (2024)</x:t>
  </x:si>
  <x:si>
    <x:t>Susan Slade (1961)</x:t>
  </x:si>
  <x:si>
    <x:t>Susanna (1996)</x:t>
  </x:si>
  <x:si>
    <x:t>Sweeney Todd: el barber diabòlic del carrer Fleet (2007)</x:t>
  </x:si>
  <x:si>
    <x:t>Sweet As [VOSC] (2022)</x:t>
  </x:si>
  <x:si>
    <x:t>Sweet Home (2015)</x:t>
  </x:si>
  <x:si>
    <x:t>Symphonic Project - Els amics de les arts (2018)</x:t>
  </x:si>
  <x:si>
    <x:t>Syriana (2005)</x:t>
  </x:si>
  <x:si>
    <x:t>T'agrada Hitchcock (2005)</x:t>
  </x:si>
  <x:si>
    <x:t>T'estimo si he begut (2022)</x:t>
  </x:si>
  <x:si>
    <x:t>T'estimo tal com ets (2014)</x:t>
  </x:si>
  <x:si>
    <x:t>T'estimo, imbècil (2020)</x:t>
  </x:si>
  <x:si>
    <x:t>T'odio, amor meu (1996)</x:t>
  </x:si>
  <x:si>
    <x:t>Tabaluga i la princesa del gel (2018)</x:t>
  </x:si>
  <x:si>
    <x:t>Tadeu Jones 2. El secret del rei Mides (2017)</x:t>
  </x:si>
  <x:si>
    <x:t>Tadeu Jones 3. La taula maragda (2022)</x:t>
  </x:si>
  <x:si>
    <x:t>Taffin (1988)</x:t>
  </x:si>
  <x:si>
    <x:t>Take Cover (2024)</x:t>
  </x:si>
  <x:si>
    <x:t>Takers (2010)</x:t>
  </x:si>
  <x:si>
    <x:t>Tamara Drewe (2010)</x:t>
  </x:si>
  <x:si>
    <x:t>També un pistoler necessita ajuda (1971)</x:t>
  </x:si>
  <x:si>
    <x:t>Tan fort i tan a prop (2011)</x:t>
  </x:si>
  <x:si>
    <x:t>Tancant el cercle (2007)</x:t>
  </x:si>
  <x:si>
    <x:t>Tanja, diari d'una guerrillera (2023)</x:t>
  </x:si>
  <x:si>
    <x:t>Tanna (2015)</x:t>
  </x:si>
  <x:si>
    <x:t>Tapes (2005)</x:t>
  </x:si>
  <x:si>
    <x:t>Tara Road (2005)</x:t>
  </x:si>
  <x:si>
    <x:t>Tarajal Desmuntant la impunitat a la frontera sud (2016)</x:t>
  </x:si>
  <x:si>
    <x:t>Taran i la caldera màgica (1985)</x:t>
  </x:si>
  <x:si>
    <x:t>Tardor a Nova York (2000)</x:t>
  </x:si>
  <x:si>
    <x:t>Tardor a Vermont (2017)</x:t>
  </x:si>
  <x:si>
    <x:t>Tarzan (1999)</x:t>
  </x:si>
  <x:si>
    <x:t>Tarzan (2013)</x:t>
  </x:si>
  <x:si>
    <x:t>Tatawo (2000)</x:t>
  </x:si>
  <x:si>
    <x:t>Tauró (1975)</x:t>
  </x:si>
  <x:si>
    <x:t>Taxi Driver (1976)</x:t>
  </x:si>
  <x:si>
    <x:t>Team Amèrica: La policia del món (2004)</x:t>
  </x:si>
  <x:si>
    <x:t>Teddy, la màgia de Nadal (2022)</x:t>
  </x:si>
  <x:si>
    <x:t>Tehilim (2007)</x:t>
  </x:si>
  <x:si>
    <x:t>Teletubbies. Anem a cantar amb els Teletubbies (1997)</x:t>
  </x:si>
  <x:si>
    <x:t>Teletubbies. Animals petits i grans (1997)</x:t>
  </x:si>
  <x:si>
    <x:t>Teletubbies. Balla amb els Teletubbies! (2004)</x:t>
  </x:si>
  <x:si>
    <x:t>Teletubbies. Preparats, llestos, ja! (1999)</x:t>
  </x:si>
  <x:si>
    <x:t>Témer la policia (2018)</x:t>
  </x:si>
  <x:si>
    <x:t>Tempesta sobre el Nil (1955)</x:t>
  </x:si>
  <x:si>
    <x:t>Tempesta virtual (2002)</x:t>
  </x:si>
  <x:si>
    <x:t>Templer (2011)</x:t>
  </x:si>
  <x:si>
    <x:t>Temps afegit (2002)</x:t>
  </x:si>
  <x:si>
    <x:t>Temps de glòria (1989)</x:t>
  </x:si>
  <x:si>
    <x:t>Temps de pioners (2017)</x:t>
  </x:si>
  <x:si>
    <x:t>Temps moderns [VO] (1936)</x:t>
  </x:si>
  <x:si>
    <x:t>Temptació a Manhattan (2011)</x:t>
  </x:si>
  <x:si>
    <x:t>Tempus fugit (2003)</x:t>
  </x:si>
  <x:si>
    <x:t>Tenderness (2009)</x:t>
  </x:si>
  <x:si>
    <x:t>Tendre i poc fet (2020)</x:t>
  </x:si>
  <x:si>
    <x:t>Tenor (2022)</x:t>
  </x:si>
  <x:si>
    <x:t>Tens un e-mail (1998)</x:t>
  </x:si>
  <x:si>
    <x:t>Teorema zero (2013)</x:t>
  </x:si>
  <x:si>
    <x:t>Teràpies de malson (2021)</x:t>
  </x:si>
  <x:si>
    <x:t>Tercera identitat (2004)</x:t>
  </x:si>
  <x:si>
    <x:t>Terenci Moix: la fabulació infinita (2023)</x:t>
  </x:si>
  <x:si>
    <x:t>Teresa Forcades: El capitalisme no és ètic (2012)</x:t>
  </x:si>
  <x:si>
    <x:t>Teresa i Tim (2016)</x:t>
  </x:si>
  <x:si>
    <x:t>Terminator I (1984)</x:t>
  </x:si>
  <x:si>
    <x:t>Terminator II El judici final (1991)</x:t>
  </x:si>
  <x:si>
    <x:t>Terminator III La rebel·lió de les màquines (2003)</x:t>
  </x:si>
  <x:si>
    <x:t>Terminator Salvation (2009)</x:t>
  </x:si>
  <x:si>
    <x:t>Terra (2007)</x:t>
  </x:si>
  <x:si>
    <x:t>Terra Baixa (1982)</x:t>
  </x:si>
  <x:si>
    <x:t>Terra baixa (2011)</x:t>
  </x:si>
  <x:si>
    <x:t>Terra de Déu (2017)</x:t>
  </x:si>
  <x:si>
    <x:t>Terra de faraons (1955)</x:t>
  </x:si>
  <x:si>
    <x:t>Terra de telers (2020)</x:t>
  </x:si>
  <x:si>
    <x:t>Terra de violència (1956)</x:t>
  </x:si>
  <x:si>
    <x:t>Terra ferma (2017)</x:t>
  </x:si>
  <x:si>
    <x:t>Terra i llibertat (1995)</x:t>
  </x:si>
  <x:si>
    <x:t>Terra Lliure, punt final (2007)</x:t>
  </x:si>
  <x:si>
    <x:t>Terra Willy, planeta desconegut (2019)</x:t>
  </x:si>
  <x:si>
    <x:t>Terranova (1989)</x:t>
  </x:si>
  <x:si>
    <x:t>Terratrèmol (1974)</x:t>
  </x:si>
  <x:si>
    <x:t>Territori Al-Qaeda (2012)</x:t>
  </x:si>
  <x:si>
    <x:t>Territori hostil (2022)</x:t>
  </x:si>
  <x:si>
    <x:t>Territori prohibit (2009)</x:t>
  </x:si>
  <x:si>
    <x:t>Terror a l'abisme (2002)</x:t>
  </x:si>
  <x:si>
    <x:t>Terror en la boira (2005)</x:t>
  </x:si>
  <x:si>
    <x:t>Terrorífica lluna de mel (1986)</x:t>
  </x:si>
  <x:si>
    <x:t>Terrrific (1992)</x:t>
  </x:si>
  <x:si>
    <x:t>Tess (1979)</x:t>
  </x:si>
  <x:si>
    <x:t>Testimoni accidental (1990)</x:t>
  </x:si>
  <x:si>
    <x:t>Testimoni d'un assassinat (1954)</x:t>
  </x:si>
  <x:si>
    <x:t>Testimoni de càrrec (1957)</x:t>
  </x:si>
  <x:si>
    <x:t>Testimoni de càrrec (2016)</x:t>
  </x:si>
  <x:si>
    <x:t>Testimoni desprotegida (2018)</x:t>
  </x:si>
  <x:si>
    <x:t>Teus, meus i nostres (2005)</x:t>
  </x:si>
  <x:si>
    <x:t>Texas (1941)</x:t>
  </x:si>
  <x:si>
    <x:t>The Amazing Spider-Man (2012)</x:t>
  </x:si>
  <x:si>
    <x:t>The Amazing Spider-Man 2. El poder de l'Electro (2014)</x:t>
  </x:si>
  <x:si>
    <x:t>The Apprentice (la història de Trump) (2024)</x:t>
  </x:si>
  <x:si>
    <x:t>The Arctic Convoy (2023)</x:t>
  </x:si>
  <x:si>
    <x:t>The Assistant (2019)</x:t>
  </x:si>
  <x:si>
    <x:t>The Babadook (2014)</x:t>
  </x:si>
  <x:si>
    <x:t>The Batman (2022)</x:t>
  </x:si>
  <x:si>
    <x:t>The Beast (2019)</x:t>
  </x:si>
  <x:si>
    <x:t>The Beatles: Eight Days a Week (2016)</x:t>
  </x:si>
  <x:si>
    <x:t>The Belko Experiment (2016)</x:t>
  </x:si>
  <x:si>
    <x:t>The Birthday (2004)</x:t>
  </x:si>
  <x:si>
    <x:t>The Blind Side: un somni possible (2009)</x:t>
  </x:si>
  <x:si>
    <x:t>The blue girl [VOSC] (2021)</x:t>
  </x:si>
  <x:si>
    <x:t>The Body (El cos) (2001)</x:t>
  </x:si>
  <x:si>
    <x:t>The Box (2009)</x:t>
  </x:si>
  <x:si>
    <x:t>The Broken (2008)</x:t>
  </x:si>
  <x:si>
    <x:t>The Cabin in the Woods [VOSC] (2012)</x:t>
  </x:si>
  <x:si>
    <x:t>The Code (2009)</x:t>
  </x:si>
  <x:si>
    <x:t>The Contract (2006)</x:t>
  </x:si>
  <x:si>
    <x:t>The Damned United (2009)</x:t>
  </x:si>
  <x:si>
    <x:t>The Dead Girl (2006)</x:t>
  </x:si>
  <x:si>
    <x:t>The Deep Blue Sea (2011)</x:t>
  </x:si>
  <x:si>
    <x:t>The Deer King: El rei cérvol (2021)</x:t>
  </x:si>
  <x:si>
    <x:t>The Disaster Artist (2017)</x:t>
  </x:si>
  <x:si>
    <x:t>The Dish, La Lluna en directe [VOSC] (2000)</x:t>
  </x:si>
  <x:si>
    <x:t>The Escape [VOSC] (2016)</x:t>
  </x:si>
  <x:si>
    <x:t>The Eye (Visions) (2008)</x:t>
  </x:si>
  <x:si>
    <x:t>The Faculty (1999)</x:t>
  </x:si>
  <x:si>
    <x:t>The Fake (2013)</x:t>
  </x:si>
  <x:si>
    <x:t>The Fall: El somni d'Alexandria (2006)</x:t>
  </x:si>
  <x:si>
    <x:t>The Farewell (2019)</x:t>
  </x:si>
  <x:si>
    <x:t>The Fighter (2010)</x:t>
  </x:si>
  <x:si>
    <x:t>The First Slam Dunk (2022)</x:t>
  </x:si>
  <x:si>
    <x:t>The Frost (El gebre) (2009)</x:t>
  </x:si>
  <x:si>
    <x:t>The game (1997)</x:t>
  </x:si>
  <x:si>
    <x:t>The Generation of Evil (Els corruptes) (2021)</x:t>
  </x:si>
  <x:si>
    <x:t>The Gentlemen: Els senyors de la màfia (2019)</x:t>
  </x:si>
  <x:si>
    <x:t>The German (2008)</x:t>
  </x:si>
  <x:si>
    <x:t>The Glorias (2020)</x:t>
  </x:si>
  <x:si>
    <x:t>The Good Traitor (L'ambaixador Kauffmann) (2020)</x:t>
  </x:si>
  <x:si>
    <x:t>The Grandmaster (2013)</x:t>
  </x:si>
  <x:si>
    <x:t>The Green Hornet (2011)</x:t>
  </x:si>
  <x:si>
    <x:t>The Gunfighter [VOSC] (2013)</x:t>
  </x:si>
  <x:si>
    <x:t>The Haunting, La casa infernal (1999)</x:t>
  </x:si>
  <x:si>
    <x:t>The Hole (2009)</x:t>
  </x:si>
  <x:si>
    <x:t>The Horror Bus (2005)</x:t>
  </x:si>
  <x:si>
    <x:t>The Human Tower [VOSC] (2012)</x:t>
  </x:si>
  <x:si>
    <x:t>The Informer (2019)</x:t>
  </x:si>
  <x:si>
    <x:t>The International (diners a l'ombra) (2009)</x:t>
  </x:si>
  <x:si>
    <x:t>The Interview (L'entrevista) (2014)</x:t>
  </x:si>
  <x:si>
    <x:t>The Jacket (2005)</x:t>
  </x:si>
  <x:si>
    <x:t>The Jungle Bunch. La colla de la selva (2017)</x:t>
  </x:si>
  <x:si>
    <x:t>The Kid [VOSC] (1921)</x:t>
  </x:si>
  <x:si>
    <x:t>The Kindergarten Teacher [VOSC] (2018)</x:t>
  </x:si>
  <x:si>
    <x:t>The Last Showgirl [VOSC] (2024)</x:t>
  </x:si>
  <x:si>
    <x:t>The Last Temptation of Christ [VOSC] (1988)</x:t>
  </x:si>
  <x:si>
    <x:t>The Little Matchgirl (2006)</x:t>
  </x:si>
  <x:si>
    <x:t>The Lost Daughter [VOSC] (2021)</x:t>
  </x:si>
  <x:si>
    <x:t>The Lost King (2022)</x:t>
  </x:si>
  <x:si>
    <x:t>The Master (2012)</x:t>
  </x:si>
  <x:si>
    <x:t>The Mauritanian (2021)</x:t>
  </x:si>
  <x:si>
    <x:t>The Miseducation of Cameron Post [VOSC] (2018)</x:t>
  </x:si>
  <x:si>
    <x:t>The Nest (2020)</x:t>
  </x:si>
  <x:si>
    <x:t>The Nomad Experience (2006)</x:t>
  </x:si>
  <x:si>
    <x:t>The Pale Blue Eye [VOSC] (2022)</x:t>
  </x:si>
  <x:si>
    <x:t>The Passion of the Christ [VOSC] (2004)</x:t>
  </x:si>
  <x:si>
    <x:t>The Pelayos (2012)</x:t>
  </x:si>
  <x:si>
    <x:t>The Piano Player (2002)</x:t>
  </x:si>
  <x:si>
    <x:t>The Possession: L'origen del mal (2012)</x:t>
  </x:si>
  <x:si>
    <x:t>The Program (2015)</x:t>
  </x:si>
  <x:si>
    <x:t>The Quiet Girl (2022)</x:t>
  </x:si>
  <x:si>
    <x:t>The Red Suitcase [VOSC] (2023)</x:t>
  </x:si>
  <x:si>
    <x:t>The Relic (1997)</x:t>
  </x:si>
  <x:si>
    <x:t>The Ring II (2005)</x:t>
  </x:si>
  <x:si>
    <x:t>The Rocky Horror Picture Show [VOSC] (1975)</x:t>
  </x:si>
  <x:si>
    <x:t>The Roommate (2011)</x:t>
  </x:si>
  <x:si>
    <x:t>The Royal Game (2021)</x:t>
  </x:si>
  <x:si>
    <x:t>The Runaways (2010)</x:t>
  </x:si>
  <x:si>
    <x:t>The Shining [VOSC] (1980)</x:t>
  </x:si>
  <x:si>
    <x:t>The Skulls. Societat Secreta (2000)</x:t>
  </x:si>
  <x:si>
    <x:t>The Sky Crawlers (2008)</x:t>
  </x:si>
  <x:si>
    <x:t>The Snowman and the Snowdog (2012)</x:t>
  </x:si>
  <x:si>
    <x:t>The Spine of Night (2021)</x:t>
  </x:si>
  <x:si>
    <x:t>The Spirit (2008)</x:t>
  </x:si>
  <x:si>
    <x:t>The Thing [VOSC] (1982)</x:t>
  </x:si>
  <x:si>
    <x:t>The Town: ciutat de lladres (2010)</x:t>
  </x:si>
  <x:si>
    <x:t>The Transporter Refueled (2015)</x:t>
  </x:si>
  <x:si>
    <x:t>The Trip (2010)</x:t>
  </x:si>
  <x:si>
    <x:t>The Unknown [VOSC] (1927)</x:t>
  </x:si>
  <x:si>
    <x:t>The Unthinkable (2018)</x:t>
  </x:si>
  <x:si>
    <x:t>The Voorman Problem [VOSC] (2011)</x:t>
  </x:si>
  <x:si>
    <x:t>The Wall (2017)</x:t>
  </x:si>
  <x:si>
    <x:t>The Way (2010)</x:t>
  </x:si>
  <x:si>
    <x:t>The Who Maximum R&amp;B (1994)</x:t>
  </x:si>
  <x:si>
    <x:t>The Witch in the Window [VOSC] (2018)</x:t>
  </x:si>
  <x:si>
    <x:t>The women (2008)</x:t>
  </x:si>
  <x:si>
    <x:t>The Yellow Sea (2010)</x:t>
  </x:si>
  <x:si>
    <x:t>Thelma i Louise (1991)</x:t>
  </x:si>
  <x:si>
    <x:t>Thérèse Desqueyroux (2012)</x:t>
  </x:si>
  <x:si>
    <x:t>This Is It [VOSC] (2009)</x:t>
  </x:si>
  <x:si>
    <x:t>Thomas enamorat (2000)</x:t>
  </x:si>
  <x:si>
    <x:t>Thor: La llegenda del martell màgic (2011)</x:t>
  </x:si>
  <x:si>
    <x:t>Thumbsucker (2005)</x:t>
  </x:si>
  <x:si>
    <x:t>Ti mangio il cuore (2022)</x:t>
  </x:si>
  <x:si>
    <x:t>Tic Tac (1997)</x:t>
  </x:si>
  <x:si>
    <x:t>Tigre i drac (2000)</x:t>
  </x:si>
  <x:si>
    <x:t>Tigres enfilats (2014)</x:t>
  </x:si>
  <x:si>
    <x:t>Till (2022)</x:t>
  </x:si>
  <x:si>
    <x:t>Timbaler del Bruc (1982)</x:t>
  </x:si>
  <x:si>
    <x:t>Timbuktu (2014)</x:t>
  </x:si>
  <x:si>
    <x:t>Timewatch Stonehenge (2008)</x:t>
  </x:si>
  <x:si>
    <x:t>Tímids anònims (2010)</x:t>
  </x:si>
  <x:si>
    <x:t>Tina Superbruixa i el viatge a Mandolan (2011)</x:t>
  </x:si>
  <x:si>
    <x:t>Tina Superbruixa: Nova aventura d'hivern (2017)</x:t>
  </x:si>
  <x:si>
    <x:t>Tinent corrupte (2009)</x:t>
  </x:si>
  <x:si>
    <x:t>Tintín a Amèrica (1991)</x:t>
  </x:si>
  <x:si>
    <x:t>Tintín al país de l'or negre (1991)</x:t>
  </x:si>
  <x:si>
    <x:t>Tintín al Tibet (1992)</x:t>
  </x:si>
  <x:si>
    <x:t>Tintín i el llac dels taurons (1972)</x:t>
  </x:si>
  <x:si>
    <x:t>Tintín i el misteri del toisó d'or (1961)</x:t>
  </x:si>
  <x:si>
    <x:t>Tintín i els Pícaros (1992)</x:t>
  </x:si>
  <x:si>
    <x:t>Tipitips Qui balla (2010)</x:t>
  </x:si>
  <x:si>
    <x:t>Tipitips: Qui juga? (2010)</x:t>
  </x:si>
  <x:si>
    <x:t>Tirant lo Blanc (2005)</x:t>
  </x:si>
  <x:si>
    <x:t>Titan A.E. (2000)</x:t>
  </x:si>
  <x:si>
    <x:t>Titane (2021)</x:t>
  </x:si>
  <x:si>
    <x:t>Toc-toc (2015)</x:t>
  </x:si>
  <x:si>
    <x:t>Tocant el mar (2011)</x:t>
  </x:si>
  <x:si>
    <x:t>Tocar i parar (2018)</x:t>
  </x:si>
  <x:si>
    <x:t>Tocat (1997)</x:t>
  </x:si>
  <x:si>
    <x:t>Tocats pel foc (2020)</x:t>
  </x:si>
  <x:si>
    <x:t>Tokarev (2014)</x:t>
  </x:si>
  <x:si>
    <x:t>Tokyo Shaking (2021)</x:t>
  </x:si>
  <x:si>
    <x:t>Tolkien (2019)</x:t>
  </x:si>
  <x:si>
    <x:t>Toloriu (2020)</x:t>
  </x:si>
  <x:si>
    <x:t>Tolyatti Adrift (Tolyatti a la deriva) (2022)</x:t>
  </x:si>
  <x:si>
    <x:t>Tom Horn (1980)</x:t>
  </x:si>
  <x:si>
    <x:t>Tom i Jerry (2021)</x:t>
  </x:si>
  <x:si>
    <x:t>Tom i Jerry: El drac perdut (2014)</x:t>
  </x:si>
  <x:si>
    <x:t>Tom i Jerry: El Trencanous (2007)</x:t>
  </x:si>
  <x:si>
    <x:t>Tom i Jerry: La pel·lícula (1992)</x:t>
  </x:si>
  <x:si>
    <x:t>Tom i Jerry: Missió a Mart (2005)</x:t>
  </x:si>
  <x:si>
    <x:t>Tom Sawyer (2011)</x:t>
  </x:si>
  <x:si>
    <x:t>Tom yum goong - El drac de Tailàndia (2005)</x:t>
  </x:si>
  <x:si>
    <x:t>Tomàquets verds fregits (1991)</x:t>
  </x:si>
  <x:si>
    <x:t>Tombstone (1993)</x:t>
  </x:si>
  <x:si>
    <x:t>Tomeu Penya - 30 anys després (2010)</x:t>
  </x:si>
  <x:si>
    <x:t>Tommy (1975)</x:t>
  </x:si>
  <x:si>
    <x:t>Tooth, La fada de les dents (2004)</x:t>
  </x:si>
  <x:si>
    <x:t>Tootsie (1982)</x:t>
  </x:si>
  <x:si>
    <x:t>Top Gun (1986)</x:t>
  </x:si>
  <x:si>
    <x:t>Topaz (1969)</x:t>
  </x:si>
  <x:si>
    <x:t>Topografia de la memòria (2008)</x:t>
  </x:si>
  <x:si>
    <x:t>Tor, la muntanya maleïda (1997)</x:t>
  </x:si>
  <x:si>
    <x:t>Toresky: el prodigi de la imaginació (2024)</x:t>
  </x:si>
  <x:si>
    <x:t>Torna La Trinca (2022)</x:t>
  </x:si>
  <x:si>
    <x:t>Tornada a casa de la meva filla (2021)</x:t>
  </x:si>
  <x:si>
    <x:t>Tornar a casa (2010)</x:t>
  </x:si>
  <x:si>
    <x:t>Tornar a casa (2013)</x:t>
  </x:si>
  <x:si>
    <x:t>Tornar a casa per Nadal (2013)</x:t>
  </x:si>
  <x:si>
    <x:t>Tornar a començar (2015)</x:t>
  </x:si>
  <x:si>
    <x:t>Tornar a començar (2020)</x:t>
  </x:si>
  <x:si>
    <x:t>Tornar a l'amor (2017)</x:t>
  </x:si>
  <x:si>
    <x:t>Tornar a morir [VOSC] (1991)</x:t>
  </x:si>
  <x:si>
    <x:t>Tornar a néixer (2012)</x:t>
  </x:si>
  <x:si>
    <x:t>Tornar a ser nosaltres (2021)</x:t>
  </x:si>
  <x:si>
    <x:t>Tornarem (2011)</x:t>
  </x:si>
  <x:si>
    <x:t>Torno a casa de la meva mare (2016)</x:t>
  </x:si>
  <x:si>
    <x:t>Toro Salvatge (1980)</x:t>
  </x:si>
  <x:si>
    <x:t>Tortugues ninja joves mutants (2007)</x:t>
  </x:si>
  <x:si>
    <x:t>Toscana (2021)</x:t>
  </x:si>
  <x:si>
    <x:t>Tot alhora a tot arreu (2022)</x:t>
  </x:si>
  <x:si>
    <x:t>Tot assajant Flotats (2024)</x:t>
  </x:si>
  <x:si>
    <x:t>Tot coses bones (2010)</x:t>
  </x:si>
  <x:si>
    <x:t>Tot el que ha volgut saber sempre sobre el sexe que no ha gosat preguntar mai (1972)</x:t>
  </x:si>
  <x:si>
    <x:t>Tot ens separa (2017)</x:t>
  </x:si>
  <x:si>
    <x:t>Tot esperant el Rei (2016)</x:t>
  </x:si>
  <x:si>
    <x:t>Tot passa a Tel Aviv (2018)</x:t>
  </x:si>
  <x:si>
    <x:t>Tot passejant Miss Daisy (1989)</x:t>
  </x:si>
  <x:si>
    <x:t>Tot per amor (2017)</x:t>
  </x:si>
  <x:si>
    <x:t>Tot per la Grace (2018)</x:t>
  </x:si>
  <x:si>
    <x:t>Tot per la meva filla (2013)</x:t>
  </x:si>
  <x:si>
    <x:t>Tot per un somni (1995)</x:t>
  </x:si>
  <x:si>
    <x:t>Tot sobre Eva (1950)</x:t>
  </x:si>
  <x:si>
    <x:t>Tothom diu, I love you (1996)</x:t>
  </x:si>
  <x:si>
    <x:t>Tots els camins de Déu (2014)</x:t>
  </x:si>
  <x:si>
    <x:t>Tots els camins porten a casa (2008)</x:t>
  </x:si>
  <x:si>
    <x:t>Tots els cavalls bonics (2000)</x:t>
  </x:si>
  <x:si>
    <x:t>Tots els diners del món (2017)</x:t>
  </x:si>
  <x:si>
    <x:t>Tots els germans eren valents (1953)</x:t>
  </x:si>
  <x:si>
    <x:t>Tots els gossos van al cel 2 (1996)</x:t>
  </x:si>
  <x:si>
    <x:t>Tots els homes del President (1976)</x:t>
  </x:si>
  <x:si>
    <x:t>Tots els matins del món [VOSC] (1991)</x:t>
  </x:si>
  <x:si>
    <x:t>Tots estan bé (2009)</x:t>
  </x:si>
  <x:si>
    <x:t>Tots junts! La Festa dels Súpers (2016)</x:t>
  </x:si>
  <x:si>
    <x:t>Tots som 1 - 15 anys de ràdio (2015)</x:t>
  </x:si>
  <x:si>
    <x:t>Tots vigilats (2020)</x:t>
  </x:si>
  <x:si>
    <x:t>Tots volem el millor per a ella (2013)</x:t>
  </x:si>
  <x:si>
    <x:t>Toy Story 3 (2010)</x:t>
  </x:si>
  <x:si>
    <x:t>Toy Story 4 (2019)</x:t>
  </x:si>
  <x:si>
    <x:t>Tracers (2015)</x:t>
  </x:si>
  <x:si>
    <x:t>Traïdor (2008)</x:t>
  </x:si>
  <x:si>
    <x:t>Train to Busan (2016)</x:t>
  </x:si>
  <x:si>
    <x:t>Training day: dia d'entrenament (2001)</x:t>
  </x:si>
  <x:si>
    <x:t>Transcendència (2014)</x:t>
  </x:si>
  <x:si>
    <x:t>Transformers One (2024)</x:t>
  </x:si>
  <x:si>
    <x:t>Transgression (2011)</x:t>
  </x:si>
  <x:si>
    <x:t>Transport espacial (1996)</x:t>
  </x:si>
  <x:si>
    <x:t>Transporter 2 (2005)</x:t>
  </x:si>
  <x:si>
    <x:t>Transporter 3 (2008)</x:t>
  </x:si>
  <x:si>
    <x:t>Transsiberià (2008)</x:t>
  </x:si>
  <x:si>
    <x:t>Transylvania (2006)</x:t>
  </x:si>
  <x:si>
    <x:t>Tranuites Circus (2007)</x:t>
  </x:si>
  <x:si>
    <x:t>Trasto: De la mansió al carrer (2019)</x:t>
  </x:si>
  <x:si>
    <x:t>Trastorn (2006)</x:t>
  </x:si>
  <x:si>
    <x:t>Trauma (2004)</x:t>
  </x:si>
  <x:si>
    <x:t>Travessar la frontera (2024)</x:t>
  </x:si>
  <x:si>
    <x:t>Treballs d'amors perduts (2000)</x:t>
  </x:si>
  <x:si>
    <x:t>Trek to Neverland [VOSC] (2022)</x:t>
  </x:si>
  <x:si>
    <x:t>Tren de nit a Lisboa (2013)</x:t>
  </x:si>
  <x:si>
    <x:t>Trencaneu (2013)</x:t>
  </x:si>
  <x:si>
    <x:t>Trencant les regles (2008)</x:t>
  </x:si>
  <x:si>
    <x:t>Tres (2021)</x:t>
  </x:si>
  <x:si>
    <x:t>Tres colors Blau (1993)</x:t>
  </x:si>
  <x:si>
    <x:t>Tres colors: Blanc (1994)</x:t>
  </x:si>
  <x:si>
    <x:t>Tres colors: Vermell (1994)</x:t>
  </x:si>
  <x:si>
    <x:t>Tres cops vint anys (2011)</x:t>
  </x:si>
  <x:si>
    <x:t>Tres de farra per Nadal (2015)</x:t>
  </x:si>
  <x:si>
    <x:t>Tres dies amb la família (2009)</x:t>
  </x:si>
  <x:si>
    <x:t>Tres dones i un pla (2008)</x:t>
  </x:si>
  <x:si>
    <x:t>Tres pisos (2021)</x:t>
  </x:si>
  <x:si>
    <x:t>Tres setmanes, tres nens (2011)</x:t>
  </x:si>
  <x:si>
    <x:t>Tres vides errants (1960)</x:t>
  </x:si>
  <x:si>
    <x:t>Tres-cents (2006)</x:t>
  </x:si>
  <x:si>
    <x:t>Tresor (2009)</x:t>
  </x:si>
  <x:si>
    <x:t>Tretze dies (2000)</x:t>
  </x:si>
  <x:si>
    <x:t>Tretze vides (2022)</x:t>
  </x:si>
  <x:si>
    <x:t>Triangle [VOSC] (2009)</x:t>
  </x:si>
  <x:si>
    <x:t>Tribunal de comptes (2022)</x:t>
  </x:si>
  <x:si>
    <x:t>Tricicle 40 (2020)</x:t>
  </x:si>
  <x:si>
    <x:t>Trio: La recerca del santuari sagrat (2017)</x:t>
  </x:si>
  <x:si>
    <x:t>Triple X (2002)</x:t>
  </x:si>
  <x:si>
    <x:t>Tristram Shandy (A Cock and Bull Story) (2005)</x:t>
  </x:si>
  <x:si>
    <x:t>Trobades a la fi del món (2007)</x:t>
  </x:si>
  <x:si>
    <x:t>Trobaràs dracs (2011)</x:t>
  </x:si>
  <x:si>
    <x:t>Troia (2004)</x:t>
  </x:si>
  <x:si>
    <x:t>Trolls 3: Tots junts (2023)</x:t>
  </x:si>
  <x:si>
    <x:t>Trolls II Gira mundial (2020)</x:t>
  </x:si>
  <x:si>
    <x:t>Tropa d'elit (2007)</x:t>
  </x:si>
  <x:si>
    <x:t>Tros (2021)</x:t>
  </x:si>
  <x:si>
    <x:t>Trucada perduda (2003)</x:t>
  </x:si>
  <x:si>
    <x:t>Truman (2015)</x:t>
  </x:si>
  <x:si>
    <x:t>Trump a la Casa Blanca. Pànic als Estats Units? (2025)</x:t>
  </x:si>
  <x:si>
    <x:t>Truqueu a qualsevol porta (1949)</x:t>
  </x:si>
  <x:si>
    <x:t>Tsahal: Un estat dins de l'estat (2025)</x:t>
  </x:si>
  <x:si>
    <x:t>Tu assassina que nosaltres netejarem la sang (1996)</x:t>
  </x:si>
  <x:si>
    <x:t>Tu ets el següent (2011)</x:t>
  </x:si>
  <x:si>
    <x:t>Tu i jo i els arbres de Nadal (2021)</x:t>
  </x:si>
  <x:si>
    <x:t>Tulipes a la primavera (2016)</x:t>
  </x:si>
  <x:si>
    <x:t>Tulsa (1949)</x:t>
  </x:si>
  <x:si>
    <x:t>Túnel de Gotard, la gran obra del segle XIX (2016)</x:t>
  </x:si>
  <x:si>
    <x:t>Turbo (2013)</x:t>
  </x:si>
  <x:si>
    <x:t>Turistes (2006)</x:t>
  </x:si>
  <x:si>
    <x:t>Turistes de l'espai (2009)</x:t>
  </x:si>
  <x:si>
    <x:t>Tusk (2014)</x:t>
  </x:si>
  <x:si>
    <x:t>Twelve (2010)</x:t>
  </x:si>
  <x:si>
    <x:t>Twin Peaks: Foc camina amb mi (1992)</x:t>
  </x:si>
  <x:si>
    <x:t>Twister (1996)</x:t>
  </x:si>
  <x:si>
    <x:t>Tyrannosaur (Redenció) (2011)</x:t>
  </x:si>
  <x:si>
    <x:t>U-571 (2000)</x:t>
  </x:si>
  <x:si>
    <x:t>U.S. Marshals (1998)</x:t>
  </x:si>
  <x:si>
    <x:t>Ucraïna, sobre la pista dels botxins (2023)</x:t>
  </x:si>
  <x:si>
    <x:t>Ullals [VOSC] (2009)</x:t>
  </x:si>
  <x:si>
    <x:t>Ulls de tigre (2012)</x:t>
  </x:si>
  <x:si>
    <x:t>Ulls grossos (2014)</x:t>
  </x:si>
  <x:si>
    <x:t>Últim avís (2007)</x:t>
  </x:si>
  <x:si>
    <x:t>Última nit a Milà (2023)</x:t>
  </x:si>
  <x:si>
    <x:t>Ultraviolet (2006)</x:t>
  </x:si>
  <x:si>
    <x:t>Un "like" de Bob Trevino (2024)</x:t>
  </x:si>
  <x:si>
    <x:t>Un acord original (2018)</x:t>
  </x:si>
  <x:si>
    <x:t>Un afer reial (2012)</x:t>
  </x:si>
  <x:si>
    <x:t>Un altre cop 17 (2009)</x:t>
  </x:si>
  <x:si>
    <x:t>Un altre temps (2018)</x:t>
  </x:si>
  <x:si>
    <x:t>Un americà a Paris (1951)</x:t>
  </x:si>
  <x:si>
    <x:t>Un amic extraordinari (2019)</x:t>
  </x:si>
  <x:si>
    <x:t>Un amic per a en Frank (2012)</x:t>
  </x:si>
  <x:si>
    <x:t>Un amor (2023)</x:t>
  </x:si>
  <x:si>
    <x:t>Un amor a Escòcia (2021)</x:t>
  </x:si>
  <x:si>
    <x:t>Un amor accidentat (2020)</x:t>
  </x:si>
  <x:si>
    <x:t>Un amor d'hivern (2021)</x:t>
  </x:si>
  <x:si>
    <x:t>Un amor de novel·la (2015)</x:t>
  </x:si>
  <x:si>
    <x:t>Un amor entre dos mons (2012)</x:t>
  </x:si>
  <x:si>
    <x:t>Un amor salvatge (2019)</x:t>
  </x:si>
  <x:si>
    <x:t>Un any difícil (2023)</x:t>
  </x:si>
  <x:si>
    <x:t>Un any, una nit (2022)</x:t>
  </x:si>
  <x:si>
    <x:t>Un berenar a Ginebra (2012)</x:t>
  </x:si>
  <x:si>
    <x:t>Un blanc perfecte (2000)</x:t>
  </x:si>
  <x:si>
    <x:t>Un boig a domicili (1996)</x:t>
  </x:si>
  <x:si>
    <x:t>Un bon americà (2015)</x:t>
  </x:si>
  <x:si>
    <x:t>Un bon americà [VOSC] (2015)</x:t>
  </x:si>
  <x:si>
    <x:t>Un bon any (2006)</x:t>
  </x:si>
  <x:si>
    <x:t>Un bon partit (2012)</x:t>
  </x:si>
  <x:si>
    <x:t>Un cabaret al camp (2022)</x:t>
  </x:si>
  <x:si>
    <x:t>Un cadàver per postres (1976)</x:t>
  </x:si>
  <x:si>
    <x:t>Un canvi inquietant (2021)</x:t>
  </x:si>
  <x:si>
    <x:t>Un cap de setmana mortal (2021)</x:t>
  </x:si>
  <x:si>
    <x:t>Un cas criminal (2021)</x:t>
  </x:si>
  <x:si>
    <x:t>Un casament de mort (2011)</x:t>
  </x:si>
  <x:si>
    <x:t>Un casament perfecte (2015)</x:t>
  </x:si>
  <x:si>
    <x:t>Un casament vermell de sang (2016)</x:t>
  </x:si>
  <x:si>
    <x:t>Un castell a Itàlia (2013)</x:t>
  </x:si>
  <x:si>
    <x:t>Un cel de plom (2023)</x:t>
  </x:si>
  <x:si>
    <x:t>Un concert a la Casa Blanca (2024)</x:t>
  </x:si>
  <x:si>
    <x:t>Un condemnat a mort s'escapa (1956)</x:t>
  </x:si>
  <x:si>
    <x:t>Un conte de Canterbury (1944)</x:t>
  </x:si>
  <x:si>
    <x:t>Un convidat per Nadal (2005)</x:t>
  </x:si>
  <x:si>
    <x:t>Un cop amb estil (2017)</x:t>
  </x:si>
  <x:si>
    <x:t>Un cop brillant (2013)</x:t>
  </x:si>
  <x:si>
    <x:t>Un cop de sort (2005)</x:t>
  </x:si>
  <x:si>
    <x:t>Un cor extraordinari (2017)</x:t>
  </x:si>
  <x:si>
    <x:t>Un cos al bosc (1996)</x:t>
  </x:si>
  <x:si>
    <x:t>Un crim perfecte (1998)</x:t>
  </x:si>
  <x:si>
    <x:t>Un dels nostres (1990)</x:t>
  </x:si>
  <x:si>
    <x:t>Un Déu salvatge (2011)</x:t>
  </x:si>
  <x:si>
    <x:t>Un dia a les curses (1937)</x:t>
  </x:si>
  <x:si>
    <x:t>Un dia perfecte (2015)</x:t>
  </x:si>
  <x:si>
    <x:t>Un dia perfecte per volar (2015)</x:t>
  </x:si>
  <x:si>
    <x:t>Un dia qualsevol (2019)</x:t>
  </x:si>
  <x:si>
    <x:t>Un dia qualsevol (2020)</x:t>
  </x:si>
  <x:si>
    <x:t>Un dia que durarà anys (2024)</x:t>
  </x:si>
  <x:si>
    <x:t>Un dia, una nit (2001)</x:t>
  </x:si>
  <x:si>
    <x:t>Un doctor al camp (2016)</x:t>
  </x:si>
  <x:si>
    <x:t>Un embolic inesperat (2020)</x:t>
  </x:si>
  <x:si>
    <x:t>Un engany de luxe (2006)</x:t>
  </x:si>
  <x:si>
    <x:t>Un esperit burleta (1945)</x:t>
  </x:si>
  <x:si>
    <x:t>Un estel fugaç (2024)</x:t>
  </x:si>
  <x:si>
    <x:t>Un estiu a la Provença (2007)</x:t>
  </x:si>
  <x:si>
    <x:t>Un estiu amb en Coo (2007)</x:t>
  </x:si>
  <x:si>
    <x:t>Un estiu per recordar (2016)</x:t>
  </x:si>
  <x:si>
    <x:t>Un estrany a casa (2015)</x:t>
  </x:si>
  <x:si>
    <x:t>Un extrany entre nosaltres (2001)</x:t>
  </x:si>
  <x:si>
    <x:t>Un far amb vista (2012)</x:t>
  </x:si>
  <x:si>
    <x:t>Un feliç esdeveniment (2011)</x:t>
  </x:si>
  <x:si>
    <x:t>Un fenomen televisiu (2020)</x:t>
  </x:si>
  <x:si>
    <x:t>Un final made in Hollywood (2002)</x:t>
  </x:si>
  <x:si>
    <x:t>Un funeral de mort (2007)</x:t>
  </x:si>
  <x:si>
    <x:t>Un geni amb l'aigua al coll (1983)</x:t>
  </x:si>
  <x:si>
    <x:t>Un gran dia per a elles (2008)</x:t>
  </x:si>
  <x:si>
    <x:t>Un heroi (2021)</x:t>
  </x:si>
  <x:si>
    <x:t>Un hípster a l'Espanya buida (2024)</x:t>
  </x:si>
  <x:si>
    <x:t>Un hivern a la platja (2012)</x:t>
  </x:si>
  <x:si>
    <x:t>Un home anomenat Ove (2015)</x:t>
  </x:si>
  <x:si>
    <x:t>Un home d'altura (2016)</x:t>
  </x:si>
  <x:si>
    <x:t>Un home de família (2016)</x:t>
  </x:si>
  <x:si>
    <x:t>Un home dur (2015)</x:t>
  </x:si>
  <x:si>
    <x:t>Un home en una terra salvatge (1971)</x:t>
  </x:si>
  <x:si>
    <x:t>Un home ideal (2015)</x:t>
  </x:si>
  <x:si>
    <x:t>Un home per a l'eternitat (1966)</x:t>
  </x:si>
  <x:si>
    <x:t>Un incident al pont d'Owl Creek [VOSC] (1962)</x:t>
  </x:si>
  <x:si>
    <x:t>Un infern de cristall (2017)</x:t>
  </x:si>
  <x:si>
    <x:t>Un intercanvi per Nadal (2016)</x:t>
  </x:si>
  <x:si>
    <x:t>Un italià a Noruega (2016)</x:t>
  </x:si>
  <x:si>
    <x:t>Un joc d'intel·ligència (2007)</x:t>
  </x:si>
  <x:si>
    <x:t>Un llarg viatge (2013)</x:t>
  </x:si>
  <x:si>
    <x:t>Un lloc a dalt de tot (1959)</x:t>
  </x:si>
  <x:si>
    <x:t>Un lloc comú (2024)</x:t>
  </x:si>
  <x:si>
    <x:t>Un lloc on caure mort (2014)</x:t>
  </x:si>
  <x:si>
    <x:t>Un lloc on refugiar-se (2013)</x:t>
  </x:si>
  <x:si>
    <x:t>Un lloc per quedar-s'hi (2011)</x:t>
  </x:si>
  <x:si>
    <x:t>Un lloc tranquil (2018)</x:t>
  </x:si>
  <x:si>
    <x:t>Un matí bonic (2022)</x:t>
  </x:si>
  <x:si>
    <x:t>Un món a la seva mida (1998)</x:t>
  </x:si>
  <x:si>
    <x:t>Un món de fantasia (1971)</x:t>
  </x:si>
  <x:si>
    <x:t>Un món estrany (2022)</x:t>
  </x:si>
  <x:si>
    <x:t>Un món perfecte (1993)</x:t>
  </x:si>
  <x:si>
    <x:t>Un mos exquisit (2021)</x:t>
  </x:si>
  <x:si>
    <x:t>Un mur al Nil (2023)</x:t>
  </x:si>
  <x:si>
    <x:t>Un Nadal diferent (2018)</x:t>
  </x:si>
  <x:si>
    <x:t>Un Nadal inesperat (2021)</x:t>
  </x:si>
  <x:si>
    <x:t>Un negre amb un saxo (1988)</x:t>
  </x:si>
  <x:si>
    <x:t>Un nen gran (2002)</x:t>
  </x:si>
  <x:si>
    <x:t>Un no és teu (2015)</x:t>
  </x:si>
  <x:si>
    <x:t>Un noi dolent (2020)</x:t>
  </x:si>
  <x:si>
    <x:t>Un novembre preciós (1969)</x:t>
  </x:si>
  <x:si>
    <x:t>Un pare sortit de mare (2012)</x:t>
  </x:si>
  <x:si>
    <x:t>Un parell d'ous (1985)</x:t>
  </x:si>
  <x:si>
    <x:t>Un pas endavant (2022)</x:t>
  </x:si>
  <x:si>
    <x:t>Un passeig amb la Madeleine (2022)</x:t>
  </x:si>
  <x:si>
    <x:t>Un passeig pel bosc (2015)</x:t>
  </x:si>
  <x:si>
    <x:t>Un passeig pel Dalí (2021)</x:t>
  </x:si>
  <x:si>
    <x:t>Un passeig pel Museu de Montserrat (2022)</x:t>
  </x:si>
  <x:si>
    <x:t>Un patrimoni incòmode (2026)</x:t>
  </x:si>
  <x:si>
    <x:t>Un peix fora del mar (2011)</x:t>
  </x:si>
  <x:si>
    <x:t>Un penques de confiança (2005)</x:t>
  </x:si>
  <x:si>
    <x:t>Un per a totes (2005)</x:t>
  </x:si>
  <x:si>
    <x:t>Un per a tots (2020)</x:t>
  </x:si>
  <x:si>
    <x:t>Un perfum de sang (2015)</x:t>
  </x:si>
  <x:si>
    <x:t>Un personatge genial (1983)</x:t>
  </x:si>
  <x:si>
    <x:t>Un petit canvi (2010)</x:t>
  </x:si>
  <x:si>
    <x:t>Un petit contratemps (2021)</x:t>
  </x:si>
  <x:si>
    <x:t>Un pla brillant (2007)</x:t>
  </x:si>
  <x:si>
    <x:t>Un pla perfecte (2011)</x:t>
  </x:si>
  <x:si>
    <x:t>Un poble anomenat Dante's Peak (1996)</x:t>
  </x:si>
  <x:si>
    <x:t>Un poli (1972)</x:t>
  </x:si>
  <x:si>
    <x:t>Un policia en dificultats (2016)</x:t>
  </x:si>
  <x:si>
    <x:t>Un pont cap a Terabithia (2007)</x:t>
  </x:si>
  <x:si>
    <x:t>Un pont massa llunyà (1977)</x:t>
  </x:si>
  <x:si>
    <x:t>Un profeta (2009)</x:t>
  </x:si>
  <x:si>
    <x:t>Un racó de la Toscana (2005)</x:t>
  </x:si>
  <x:si>
    <x:t>Un regne unit (2016)</x:t>
  </x:si>
  <x:si>
    <x:t>Un rei per a quatre reines (1956)</x:t>
  </x:si>
  <x:si>
    <x:t>Un relat d'orient (2015)</x:t>
  </x:si>
  <x:si>
    <x:t>Un seguit de desgràcies catastròfiques de Lemony Snicket (2004)</x:t>
  </x:si>
  <x:si>
    <x:t>Un silenci (2023)</x:t>
  </x:si>
  <x:si>
    <x:t>Un sogre de lloguer (2026)</x:t>
  </x:si>
  <x:si>
    <x:t>Un somni de reis (1969)</x:t>
  </x:si>
  <x:si>
    <x:t>Un somni espacial (2011)</x:t>
  </x:si>
  <x:si>
    <x:t>Un tipus dur (1961)</x:t>
  </x:si>
  <x:si>
    <x:t>Un toc de seducció (2005)</x:t>
  </x:si>
  <x:si>
    <x:t>Un traïdor com els nostres (2016)</x:t>
  </x:si>
  <x:si>
    <x:t>Un tramvia anomenat Desig (1951)</x:t>
  </x:si>
  <x:si>
    <x:t>Un treball a Itàlia (1969)</x:t>
  </x:si>
  <x:si>
    <x:t>Un trosset de cel (2011)</x:t>
  </x:si>
  <x:si>
    <x:t>Un viatge a la Lluna (1902)</x:t>
  </x:si>
  <x:si>
    <x:t>Un viatge de deu metres (2014)</x:t>
  </x:si>
  <x:si>
    <x:t>Un, dos, tres (1961)</x:t>
  </x:si>
  <x:si>
    <x:t>Una agent molt especial (2019)</x:t>
  </x:si>
  <x:si>
    <x:t>Una altra dona (1988)</x:t>
  </x:si>
  <x:si>
    <x:t>Una altra ronda (2020)</x:t>
  </x:si>
  <x:si>
    <x:t>Una altra teràpia perillosa (2002)</x:t>
  </x:si>
  <x:si>
    <x:t>Una amistat inoblidable (2007)</x:t>
  </x:si>
  <x:si>
    <x:t>Una ampolla al mar de Gaza (2011)</x:t>
  </x:si>
  <x:si>
    <x:t>Una ànima en silenci (2005)</x:t>
  </x:si>
  <x:si>
    <x:t>Una aventura de nadal (2001)</x:t>
  </x:si>
  <x:si>
    <x:t>Una aventura salvatge (2014)</x:t>
  </x:si>
  <x:si>
    <x:t>Una boda a la Toscana (2014)</x:t>
  </x:si>
  <x:si>
    <x:t>Una boda al desembre (2016)</x:t>
  </x:si>
  <x:si>
    <x:t>Una boda per Nadal (2012)</x:t>
  </x:si>
  <x:si>
    <x:t>Una bona persona (2023)</x:t>
  </x:si>
  <x:si>
    <x:t>Una bossa de bales (2017)</x:t>
  </x:si>
  <x:si>
    <x:t>Una cançó del passat (2004)</x:t>
  </x:si>
  <x:si>
    <x:t>Una canço irlandesa (2020)</x:t>
  </x:si>
  <x:si>
    <x:t>Una cançó per a la Marion (2012)</x:t>
  </x:si>
  <x:si>
    <x:t>Una carta d'amor mortal (2021)</x:t>
  </x:si>
  <x:si>
    <x:t>Una carta d'amor per Nadal (2019)</x:t>
  </x:si>
  <x:si>
    <x:t>Una casa a Còrsega (2011)</x:t>
  </x:si>
  <x:si>
    <x:t>Una casa a la fi del món (2004)</x:t>
  </x:si>
  <x:si>
    <x:t>Una casa als afores (2018)</x:t>
  </x:si>
  <x:si>
    <x:t>Una casa de bojos (2002)</x:t>
  </x:si>
  <x:si>
    <x:t>Una casa potes enlaire (2007)</x:t>
  </x:si>
  <x:si>
    <x:t>Una casa, la família i un miracle (2017)</x:t>
  </x:si>
  <x:si>
    <x:t>Una certa veritat (2008)</x:t>
  </x:si>
  <x:si>
    <x:t>Una cita al parc (2017)</x:t>
  </x:si>
  <x:si>
    <x:t>Una cita amb el destí (2017)</x:t>
  </x:si>
  <x:si>
    <x:t>Una cita improvisada (2015)</x:t>
  </x:si>
  <x:si>
    <x:t>Una ciutat molt calenta (1984)</x:t>
  </x:si>
  <x:si>
    <x:t>Una conilleta al campus (2008)</x:t>
  </x:si>
  <x:si>
    <x:t>Una conversa amb Hitchcock [VOSC] (1998)</x:t>
  </x:si>
  <x:si>
    <x:t>Una convidada perillosa (2016)</x:t>
  </x:si>
  <x:si>
    <x:t>Una dama a París (2012)</x:t>
  </x:si>
  <x:si>
    <x:t>Una decisió perillosa (2014)</x:t>
  </x:si>
  <x:si>
    <x:t>Una dolça mentida (2010)</x:t>
  </x:si>
  <x:si>
    <x:t>Una dona a l'Àfrica (2009)</x:t>
  </x:si>
  <x:si>
    <x:t>Una dona enganyada (2017)</x:t>
  </x:si>
  <x:si>
    <x:t>Una dona, una pistola i una botiga de fideus xinesos (2009)</x:t>
  </x:si>
  <x:si>
    <x:t>Una educació (2009)</x:t>
  </x:si>
  <x:si>
    <x:t>Una estranya a la meva vida (2016)</x:t>
  </x:si>
  <x:si>
    <x:t>Una estrella de Nadal (2016)</x:t>
  </x:si>
  <x:si>
    <x:t>Una expedició al soterrani dels faraons (2006)</x:t>
  </x:si>
  <x:si>
    <x:t>Una família amb classe (2008)</x:t>
  </x:si>
  <x:si>
    <x:t>Una família de lloguer (2015)</x:t>
  </x:si>
  <x:si>
    <x:t>Una família de superherois (2022)</x:t>
  </x:si>
  <x:si>
    <x:t>Una família de Tòquio (2013)</x:t>
  </x:si>
  <x:si>
    <x:t>Una festa que surt malament (2021)</x:t>
  </x:si>
  <x:si>
    <x:t>Una gran aventura (1984)</x:t>
  </x:si>
  <x:si>
    <x:t>Una habitació amb vista (1985)</x:t>
  </x:si>
  <x:si>
    <x:t>Una història de debò (1999)</x:t>
  </x:si>
  <x:si>
    <x:t>Una història de Salzburg (2018)</x:t>
  </x:si>
  <x:si>
    <x:t>Una història de violència (2005)</x:t>
  </x:si>
  <x:si>
    <x:t>Una història del Bronx (1993)</x:t>
  </x:si>
  <x:si>
    <x:t>Una historia xinesa de fantasmes (1987)</x:t>
  </x:si>
  <x:si>
    <x:t>Una íntima convicció (2018)</x:t>
  </x:si>
  <x:si>
    <x:t>Una línia fina - Kilian Jornet (2012)</x:t>
  </x:si>
  <x:si>
    <x:t>Una llengua que camina (2011)</x:t>
  </x:si>
  <x:si>
    <x:t>Una ment meravellosa (2001)</x:t>
  </x:si>
  <x:si>
    <x:t>Una mica gelosa (2017)</x:t>
  </x:si>
  <x:si>
    <x:t>Una nit a Casablanca (1946)</x:t>
  </x:si>
  <x:si>
    <x:t>Una nit a l'òpera (1935)</x:t>
  </x:si>
  <x:si>
    <x:t>Una nit al teatre (1915)</x:t>
  </x:si>
  <x:si>
    <x:t>Una nit d'òpera (2002)</x:t>
  </x:si>
  <x:si>
    <x:t>Una nit per sobreviure (2015)</x:t>
  </x:si>
  <x:si>
    <x:t>Una noia torna a casa sola de nit [VOSC] (2014)</x:t>
  </x:si>
  <x:si>
    <x:t>Una nova amiga (2014)</x:t>
  </x:si>
  <x:si>
    <x:t>Una nova vida (2010)</x:t>
  </x:si>
  <x:si>
    <x:t>Una nòvia per a dos (2008)</x:t>
  </x:si>
  <x:si>
    <x:t>Una núvia fora de sèrie (1993)</x:t>
  </x:si>
  <x:si>
    <x:t>Una parella de tres (2008)</x:t>
  </x:si>
  <x:si>
    <x:t>Una pastisseria a Notting Hill (2020)</x:t>
  </x:si>
  <x:si>
    <x:t>Una pel·lícula de Minecraft (2025)</x:t>
  </x:si>
  <x:si>
    <x:t>Una píndola amarga (2019)</x:t>
  </x:si>
  <x:si>
    <x:t>Una pistola a cada mà (2012)</x:t>
  </x:si>
  <x:si>
    <x:t>Una pistola a l'alba (1956)</x:t>
  </x:si>
  <x:si>
    <x:t>Una proposició indecent (1993)</x:t>
  </x:si>
  <x:si>
    <x:t>Una qüestió d'honor (2008)</x:t>
  </x:si>
  <x:si>
    <x:t>Una rossa molt legal (2001)</x:t>
  </x:si>
  <x:si>
    <x:t>Una rossa molt legal 2 (2003)</x:t>
  </x:si>
  <x:si>
    <x:t>Una tarda al circ (1939)</x:t>
  </x:si>
  <x:si>
    <x:t>Una teràpia perillosa (1999)</x:t>
  </x:si>
  <x:si>
    <x:t>Una trobada prometedora (2013)</x:t>
  </x:si>
  <x:si>
    <x:t>Una trompeta llunyana (1964)</x:t>
  </x:si>
  <x:si>
    <x:t>Una vegada ho saps [VOSC] (2020)</x:t>
  </x:si>
  <x:si>
    <x:t>Una veritat amagada (2016)</x:t>
  </x:si>
  <x:si>
    <x:t>Una vida excepcional (2016)</x:t>
  </x:si>
  <x:si>
    <x:t>Una vida millor (2011)</x:t>
  </x:si>
  <x:si>
    <x:t>Una vida senzilla (2011)</x:t>
  </x:si>
  <x:si>
    <x:t>Una vil·la a la Toscana (2020)</x:t>
  </x:si>
  <x:si>
    <x:t>Unboxing Girl (2020)</x:t>
  </x:si>
  <x:si>
    <x:t>Underworld 1 (2003)</x:t>
  </x:si>
  <x:si>
    <x:t>Underworld 2 - Evolution (2006)</x:t>
  </x:si>
  <x:si>
    <x:t>Underworld 3 - La rebel·lió dels licantrops (2009)</x:t>
  </x:si>
  <x:si>
    <x:t>Underworld 4 - El despertar (2012)</x:t>
  </x:si>
  <x:si>
    <x:t>Unicorns (2023)</x:t>
  </x:si>
  <x:si>
    <x:t>Unides per un assassí (2017)</x:t>
  </x:si>
  <x:si>
    <x:t>Universal i faraona (2018)</x:t>
  </x:si>
  <x:si>
    <x:t>Uns dies per recordar (2014)</x:t>
  </x:si>
  <x:si>
    <x:t>Uns quants dies de setembre (2006)</x:t>
  </x:si>
  <x:si>
    <x:t>Up (2009)</x:t>
  </x:si>
  <x:si>
    <x:t>Upon entry (L'arribada) (2023)</x:t>
  </x:si>
  <x:si>
    <x:t>Upsss! 2: I ara on és Noè? L’aventura continua (2020)</x:t>
  </x:si>
  <x:si>
    <x:t>Upsss! on s'ha ficat, Noè? (2015)</x:t>
  </x:si>
  <x:si>
    <x:t>Us he de dir una cosa (2010)</x:t>
  </x:si>
  <x:si>
    <x:t>US Marshals (1998)</x:t>
  </x:si>
  <x:si>
    <x:t>Utena, la noia revolucionària. Apocalipsi adolescent. (1999)</x:t>
  </x:si>
  <x:si>
    <x:t>Utøya 22 de juliol (2018)</x:t>
  </x:si>
  <x:si>
    <x:t>V de Vendetta (2005)</x:t>
  </x:si>
  <x:si>
    <x:t>V.O.S. (2009)</x:t>
  </x:si>
  <x:si>
    <x:t>Va desafiar la mort (2007)</x:t>
  </x:si>
  <x:si>
    <x:t>Va passar a Manhattan (2002)</x:t>
  </x:si>
  <x:si>
    <x:t>Va passar ahir a la nit (1986)</x:t>
  </x:si>
  <x:si>
    <x:t>Vacances (2015)</x:t>
  </x:si>
  <x:si>
    <x:t>Vacances a Àfrica (2021)</x:t>
  </x:si>
  <x:si>
    <x:t>Vacances a l'infern (2012)</x:t>
  </x:si>
  <x:si>
    <x:t>Vacances amb la mare (2018)</x:t>
  </x:si>
  <x:si>
    <x:t>Vaiana (2016)</x:t>
  </x:si>
  <x:si>
    <x:t>Vaiana 2 (2024)</x:t>
  </x:si>
  <x:si>
    <x:t>Valenciana (2024)</x:t>
  </x:si>
  <x:si>
    <x:t>Valencians de Mallorca (2011)</x:t>
  </x:si>
  <x:si>
    <x:t>Valentín (2002)</x:t>
  </x:si>
  <x:si>
    <x:t>Valèria (2001)</x:t>
  </x:si>
  <x:si>
    <x:t>Valerian i la ciutat dels mil planetes (2017)</x:t>
  </x:si>
  <x:si>
    <x:t>Valmont (1989)</x:t>
  </x:si>
  <x:si>
    <x:t>Valors ocults (2016)</x:t>
  </x:si>
  <x:si>
    <x:t>Valquíria (2008)</x:t>
  </x:si>
  <x:si>
    <x:t>Vampirs, de John Carpenter (1998)</x:t>
  </x:si>
  <x:si>
    <x:t>Van disparar al pianista (2023)</x:t>
  </x:si>
  <x:si>
    <x:t>Van Gogh, la passió de viure (1956)</x:t>
  </x:si>
  <x:si>
    <x:t>Vasil (2022)</x:t>
  </x:si>
  <x:si>
    <x:t>Veïns invasors (2006)</x:t>
  </x:si>
  <x:si>
    <x:t>Vellut blau (1986)</x:t>
  </x:si>
  <x:si>
    <x:t>Velvet Goldmine (1998)</x:t>
  </x:si>
  <x:si>
    <x:t>Vèncer (2009)</x:t>
  </x:si>
  <x:si>
    <x:t>Veneçuela, infàncies perdudes (2024)</x:t>
  </x:si>
  <x:si>
    <x:t>Venjanca a las Vegas (2023)</x:t>
  </x:si>
  <x:si>
    <x:t>Vent a les veles (1965)</x:t>
  </x:si>
  <x:si>
    <x:t>Vent de llibertat (2018)</x:t>
  </x:si>
  <x:si>
    <x:t>Ventafocs per un dia (2010)</x:t>
  </x:si>
  <x:si>
    <x:t>Venus (2016)</x:t>
  </x:si>
  <x:si>
    <x:t>Venus Wars (1989)</x:t>
  </x:si>
  <x:si>
    <x:t>Veracruz (1954)</x:t>
  </x:si>
  <x:si>
    <x:t>Veredicte final (1982)</x:t>
  </x:si>
  <x:si>
    <x:t>Verge als 40 (2005)</x:t>
  </x:si>
  <x:si>
    <x:t>Verí mortal (2001)</x:t>
  </x:si>
  <x:si>
    <x:t>Veritats ocultes (2005)</x:t>
  </x:si>
  <x:si>
    <x:t>Vermin La plaga (2023)</x:t>
  </x:si>
  <x:si>
    <x:t>Vertigen (2009)</x:t>
  </x:si>
  <x:si>
    <x:t>Vertigen (D'entre els morts) (1958)</x:t>
  </x:si>
  <x:si>
    <x:t>Very Bad Things (1998)</x:t>
  </x:si>
  <x:si>
    <x:t>Vesper (2022)</x:t>
  </x:si>
  <x:si>
    <x:t>Veure-hi en la foscor (2007)</x:t>
  </x:si>
  <x:si>
    <x:t>Veus a la nit (2006)</x:t>
  </x:si>
  <x:si>
    <x:t>Veus del passat (2015)</x:t>
  </x:si>
  <x:si>
    <x:t>Viatge a Bountiful (1985)</x:t>
  </x:si>
  <x:si>
    <x:t>Viatge a Mart (2005)</x:t>
  </x:si>
  <x:si>
    <x:t>Viatge a Melònia (1989)</x:t>
  </x:si>
  <x:si>
    <x:t>Viatge al centre de la Terra (1959)</x:t>
  </x:si>
  <x:si>
    <x:t>Viatge al centre de la Terra (2008)</x:t>
  </x:si>
  <x:si>
    <x:t>Viatge al centre de la Terra 2. L'illa misteriosa (2012)</x:t>
  </x:si>
  <x:si>
    <x:t>Viatge de final de curs: Mallorca (2025)</x:t>
  </x:si>
  <x:si>
    <x:t>Viatge fantàstic (1966)</x:t>
  </x:si>
  <x:si>
    <x:t>Viatge màgic a Àfrica (2010)</x:t>
  </x:si>
  <x:si>
    <x:t>Viatges amb la meva tia (1972)</x:t>
  </x:si>
  <x:si>
    <x:t>Viatjo sola (2013)</x:t>
  </x:si>
  <x:si>
    <x:t>Vicenç Ferrer (2013)</x:t>
  </x:si>
  <x:si>
    <x:t>Vickie el viking (2009)</x:t>
  </x:si>
  <x:si>
    <x:t>Vicky Cristina Barcelona (2008)</x:t>
  </x:si>
  <x:si>
    <x:t>Vicky el víking i el martell de Thor (2011)</x:t>
  </x:si>
  <x:si>
    <x:t>Victim (2022)</x:t>
  </x:si>
  <x:si>
    <x:t>Víctor, Victòria (1982)</x:t>
  </x:si>
  <x:si>
    <x:t>Vida i mort d'un arquitecte (2017)</x:t>
  </x:si>
  <x:si>
    <x:t>Vida robada (2017)</x:t>
  </x:si>
  <x:si>
    <x:t>Vides alienes (2004)</x:t>
  </x:si>
  <x:si>
    <x:t>Vides encreuades (1993)</x:t>
  </x:si>
  <x:si>
    <x:t>Vides Trans (2023)</x:t>
  </x:si>
  <x:si>
    <x:t>Vidocq (2001)</x:t>
  </x:si>
  <x:si>
    <x:t>Vilafranca (2018)</x:t>
  </x:si>
  <x:si>
    <x:t>Vill, l'esperit del mal [VOSC] (1967)</x:t>
  </x:si>
  <x:si>
    <x:t>Vinga riure (1992)</x:t>
  </x:si>
  <x:si>
    <x:t>Violette (2013)</x:t>
  </x:si>
  <x:si>
    <x:t>Virtuosity (1995)</x:t>
  </x:si>
  <x:si>
    <x:t>Virus (1999)</x:t>
  </x:si>
  <x:si>
    <x:t>Visca la llibertat (2013)</x:t>
  </x:si>
  <x:si>
    <x:t>Visió (2009)</x:t>
  </x:si>
  <x:si>
    <x:t>Visitant (2021)</x:t>
  </x:si>
  <x:si>
    <x:t>Viu i deixa morir (1973)</x:t>
  </x:si>
  <x:si>
    <x:t>Viudes (2018)</x:t>
  </x:si>
  <x:si>
    <x:t>Viure a cop de rock (2011)</x:t>
  </x:si>
  <x:si>
    <x:t>Viure de mentides (2005)</x:t>
  </x:si>
  <x:si>
    <x:t>Viure de nit (2016)</x:t>
  </x:si>
  <x:si>
    <x:t>Viure de renda... bàsica (2019)</x:t>
  </x:si>
  <x:si>
    <x:t>Viure un altre cop (2020)</x:t>
  </x:si>
  <x:si>
    <x:t>Viva Zapata! (1952)</x:t>
  </x:si>
  <x:si>
    <x:t>Vlad, L'empalador (2018)</x:t>
  </x:si>
  <x:si>
    <x:t>Voices in Deep [VOSC] (2023)</x:t>
  </x:si>
  <x:si>
    <x:t>Vol 714 a Sidney (1992)</x:t>
  </x:si>
  <x:si>
    <x:t>Vol a les estrelles (1983)</x:t>
  </x:si>
  <x:si>
    <x:t>Vola amb mi (2024)</x:t>
  </x:si>
  <x:si>
    <x:t>Vola, Borinot (2016)</x:t>
  </x:si>
  <x:si>
    <x:t>Volant junts (2019)</x:t>
  </x:si>
  <x:si>
    <x:t>Volare (2012)</x:t>
  </x:si>
  <x:si>
    <x:t>Volcà a Nova York (2006)</x:t>
  </x:si>
  <x:si>
    <x:t>Voluntaris per sempre (2017)</x:t>
  </x:si>
  <x:si>
    <x:t>Volverás (2002)</x:t>
  </x:si>
  <x:si>
    <x:t>Vora el mar (2015)</x:t>
  </x:si>
  <x:si>
    <x:t>Vorvik (2005)</x:t>
  </x:si>
  <x:si>
    <x:t>Vulcania (2015)</x:t>
  </x:si>
  <x:si>
    <x:t>Vull menjar-me el teu pàncrees (2018)</x:t>
  </x:si>
  <x:si>
    <x:t>Vull ser italià (2010)</x:t>
  </x:si>
  <x:si>
    <x:t>Vull ser soldat (2010)</x:t>
  </x:si>
  <x:si>
    <x:t>Vulnerables (2020)</x:t>
  </x:si>
  <x:si>
    <x:t>Wakefield (2016)</x:t>
  </x:si>
  <x:si>
    <x:t>Wakhri [VOSC] (2023)</x:t>
  </x:si>
  <x:si>
    <x:t>Walesa, l'esperança d'un poble (2013)</x:t>
  </x:si>
  <x:si>
    <x:t>Walking On Sunshine (2014)</x:t>
  </x:si>
  <x:si>
    <x:t>Wallace &amp; Gromit - La maledicció de les verdures (2005)</x:t>
  </x:si>
  <x:si>
    <x:t>WALL·E (2008)</x:t>
  </x:si>
  <x:si>
    <x:t>Wallis i Eduard, la història d'amor del segle (2011)</x:t>
  </x:si>
  <x:si>
    <x:t>Warrior Road (2016)</x:t>
  </x:si>
  <x:si>
    <x:t>Washington Square (1997)</x:t>
  </x:si>
  <x:si>
    <x:t>WAZ (2007)</x:t>
  </x:si>
  <x:si>
    <x:t>Weekend (1967)</x:t>
  </x:si>
  <x:si>
    <x:t>Wendy placa 20957 (2009)</x:t>
  </x:si>
  <x:si>
    <x:t>West Side Story (1961)</x:t>
  </x:si>
  <x:si>
    <x:t>Western (1997)</x:t>
  </x:si>
  <x:si>
    <x:t>Wheely, atrapa'l si pots! (2008)</x:t>
  </x:si>
  <x:si>
    <x:t>When this is all over [VOSC] (2023)</x:t>
  </x:si>
  <x:si>
    <x:t>Whisky a dojo (2016)</x:t>
  </x:si>
  <x:si>
    <x:t>White Noise 2: La llum (2007)</x:t>
  </x:si>
  <x:si>
    <x:t>Whiteout (2009)</x:t>
  </x:si>
  <x:si>
    <x:t>Wichita (1955)</x:t>
  </x:si>
  <x:si>
    <x:t>Wicked City (1987)</x:t>
  </x:si>
  <x:si>
    <x:t>Wicker Man (2006)</x:t>
  </x:si>
  <x:si>
    <x:t>Wild Rose (2018)</x:t>
  </x:si>
  <x:si>
    <x:t>Wild Wild West (1999)</x:t>
  </x:si>
  <x:si>
    <x:t>Wilde (1997)</x:t>
  </x:si>
  <x:si>
    <x:t>Willy’s Wonderland (2021)</x:t>
  </x:si>
  <x:si>
    <x:t>Winchester 73 (1950)</x:t>
  </x:si>
  <x:si>
    <x:t>Windtalkers (2002)</x:t>
  </x:si>
  <x:si>
    <x:t>Winnie-the-Pooh Sang i Mel 2 (2024)</x:t>
  </x:si>
  <x:si>
    <x:t>Winter's Bone (2010)</x:t>
  </x:si>
  <x:si>
    <x:t>Winx: El secret del regne perdut (2007)</x:t>
  </x:si>
  <x:si>
    <x:t>Winx: L'aventura màgica (2010)</x:t>
  </x:si>
  <x:si>
    <x:t>Wish: el poder dels desitjos (2023)</x:t>
  </x:si>
  <x:si>
    <x:t>Wolf Creek (2005)</x:t>
  </x:si>
  <x:si>
    <x:t>Wolfgang (extraordinari) (2025)</x:t>
  </x:si>
  <x:si>
    <x:t>Women Without Men (2009)</x:t>
  </x:si>
  <x:si>
    <x:t>Wonder (2017)</x:t>
  </x:si>
  <x:si>
    <x:t>Wonder Wheel (2017)</x:t>
  </x:si>
  <x:si>
    <x:t>Wonder Woman (2017)</x:t>
  </x:si>
  <x:si>
    <x:t>Wonka (2023)</x:t>
  </x:si>
  <x:si>
    <x:t>Woochi caçador de dimonis (2009)</x:t>
  </x:si>
  <x:si>
    <x:t>Worth (2020)</x:t>
  </x:si>
  <x:si>
    <x:t>Wrong Turn: Camí a l'infern (2021)</x:t>
  </x:si>
  <x:si>
    <x:t>Wu xia (2011)</x:t>
  </x:si>
  <x:si>
    <x:t>Wyatt Earp (1994)</x:t>
  </x:si>
  <x:si>
    <x:t>X-Men: La decisió final (2006)</x:t>
  </x:si>
  <x:si>
    <x:t>Xantatge (2007)</x:t>
  </x:si>
  <x:si>
    <x:t>Xarada (1963)</x:t>
  </x:si>
  <x:si>
    <x:t>Xarxa de mentides (2008)</x:t>
  </x:si>
  <x:si>
    <x:t>Xavales (2021)</x:t>
  </x:si>
  <x:si>
    <x:t>Xavier Enigma i la pel·lícula secreta. Soc la senyora presidenta (2019)</x:t>
  </x:si>
  <x:si>
    <x:t>Xavier Vinader, periodista. Contra la guerra bruta (2014)</x:t>
  </x:si>
  <x:si>
    <x:t>Xchange (2000)</x:t>
  </x:si>
  <x:si>
    <x:t>Xef (2014)</x:t>
  </x:si>
  <x:si>
    <x:t>Xirinacs, a contracorrent (2016)</x:t>
  </x:si>
  <x:si>
    <x:t>Xiscle de terror [VOSC] (1961)</x:t>
  </x:si>
  <x:si>
    <x:t>Xp3D (2011)</x:t>
  </x:si>
  <x:si>
    <x:t>Xtrems (2009)</x:t>
  </x:si>
  <x:si>
    <x:t>xXx: Estat d'emergència (2005)</x:t>
  </x:si>
  <x:si>
    <x:t>Yakuza (1974)</x:t>
  </x:si>
  <x:si>
    <x:t>Yamato, la nau espacial de combat (2010)</x:t>
  </x:si>
  <x:si>
    <x:t>Yentl (1983)</x:t>
  </x:si>
  <x:si>
    <x:t>Yo la busco (2018)</x:t>
  </x:si>
  <x:si>
    <x:t>Yo no soy esa [VOSC] (2024)</x:t>
  </x:si>
  <x:si>
    <x:t>Yokai Watch: La pel·lícula (2014)</x:t>
  </x:si>
  <x:si>
    <x:t>Yoko (2012)</x:t>
  </x:si>
  <x:si>
    <x:t>Young Men (2016)</x:t>
  </x:si>
  <x:si>
    <x:t>Your Name (2016)</x:t>
  </x:si>
  <x:si>
    <x:t>Yuma (1957)</x:t>
  </x:si>
  <x:si>
    <x:t>Yves Saint Laurent (2014)</x:t>
  </x:si>
  <x:si>
    <x:t>Zarafa (2012)</x:t>
  </x:si>
  <x:si>
    <x:t>Zardoz (1974)</x:t>
  </x:si>
  <x:si>
    <x:t>Zathura: Una aventura espacial (2005)</x:t>
  </x:si>
  <x:si>
    <x:t>Zepeli (1971)</x:t>
  </x:si>
  <x:si>
    <x:t>Zero absolut (2005)</x:t>
  </x:si>
  <x:si>
    <x:t>Zeros i Uns (2021)</x:t>
  </x:si>
  <x:si>
    <x:t>Zibila i el poder de les ratlles (2019)</x:t>
  </x:si>
  <x:si>
    <x:t>Zodíac (2007)</x:t>
  </x:si>
  <x:si>
    <x:t>Zog i els doctors voladors (2020)</x:t>
  </x:si>
  <x:si>
    <x:t>Zog, dracs i heroïnes (2018)</x:t>
  </x:si>
  <x:si>
    <x:t>Zohan: llicència per pentinar (2008)</x:t>
  </x:si>
  <x:si>
    <x:t>Zombis nazis (2009)</x:t>
  </x:si>
  <x:si>
    <x:t>Zootròpolis (2016)</x:t>
  </x:si>
  <x:si>
    <x:t>Zootròpolis 2 (2025)</x:t>
  </x:si>
  <x:si>
    <x:t>Zulo (2005)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</x:si>
</x:sst>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4">
    <x:font>
      <x:sz val="10.0"/>
      <x:color rgb="FF000000"/>
      <x:name val="Arial"/>
      <x:scheme val="minor"/>
    </x:font>
    <x:font>
      <x:color theme="1"/>
      <x:name val="Arial"/>
      <x:scheme val="minor"/>
    </x:font>
    <x:font>
      <x:u/>
      <x:color rgb="FF0000FF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readingOrder="0"/>
    </x:xf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worksheets/sheet1.xml" Id="rId5" /><Relationship Type="http://schemas.openxmlformats.org/officeDocument/2006/relationships/calcChain" Target="/xl/calcChain.xml" Id="rId8" 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alibi.com" TargetMode="External" Id="rId9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J7010"/>
  <x:sheetViews>
    <x:sheetView workbookViewId="0"/>
  </x:sheetViews>
  <x:sheetFormatPr defaultColWidth="12.567768" defaultRowHeight="15.75" customHeight="1"/>
  <x:cols>
    <x:col min="1" max="1" width="74.88" style="0" customWidth="1"/>
    <x:col min="2" max="2" width="30.13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0" t="s">
        <x:v>9</x:v>
      </x:c>
    </x:row>
    <x:row r="2" spans="1:10">
      <x:c r="A2" s="1" t="s">
        <x:v>10</x:v>
      </x:c>
      <x:c r="B2" s="1">
        <x:f>IFERROR(__xludf.DUMMYFUNCTION("ARRAYFORMULA(IF(A2:A7010="""", """", REGEXEXTRACT(TRIM(A2:A7010), ""^(.*) \((\d{4})\)$"")))"),"007 al servei secret de Sa Majestat")</x:f>
      </x:c>
      <x:c r="C2" s="1">
        <x:f>IFERROR(__xludf.DUMMYFUNCTION("""COMPUTED_VALUE"""),"1969")</x:f>
      </x:c>
      <x:c r="J2" s="0" t="s">
        <x:v>11</x:v>
      </x:c>
    </x:row>
    <x:row r="3" spans="1:10">
      <x:c r="A3" s="1" t="s">
        <x:v>12</x:v>
      </x:c>
      <x:c r="B3" s="1">
        <x:f>IFERROR(__xludf.DUMMYFUNCTION("""COMPUTED_VALUE"""),"007 contra el Dr. No")</x:f>
      </x:c>
      <x:c r="C3" s="1">
        <x:f>IFERROR(__xludf.DUMMYFUNCTION("""COMPUTED_VALUE"""),"1962")</x:f>
      </x:c>
    </x:row>
    <x:row r="4" spans="1:10">
      <x:c r="A4" s="1" t="s">
        <x:v>13</x:v>
      </x:c>
      <x:c r="B4" s="1">
        <x:f>IFERROR(__xludf.DUMMYFUNCTION("""COMPUTED_VALUE"""),"1-O")</x:f>
      </x:c>
      <x:c r="C4" s="1">
        <x:f>IFERROR(__xludf.DUMMYFUNCTION("""COMPUTED_VALUE"""),"2017")</x:f>
      </x:c>
    </x:row>
    <x:row r="5" spans="1:10">
      <x:c r="A5" s="1" t="s">
        <x:v>14</x:v>
      </x:c>
      <x:c r="B5" s="1">
        <x:f>IFERROR(__xludf.DUMMYFUNCTION("""COMPUTED_VALUE"""),"1-O. Cas obert")</x:f>
      </x:c>
      <x:c r="C5" s="1">
        <x:f>IFERROR(__xludf.DUMMYFUNCTION("""COMPUTED_VALUE"""),"2019")</x:f>
      </x:c>
    </x:row>
    <x:row r="6" spans="1:10">
      <x:c r="A6" s="1" t="s">
        <x:v>15</x:v>
      </x:c>
      <x:c r="B6" s="1">
        <x:f>IFERROR(__xludf.DUMMYFUNCTION("""COMPUTED_VALUE"""),"1.000 maneres de menjar-se un ou")</x:f>
      </x:c>
      <x:c r="C6" s="1">
        <x:f>IFERROR(__xludf.DUMMYFUNCTION("""COMPUTED_VALUE"""),"2013")</x:f>
      </x:c>
    </x:row>
    <x:row r="7" spans="1:10">
      <x:c r="A7" s="1" t="s">
        <x:v>16</x:v>
      </x:c>
      <x:c r="B7" s="1">
        <x:f>IFERROR(__xludf.DUMMYFUNCTION("""COMPUTED_VALUE"""),"10 anys i divorciada")</x:f>
      </x:c>
      <x:c r="C7" s="1">
        <x:f>IFERROR(__xludf.DUMMYFUNCTION("""COMPUTED_VALUE"""),"2014")</x:f>
      </x:c>
    </x:row>
    <x:row r="8" spans="1:10">
      <x:c r="A8" s="1" t="s">
        <x:v>17</x:v>
      </x:c>
      <x:c r="B8" s="1">
        <x:f>IFERROR(__xludf.DUMMYFUNCTION("""COMPUTED_VALUE"""),"10 anys recordant Miquel Martí i Pol")</x:f>
      </x:c>
      <x:c r="C8" s="1">
        <x:f>IFERROR(__xludf.DUMMYFUNCTION("""COMPUTED_VALUE"""),"2013")</x:f>
      </x:c>
    </x:row>
    <x:row r="9" spans="1:10">
      <x:c r="A9" s="1" t="s">
        <x:v>18</x:v>
      </x:c>
      <x:c r="B9" s="1">
        <x:f>IFERROR(__xludf.DUMMYFUNCTION("""COMPUTED_VALUE"""),"10 Coses que heu de saber sobre el son")</x:f>
      </x:c>
      <x:c r="C9" s="1">
        <x:f>IFERROR(__xludf.DUMMYFUNCTION("""COMPUTED_VALUE"""),"2009")</x:f>
      </x:c>
    </x:row>
    <x:row r="10" spans="1:10">
      <x:c r="A10" s="1" t="s">
        <x:v>19</x:v>
      </x:c>
      <x:c r="B10" s="1">
        <x:f>IFERROR(__xludf.DUMMYFUNCTION("""COMPUTED_VALUE"""),"10 Coses que heu de saber sobre perdre pes")</x:f>
      </x:c>
      <x:c r="C10" s="1">
        <x:f>IFERROR(__xludf.DUMMYFUNCTION("""COMPUTED_VALUE"""),"2009")</x:f>
      </x:c>
    </x:row>
    <x:row r="11" spans="1:10">
      <x:c r="A11" s="1" t="s">
        <x:v>20</x:v>
      </x:c>
      <x:c r="B11" s="1">
        <x:f>IFERROR(__xludf.DUMMYFUNCTION("""COMPUTED_VALUE"""),"10 dies sense la mama")</x:f>
      </x:c>
      <x:c r="C11" s="1">
        <x:f>IFERROR(__xludf.DUMMYFUNCTION("""COMPUTED_VALUE"""),"2019")</x:f>
      </x:c>
    </x:row>
    <x:row r="12" spans="1:10">
      <x:c r="A12" s="1" t="s">
        <x:v>21</x:v>
      </x:c>
      <x:c r="B12" s="1">
        <x:f>IFERROR(__xludf.DUMMYFUNCTION("""COMPUTED_VALUE"""),"10.000 km")</x:f>
      </x:c>
      <x:c r="C12" s="1">
        <x:f>IFERROR(__xludf.DUMMYFUNCTION("""COMPUTED_VALUE"""),"2014")</x:f>
      </x:c>
    </x:row>
    <x:row r="13" spans="1:10">
      <x:c r="A13" s="1" t="s">
        <x:v>22</x:v>
      </x:c>
      <x:c r="B13" s="1">
        <x:f>IFERROR(__xludf.DUMMYFUNCTION("""COMPUTED_VALUE"""),"10+2: El gran secret")</x:f>
      </x:c>
      <x:c r="C13" s="1">
        <x:f>IFERROR(__xludf.DUMMYFUNCTION("""COMPUTED_VALUE"""),"2001")</x:f>
      </x:c>
    </x:row>
    <x:row r="14" spans="1:10">
      <x:c r="A14" s="1" t="s">
        <x:v>23</x:v>
      </x:c>
      <x:c r="B14" s="1">
        <x:f>IFERROR(__xludf.DUMMYFUNCTION("""COMPUTED_VALUE"""),"10+2: La nit màgica")</x:f>
      </x:c>
      <x:c r="C14" s="1">
        <x:f>IFERROR(__xludf.DUMMYFUNCTION("""COMPUTED_VALUE"""),"1998")</x:f>
      </x:c>
    </x:row>
    <x:row r="15" spans="1:10">
      <x:c r="A15" s="1" t="s">
        <x:v>24</x:v>
      </x:c>
      <x:c r="B15" s="1">
        <x:f>IFERROR(__xludf.DUMMYFUNCTION("""COMPUTED_VALUE"""),"100 metres")</x:f>
      </x:c>
      <x:c r="C15" s="1">
        <x:f>IFERROR(__xludf.DUMMYFUNCTION("""COMPUTED_VALUE"""),"2016")</x:f>
      </x:c>
    </x:row>
    <x:row r="16" spans="1:10">
      <x:c r="A16" s="1" t="s">
        <x:v>25</x:v>
      </x:c>
      <x:c r="B16" s="1">
        <x:f>IFERROR(__xludf.DUMMYFUNCTION("""COMPUTED_VALUE"""),"100 vagines")</x:f>
      </x:c>
      <x:c r="C16" s="1">
        <x:f>IFERROR(__xludf.DUMMYFUNCTION("""COMPUTED_VALUE"""),"2019")</x:f>
      </x:c>
    </x:row>
    <x:row r="17" spans="1:10">
      <x:c r="A17" s="1" t="s">
        <x:v>26</x:v>
      </x:c>
      <x:c r="B17" s="1">
        <x:f>IFERROR(__xludf.DUMMYFUNCTION("""COMPUTED_VALUE"""),"10000 aC")</x:f>
      </x:c>
      <x:c r="C17" s="1">
        <x:f>IFERROR(__xludf.DUMMYFUNCTION("""COMPUTED_VALUE"""),"2008")</x:f>
      </x:c>
    </x:row>
    <x:row r="18" spans="1:10">
      <x:c r="A18" s="1" t="s">
        <x:v>27</x:v>
      </x:c>
      <x:c r="B18" s="1">
        <x:f>IFERROR(__xludf.DUMMYFUNCTION("""COMPUTED_VALUE"""),"100x100 Tito")</x:f>
      </x:c>
      <x:c r="C18" s="1">
        <x:f>IFERROR(__xludf.DUMMYFUNCTION("""COMPUTED_VALUE"""),"2020")</x:f>
      </x:c>
    </x:row>
    <x:row r="19" spans="1:10">
      <x:c r="A19" s="1" t="s">
        <x:v>28</x:v>
      </x:c>
      <x:c r="B19" s="1">
        <x:f>IFERROR(__xludf.DUMMYFUNCTION("""COMPUTED_VALUE"""),"101 dàlmates")</x:f>
      </x:c>
      <x:c r="C19" s="1">
        <x:f>IFERROR(__xludf.DUMMYFUNCTION("""COMPUTED_VALUE"""),"1961")</x:f>
      </x:c>
    </x:row>
    <x:row r="20" spans="1:10">
      <x:c r="A20" s="1" t="s">
        <x:v>29</x:v>
      </x:c>
      <x:c r="B20" s="1">
        <x:f>IFERROR(__xludf.DUMMYFUNCTION("""COMPUTED_VALUE"""),"10x10")</x:f>
      </x:c>
      <x:c r="C20" s="1">
        <x:f>IFERROR(__xludf.DUMMYFUNCTION("""COMPUTED_VALUE"""),"2018")</x:f>
      </x:c>
    </x:row>
    <x:row r="21" spans="1:10">
      <x:c r="A21" s="1" t="s">
        <x:v>30</x:v>
      </x:c>
      <x:c r="B21" s="1">
        <x:f>IFERROR(__xludf.DUMMYFUNCTION("""COMPUTED_VALUE"""),"11:14")</x:f>
      </x:c>
      <x:c r="C21" s="1">
        <x:f>IFERROR(__xludf.DUMMYFUNCTION("""COMPUTED_VALUE"""),"2003")</x:f>
      </x:c>
    </x:row>
    <x:row r="22" spans="1:10">
      <x:c r="A22" s="1" t="s">
        <x:v>31</x:v>
      </x:c>
      <x:c r="B22" s="1">
        <x:f>IFERROR(__xludf.DUMMYFUNCTION("""COMPUTED_VALUE"""),"12 anys d'esclavitud")</x:f>
      </x:c>
      <x:c r="C22" s="1">
        <x:f>IFERROR(__xludf.DUMMYFUNCTION("""COMPUTED_VALUE"""),"2013")</x:f>
      </x:c>
    </x:row>
    <x:row r="23" spans="1:10">
      <x:c r="A23" s="1" t="s">
        <x:v>32</x:v>
      </x:c>
      <x:c r="B23" s="1">
        <x:f>IFERROR(__xludf.DUMMYFUNCTION("""COMPUTED_VALUE"""),"12 d'octubre, cultura de l'odi i legítima autodefensa")</x:f>
      </x:c>
      <x:c r="C23" s="1">
        <x:f>IFERROR(__xludf.DUMMYFUNCTION("""COMPUTED_VALUE"""),"2017")</x:f>
      </x:c>
    </x:row>
    <x:row r="24" spans="1:10">
      <x:c r="A24" s="1" t="s">
        <x:v>33</x:v>
      </x:c>
      <x:c r="B24" s="1">
        <x:f>IFERROR(__xludf.DUMMYFUNCTION("""COMPUTED_VALUE"""),"12 dies de terror")</x:f>
      </x:c>
      <x:c r="C24" s="1">
        <x:f>IFERROR(__xludf.DUMMYFUNCTION("""COMPUTED_VALUE"""),"2004")</x:f>
      </x:c>
    </x:row>
    <x:row r="25" spans="1:10">
      <x:c r="A25" s="1" t="s">
        <x:v>34</x:v>
      </x:c>
      <x:c r="B25" s="1">
        <x:f>IFERROR(__xludf.DUMMYFUNCTION("""COMPUTED_VALUE"""),"12 hores desesperades")</x:f>
      </x:c>
      <x:c r="C25" s="1">
        <x:f>IFERROR(__xludf.DUMMYFUNCTION("""COMPUTED_VALUE"""),"2006")</x:f>
      </x:c>
    </x:row>
    <x:row r="26" spans="1:10">
      <x:c r="A26" s="1" t="s">
        <x:v>35</x:v>
      </x:c>
      <x:c r="B26" s="1">
        <x:f>IFERROR(__xludf.DUMMYFUNCTION("""COMPUTED_VALUE"""),"12 valents")</x:f>
      </x:c>
      <x:c r="C26" s="1">
        <x:f>IFERROR(__xludf.DUMMYFUNCTION("""COMPUTED_VALUE"""),"2018")</x:f>
      </x:c>
    </x:row>
    <x:row r="27" spans="1:10">
      <x:c r="A27" s="1" t="s">
        <x:v>36</x:v>
      </x:c>
      <x:c r="B27" s="1">
        <x:f>IFERROR(__xludf.DUMMYFUNCTION("""COMPUTED_VALUE"""),"127 hores")</x:f>
      </x:c>
      <x:c r="C27" s="1">
        <x:f>IFERROR(__xludf.DUMMYFUNCTION("""COMPUTED_VALUE"""),"2010")</x:f>
      </x:c>
    </x:row>
    <x:row r="28" spans="1:10">
      <x:c r="A28" s="1" t="s">
        <x:v>37</x:v>
      </x:c>
      <x:c r="B28" s="1">
        <x:f>IFERROR(__xludf.DUMMYFUNCTION("""COMPUTED_VALUE"""),"13")</x:f>
      </x:c>
      <x:c r="C28" s="1">
        <x:f>IFERROR(__xludf.DUMMYFUNCTION("""COMPUTED_VALUE"""),"2010")</x:f>
      </x:c>
    </x:row>
    <x:row r="29" spans="1:10">
      <x:c r="A29" s="1" t="s">
        <x:v>38</x:v>
      </x:c>
      <x:c r="B29" s="1">
        <x:f>IFERROR(__xludf.DUMMYFUNCTION("""COMPUTED_VALUE"""),"13 dies d'octubre")</x:f>
      </x:c>
      <x:c r="C29" s="1">
        <x:f>IFERROR(__xludf.DUMMYFUNCTION("""COMPUTED_VALUE"""),"2015")</x:f>
      </x:c>
    </x:row>
    <x:row r="30" spans="1:10">
      <x:c r="A30" s="1" t="s">
        <x:v>39</x:v>
      </x:c>
      <x:c r="B30" s="1">
        <x:f>IFERROR(__xludf.DUMMYFUNCTION("""COMPUTED_VALUE"""),"13 Fantasmes")</x:f>
      </x:c>
      <x:c r="C30" s="1">
        <x:f>IFERROR(__xludf.DUMMYFUNCTION("""COMPUTED_VALUE"""),"2001")</x:f>
      </x:c>
    </x:row>
    <x:row r="31" spans="1:10">
      <x:c r="A31" s="1" t="s">
        <x:v>40</x:v>
      </x:c>
      <x:c r="B31" s="1">
        <x:f>IFERROR(__xludf.DUMMYFUNCTION("""COMPUTED_VALUE"""),"13 minuts")</x:f>
      </x:c>
      <x:c r="C31" s="1">
        <x:f>IFERROR(__xludf.DUMMYFUNCTION("""COMPUTED_VALUE"""),"2021")</x:f>
      </x:c>
    </x:row>
    <x:row r="32" spans="1:10">
      <x:c r="A32" s="1" t="s">
        <x:v>41</x:v>
      </x:c>
      <x:c r="B32" s="1">
        <x:f>IFERROR(__xludf.DUMMYFUNCTION("""COMPUTED_VALUE"""),"13 minuts per matar Hitler")</x:f>
      </x:c>
      <x:c r="C32" s="1">
        <x:f>IFERROR(__xludf.DUMMYFUNCTION("""COMPUTED_VALUE"""),"2015")</x:f>
      </x:c>
    </x:row>
    <x:row r="33" spans="1:10">
      <x:c r="A33" s="1" t="s">
        <x:v>42</x:v>
      </x:c>
      <x:c r="B33" s="1">
        <x:f>IFERROR(__xludf.DUMMYFUNCTION("""COMPUTED_VALUE"""),"14 d'abril, Macià contra Companys")</x:f>
      </x:c>
      <x:c r="C33" s="1">
        <x:f>IFERROR(__xludf.DUMMYFUNCTION("""COMPUTED_VALUE"""),"2011")</x:f>
      </x:c>
    </x:row>
    <x:row r="34" spans="1:10">
      <x:c r="A34" s="1" t="s">
        <x:v>43</x:v>
      </x:c>
      <x:c r="B34" s="1">
        <x:f>IFERROR(__xludf.DUMMYFUNCTION("""COMPUTED_VALUE"""),"15 hores")</x:f>
      </x:c>
      <x:c r="C34" s="1">
        <x:f>IFERROR(__xludf.DUMMYFUNCTION("""COMPUTED_VALUE"""),"2021")</x:f>
      </x:c>
    </x:row>
    <x:row r="35" spans="1:10">
      <x:c r="A35" s="1" t="s">
        <x:v>44</x:v>
      </x:c>
      <x:c r="B35" s="1">
        <x:f>IFERROR(__xludf.DUMMYFUNCTION("""COMPUTED_VALUE"""),"15.17 Tren a París")</x:f>
      </x:c>
      <x:c r="C35" s="1">
        <x:f>IFERROR(__xludf.DUMMYFUNCTION("""COMPUTED_VALUE"""),"2018")</x:f>
      </x:c>
    </x:row>
    <x:row r="36" spans="1:10">
      <x:c r="A36" s="1" t="s">
        <x:v>45</x:v>
      </x:c>
      <x:c r="B36" s="1">
        <x:f>IFERROR(__xludf.DUMMYFUNCTION("""COMPUTED_VALUE"""),"16 carrers")</x:f>
      </x:c>
      <x:c r="C36" s="1">
        <x:f>IFERROR(__xludf.DUMMYFUNCTION("""COMPUTED_VALUE"""),"2006")</x:f>
      </x:c>
    </x:row>
    <x:row r="37" spans="1:10">
      <x:c r="A37" s="1" t="s">
        <x:v>46</x:v>
      </x:c>
      <x:c r="B37" s="1">
        <x:f>IFERROR(__xludf.DUMMYFUNCTION("""COMPUTED_VALUE"""),"1612")</x:f>
      </x:c>
      <x:c r="C37" s="1">
        <x:f>IFERROR(__xludf.DUMMYFUNCTION("""COMPUTED_VALUE"""),"2007")</x:f>
      </x:c>
    </x:row>
    <x:row r="38" spans="1:10">
      <x:c r="A38" s="1" t="s">
        <x:v>47</x:v>
      </x:c>
      <x:c r="B38" s="1">
        <x:f>IFERROR(__xludf.DUMMYFUNCTION("""COMPUTED_VALUE"""),"17 un altre cop")</x:f>
      </x:c>
      <x:c r="C38" s="1">
        <x:f>IFERROR(__xludf.DUMMYFUNCTION("""COMPUTED_VALUE"""),"2009")</x:f>
      </x:c>
    </x:row>
    <x:row r="39" spans="1:10">
      <x:c r="A39" s="1" t="s">
        <x:v>48</x:v>
      </x:c>
      <x:c r="B39" s="1">
        <x:f>IFERROR(__xludf.DUMMYFUNCTION("""COMPUTED_VALUE"""),"1711. El setge")</x:f>
      </x:c>
      <x:c r="C39" s="1">
        <x:f>IFERROR(__xludf.DUMMYFUNCTION("""COMPUTED_VALUE"""),"2012")</x:f>
      </x:c>
    </x:row>
    <x:row r="40" spans="1:10">
      <x:c r="A40" s="1" t="s">
        <x:v>49</x:v>
      </x:c>
      <x:c r="B40" s="1">
        <x:f>IFERROR(__xludf.DUMMYFUNCTION("""COMPUTED_VALUE"""),"19 [VOSC]")</x:f>
      </x:c>
      <x:c r="C40" s="1">
        <x:f>IFERROR(__xludf.DUMMYFUNCTION("""COMPUTED_VALUE"""),"2021")</x:f>
      </x:c>
    </x:row>
    <x:row r="41" spans="1:10">
      <x:c r="A41" s="1" t="s">
        <x:v>50</x:v>
      </x:c>
      <x:c r="B41" s="1">
        <x:f>IFERROR(__xludf.DUMMYFUNCTION("""COMPUTED_VALUE"""),"1917")</x:f>
      </x:c>
      <x:c r="C41" s="1">
        <x:f>IFERROR(__xludf.DUMMYFUNCTION("""COMPUTED_VALUE"""),"2019")</x:f>
      </x:c>
    </x:row>
    <x:row r="42" spans="1:10">
      <x:c r="A42" s="1" t="s">
        <x:v>51</x:v>
      </x:c>
      <x:c r="B42" s="1">
        <x:f>IFERROR(__xludf.DUMMYFUNCTION("""COMPUTED_VALUE"""),"1941")</x:f>
      </x:c>
      <x:c r="C42" s="1">
        <x:f>IFERROR(__xludf.DUMMYFUNCTION("""COMPUTED_VALUE"""),"1979")</x:f>
      </x:c>
    </x:row>
    <x:row r="43" spans="1:10">
      <x:c r="A43" s="1" t="s">
        <x:v>52</x:v>
      </x:c>
      <x:c r="B43" s="1">
        <x:f>IFERROR(__xludf.DUMMYFUNCTION("""COMPUTED_VALUE"""),"2 dies a Nova York")</x:f>
      </x:c>
      <x:c r="C43" s="1">
        <x:f>IFERROR(__xludf.DUMMYFUNCTION("""COMPUTED_VALUE"""),"2012")</x:f>
      </x:c>
    </x:row>
    <x:row r="44" spans="1:10">
      <x:c r="A44" s="1" t="s">
        <x:v>53</x:v>
      </x:c>
      <x:c r="B44" s="1">
        <x:f>IFERROR(__xludf.DUMMYFUNCTION("""COMPUTED_VALUE"""),"2 Guns")</x:f>
      </x:c>
      <x:c r="C44" s="1">
        <x:f>IFERROR(__xludf.DUMMYFUNCTION("""COMPUTED_VALUE"""),"2013")</x:f>
      </x:c>
    </x:row>
    <x:row r="45" spans="1:10">
      <x:c r="A45" s="1" t="s">
        <x:v>54</x:v>
      </x:c>
      <x:c r="B45" s="1">
        <x:f>IFERROR(__xludf.DUMMYFUNCTION("""COMPUTED_VALUE"""),"20 anys d'Amics. La festa major")</x:f>
      </x:c>
      <x:c r="C45" s="1">
        <x:f>IFERROR(__xludf.DUMMYFUNCTION("""COMPUTED_VALUE"""),"2025")</x:f>
      </x:c>
    </x:row>
    <x:row r="46" spans="1:10">
      <x:c r="A46" s="1" t="s">
        <x:v>55</x:v>
      </x:c>
      <x:c r="B46" s="1">
        <x:f>IFERROR(__xludf.DUMMYFUNCTION("""COMPUTED_VALUE"""),"20-S")</x:f>
      </x:c>
      <x:c r="C46" s="1">
        <x:f>IFERROR(__xludf.DUMMYFUNCTION("""COMPUTED_VALUE"""),"2018")</x:f>
      </x:c>
    </x:row>
    <x:row r="47" spans="1:10">
      <x:c r="A47" s="1" t="s">
        <x:v>56</x:v>
      </x:c>
      <x:c r="B47" s="1">
        <x:f>IFERROR(__xludf.DUMMYFUNCTION("""COMPUTED_VALUE"""),"20.000 espècies d'abelles")</x:f>
      </x:c>
      <x:c r="C47" s="1">
        <x:f>IFERROR(__xludf.DUMMYFUNCTION("""COMPUTED_VALUE"""),"2023")</x:f>
      </x:c>
    </x:row>
    <x:row r="48" spans="1:10">
      <x:c r="A48" s="1" t="s">
        <x:v>57</x:v>
      </x:c>
      <x:c r="B48" s="1">
        <x:f>IFERROR(__xludf.DUMMYFUNCTION("""COMPUTED_VALUE"""),"20.000 llegües sota el mar")</x:f>
      </x:c>
      <x:c r="C48" s="1">
        <x:f>IFERROR(__xludf.DUMMYFUNCTION("""COMPUTED_VALUE"""),"1997")</x:f>
      </x:c>
    </x:row>
    <x:row r="49" spans="1:10">
      <x:c r="A49" s="1" t="s">
        <x:v>58</x:v>
      </x:c>
      <x:c r="B49" s="1">
        <x:f>IFERROR(__xludf.DUMMYFUNCTION("""COMPUTED_VALUE"""),"2001: Una odissea de l'espai")</x:f>
      </x:c>
      <x:c r="C49" s="1">
        <x:f>IFERROR(__xludf.DUMMYFUNCTION("""COMPUTED_VALUE"""),"1968")</x:f>
      </x:c>
    </x:row>
    <x:row r="50" spans="1:10">
      <x:c r="A50" s="1" t="s">
        <x:v>59</x:v>
      </x:c>
      <x:c r="B50" s="1">
        <x:f>IFERROR(__xludf.DUMMYFUNCTION("""COMPUTED_VALUE"""),"2012")</x:f>
      </x:c>
      <x:c r="C50" s="1">
        <x:f>IFERROR(__xludf.DUMMYFUNCTION("""COMPUTED_VALUE"""),"2009")</x:f>
      </x:c>
    </x:row>
    <x:row r="51" spans="1:10">
      <x:c r="A51" s="1" t="s">
        <x:v>60</x:v>
      </x:c>
      <x:c r="B51" s="1">
        <x:f>IFERROR(__xludf.DUMMYFUNCTION("""COMPUTED_VALUE"""),"2012 El repte de decidir")</x:f>
      </x:c>
      <x:c r="C51" s="1">
        <x:f>IFERROR(__xludf.DUMMYFUNCTION("""COMPUTED_VALUE"""),"2012")</x:f>
      </x:c>
    </x:row>
    <x:row r="52" spans="1:10">
      <x:c r="A52" s="1" t="s">
        <x:v>61</x:v>
      </x:c>
      <x:c r="B52" s="1">
        <x:f>IFERROR(__xludf.DUMMYFUNCTION("""COMPUTED_VALUE"""),"2012, la profecia final")</x:f>
      </x:c>
      <x:c r="C52" s="1">
        <x:f>IFERROR(__xludf.DUMMYFUNCTION("""COMPUTED_VALUE"""),"2011")</x:f>
      </x:c>
    </x:row>
    <x:row r="53" spans="1:10">
      <x:c r="A53" s="1" t="s">
        <x:v>62</x:v>
      </x:c>
      <x:c r="B53" s="1">
        <x:f>IFERROR(__xludf.DUMMYFUNCTION("""COMPUTED_VALUE"""),"2046")</x:f>
      </x:c>
      <x:c r="C53" s="1">
        <x:f>IFERROR(__xludf.DUMMYFUNCTION("""COMPUTED_VALUE"""),"2004")</x:f>
      </x:c>
    </x:row>
    <x:row r="54" spans="1:10">
      <x:c r="A54" s="1" t="s">
        <x:v>63</x:v>
      </x:c>
      <x:c r="B54" s="1">
        <x:f>IFERROR(__xludf.DUMMYFUNCTION("""COMPUTED_VALUE"""),"2067")</x:f>
      </x:c>
      <x:c r="C54" s="1">
        <x:f>IFERROR(__xludf.DUMMYFUNCTION("""COMPUTED_VALUE"""),"2020")</x:f>
      </x:c>
    </x:row>
    <x:row r="55" spans="1:10">
      <x:c r="A55" s="1" t="s">
        <x:v>64</x:v>
      </x:c>
      <x:c r="B55" s="1">
        <x:f>IFERROR(__xludf.DUMMYFUNCTION("""COMPUTED_VALUE"""),"20th Century Boys I")</x:f>
      </x:c>
      <x:c r="C55" s="1">
        <x:f>IFERROR(__xludf.DUMMYFUNCTION("""COMPUTED_VALUE"""),"2008")</x:f>
      </x:c>
    </x:row>
    <x:row r="56" spans="1:10">
      <x:c r="A56" s="1" t="s">
        <x:v>65</x:v>
      </x:c>
      <x:c r="B56" s="1">
        <x:f>IFERROR(__xludf.DUMMYFUNCTION("""COMPUTED_VALUE"""),"20th Century Boys II")</x:f>
      </x:c>
      <x:c r="C56" s="1">
        <x:f>IFERROR(__xludf.DUMMYFUNCTION("""COMPUTED_VALUE"""),"2009")</x:f>
      </x:c>
    </x:row>
    <x:row r="57" spans="1:10">
      <x:c r="A57" s="1" t="s">
        <x:v>66</x:v>
      </x:c>
      <x:c r="B57" s="1">
        <x:f>IFERROR(__xludf.DUMMYFUNCTION("""COMPUTED_VALUE"""),"20th Century Boys III")</x:f>
      </x:c>
      <x:c r="C57" s="1">
        <x:f>IFERROR(__xludf.DUMMYFUNCTION("""COMPUTED_VALUE"""),"2009")</x:f>
      </x:c>
    </x:row>
    <x:row r="58" spans="1:10">
      <x:c r="A58" s="1" t="s">
        <x:v>67</x:v>
      </x:c>
      <x:c r="B58" s="1">
        <x:f>IFERROR(__xludf.DUMMYFUNCTION("""COMPUTED_VALUE"""),"21 Black Jack")</x:f>
      </x:c>
      <x:c r="C58" s="1">
        <x:f>IFERROR(__xludf.DUMMYFUNCTION("""COMPUTED_VALUE"""),"2008")</x:f>
      </x:c>
    </x:row>
    <x:row r="59" spans="1:10">
      <x:c r="A59" s="1" t="s">
        <x:v>68</x:v>
      </x:c>
      <x:c r="B59" s="1">
        <x:f>IFERROR(__xludf.DUMMYFUNCTION("""COMPUTED_VALUE"""),"23 passejos")</x:f>
      </x:c>
      <x:c r="C59" s="1">
        <x:f>IFERROR(__xludf.DUMMYFUNCTION("""COMPUTED_VALUE"""),"2020")</x:f>
      </x:c>
    </x:row>
    <x:row r="60" spans="1:10">
      <x:c r="A60" s="1" t="s">
        <x:v>69</x:v>
      </x:c>
      <x:c r="B60" s="1">
        <x:f>IFERROR(__xludf.DUMMYFUNCTION("""COMPUTED_VALUE"""),"23F: el dia més difícil del rei")</x:f>
      </x:c>
      <x:c r="C60" s="1">
        <x:f>IFERROR(__xludf.DUMMYFUNCTION("""COMPUTED_VALUE"""),"2009")</x:f>
      </x:c>
    </x:row>
    <x:row r="61" spans="1:10">
      <x:c r="A61" s="1" t="s">
        <x:v>70</x:v>
      </x:c>
      <x:c r="B61" s="1">
        <x:f>IFERROR(__xludf.DUMMYFUNCTION("""COMPUTED_VALUE"""),"24 hores a l'escola dels somnis")</x:f>
      </x:c>
      <x:c r="C61" s="1">
        <x:f>IFERROR(__xludf.DUMMYFUNCTION("""COMPUTED_VALUE"""),"2011")</x:f>
      </x:c>
    </x:row>
    <x:row r="62" spans="1:10">
      <x:c r="A62" s="1" t="s">
        <x:v>71</x:v>
      </x:c>
      <x:c r="B62" s="1">
        <x:f>IFERROR(__xludf.DUMMYFUNCTION("""COMPUTED_VALUE"""),"24 hores al límit")</x:f>
      </x:c>
      <x:c r="C62" s="1">
        <x:f>IFERROR(__xludf.DUMMYFUNCTION("""COMPUTED_VALUE"""),"2003")</x:f>
      </x:c>
    </x:row>
    <x:row r="63" spans="1:10">
      <x:c r="A63" s="1" t="s">
        <x:v>72</x:v>
      </x:c>
      <x:c r="B63" s="1">
        <x:f>IFERROR(__xludf.DUMMYFUNCTION("""COMPUTED_VALUE"""),"24 vaques de llet i cap home")</x:f>
      </x:c>
      <x:c r="C63" s="1">
        <x:f>IFERROR(__xludf.DUMMYFUNCTION("""COMPUTED_VALUE"""),"2013")</x:f>
      </x:c>
    </x:row>
    <x:row r="64" spans="1:10">
      <x:c r="A64" s="1" t="s">
        <x:v>73</x:v>
      </x:c>
      <x:c r="B64" s="1">
        <x:f>IFERROR(__xludf.DUMMYFUNCTION("""COMPUTED_VALUE"""),"25 anys d'«Un pont de mar blava»")</x:f>
      </x:c>
      <x:c r="C64" s="1">
        <x:f>IFERROR(__xludf.DUMMYFUNCTION("""COMPUTED_VALUE"""),"2018")</x:f>
      </x:c>
    </x:row>
    <x:row r="65" spans="1:10">
      <x:c r="A65" s="1" t="s">
        <x:v>74</x:v>
      </x:c>
      <x:c r="B65" s="1">
        <x:f>IFERROR(__xludf.DUMMYFUNCTION("""COMPUTED_VALUE"""),"25 quirats")</x:f>
      </x:c>
      <x:c r="C65" s="1">
        <x:f>IFERROR(__xludf.DUMMYFUNCTION("""COMPUTED_VALUE"""),"2008")</x:f>
      </x:c>
    </x:row>
    <x:row r="66" spans="1:10">
      <x:c r="A66" s="1" t="s">
        <x:v>75</x:v>
      </x:c>
      <x:c r="B66" s="1">
        <x:f>IFERROR(__xludf.DUMMYFUNCTION("""COMPUTED_VALUE"""),"27 Vestits")</x:f>
      </x:c>
      <x:c r="C66" s="1">
        <x:f>IFERROR(__xludf.DUMMYFUNCTION("""COMPUTED_VALUE"""),"2008")</x:f>
      </x:c>
    </x:row>
    <x:row r="67" spans="1:10">
      <x:c r="A67" s="1" t="s">
        <x:v>76</x:v>
      </x:c>
      <x:c r="B67" s="1">
        <x:f>IFERROR(__xludf.DUMMYFUNCTION("""COMPUTED_VALUE"""),"3")</x:f>
      </x:c>
      <x:c r="C67" s="1">
        <x:f>IFERROR(__xludf.DUMMYFUNCTION("""COMPUTED_VALUE"""),"2010")</x:f>
      </x:c>
    </x:row>
    <x:row r="68" spans="1:10">
      <x:c r="A68" s="1" t="s">
        <x:v>77</x:v>
      </x:c>
      <x:c r="B68" s="1">
        <x:f>IFERROR(__xludf.DUMMYFUNCTION("""COMPUTED_VALUE"""),"3 agulles")</x:f>
      </x:c>
      <x:c r="C68" s="1">
        <x:f>IFERROR(__xludf.DUMMYFUNCTION("""COMPUTED_VALUE"""),"2005")</x:f>
      </x:c>
    </x:row>
    <x:row r="69" spans="1:10">
      <x:c r="A69" s="1" t="s">
        <x:v>78</x:v>
      </x:c>
      <x:c r="B69" s="1">
        <x:f>IFERROR(__xludf.DUMMYFUNCTION("""COMPUTED_VALUE"""),"3 Dies per matar")</x:f>
      </x:c>
      <x:c r="C69" s="1">
        <x:f>IFERROR(__xludf.DUMMYFUNCTION("""COMPUTED_VALUE"""),"2014")</x:f>
      </x:c>
    </x:row>
    <x:row r="70" spans="1:10">
      <x:c r="A70" s="1" t="s">
        <x:v>79</x:v>
      </x:c>
      <x:c r="B70" s="1">
        <x:f>IFERROR(__xludf.DUMMYFUNCTION("""COMPUTED_VALUE"""),"3.450 km, de Montblanc al món")</x:f>
      </x:c>
      <x:c r="C70" s="1">
        <x:f>IFERROR(__xludf.DUMMYFUNCTION("""COMPUTED_VALUE"""),"2020")</x:f>
      </x:c>
    </x:row>
    <x:row r="71" spans="1:10">
      <x:c r="A71" s="1" t="s">
        <x:v>80</x:v>
      </x:c>
      <x:c r="B71" s="1">
        <x:f>IFERROR(__xludf.DUMMYFUNCTION("""COMPUTED_VALUE"""),"30 dies de foscor")</x:f>
      </x:c>
      <x:c r="C71" s="1">
        <x:f>IFERROR(__xludf.DUMMYFUNCTION("""COMPUTED_VALUE"""),"2007")</x:f>
      </x:c>
    </x:row>
    <x:row r="72" spans="1:10">
      <x:c r="A72" s="1" t="s">
        <x:v>81</x:v>
      </x:c>
      <x:c r="B72" s="1">
        <x:f>IFERROR(__xludf.DUMMYFUNCTION("""COMPUTED_VALUE"""),"30 minuts o menys")</x:f>
      </x:c>
      <x:c r="C72" s="1">
        <x:f>IFERROR(__xludf.DUMMYFUNCTION("""COMPUTED_VALUE"""),"2011")</x:f>
      </x:c>
    </x:row>
    <x:row r="73" spans="1:10">
      <x:c r="A73" s="1" t="s">
        <x:v>82</x:v>
      </x:c>
      <x:c r="B73" s="1">
        <x:f>IFERROR(__xludf.DUMMYFUNCTION("""COMPUTED_VALUE"""),"300: El naixement d'un imperi")</x:f>
      </x:c>
      <x:c r="C73" s="1">
        <x:f>IFERROR(__xludf.DUMMYFUNCTION("""COMPUTED_VALUE"""),"2014")</x:f>
      </x:c>
    </x:row>
    <x:row r="74" spans="1:10">
      <x:c r="A74" s="1" t="s">
        <x:v>83</x:v>
      </x:c>
      <x:c r="B74" s="1">
        <x:f>IFERROR(__xludf.DUMMYFUNCTION("""COMPUTED_VALUE"""),"3055 Jean Leon")</x:f>
      </x:c>
      <x:c r="C74" s="1">
        <x:f>IFERROR(__xludf.DUMMYFUNCTION("""COMPUTED_VALUE"""),"2006")</x:f>
      </x:c>
    </x:row>
    <x:row r="75" spans="1:10">
      <x:c r="A75" s="1" t="s">
        <x:v>84</x:v>
      </x:c>
      <x:c r="B75" s="1">
        <x:f>IFERROR(__xludf.DUMMYFUNCTION("""COMPUTED_VALUE"""),"30è. Aniversari dels JJOO de Barcelona 92")</x:f>
      </x:c>
      <x:c r="C75" s="1">
        <x:f>IFERROR(__xludf.DUMMYFUNCTION("""COMPUTED_VALUE"""),"2022")</x:f>
      </x:c>
    </x:row>
    <x:row r="76" spans="1:10">
      <x:c r="A76" s="1" t="s">
        <x:v>85</x:v>
      </x:c>
      <x:c r="B76" s="1">
        <x:f>IFERROR(__xludf.DUMMYFUNCTION("""COMPUTED_VALUE"""),"360")</x:f>
      </x:c>
      <x:c r="C76" s="1">
        <x:f>IFERROR(__xludf.DUMMYFUNCTION("""COMPUTED_VALUE"""),"2011")</x:f>
      </x:c>
    </x:row>
    <x:row r="77" spans="1:10">
      <x:c r="A77" s="1" t="s">
        <x:v>86</x:v>
      </x:c>
      <x:c r="B77" s="1">
        <x:f>IFERROR(__xludf.DUMMYFUNCTION("""COMPUTED_VALUE"""),"4 nens i ''allò''")</x:f>
      </x:c>
      <x:c r="C77" s="1">
        <x:f>IFERROR(__xludf.DUMMYFUNCTION("""COMPUTED_VALUE"""),"2020")</x:f>
      </x:c>
    </x:row>
    <x:row r="78" spans="1:10">
      <x:c r="A78" s="1" t="s">
        <x:v>87</x:v>
      </x:c>
      <x:c r="B78" s="1">
        <x:f>IFERROR(__xludf.DUMMYFUNCTION("""COMPUTED_VALUE"""),"400 KM")</x:f>
      </x:c>
      <x:c r="C78" s="1">
        <x:f>IFERROR(__xludf.DUMMYFUNCTION("""COMPUTED_VALUE"""),"2013")</x:f>
      </x:c>
    </x:row>
    <x:row r="79" spans="1:10">
      <x:c r="A79" s="1" t="s">
        <x:v>88</x:v>
      </x:c>
      <x:c r="B79" s="1">
        <x:f>IFERROR(__xludf.DUMMYFUNCTION("""COMPUTED_VALUE"""),"42 segons")</x:f>
      </x:c>
      <x:c r="C79" s="1">
        <x:f>IFERROR(__xludf.DUMMYFUNCTION("""COMPUTED_VALUE"""),"2022")</x:f>
      </x:c>
    </x:row>
    <x:row r="80" spans="1:10">
      <x:c r="A80" s="1" t="s">
        <x:v>89</x:v>
      </x:c>
      <x:c r="B80" s="1">
        <x:f>IFERROR(__xludf.DUMMYFUNCTION("""COMPUTED_VALUE"""),"42'195: la distància incerta")</x:f>
      </x:c>
      <x:c r="C80" s="1">
        <x:f>IFERROR(__xludf.DUMMYFUNCTION("""COMPUTED_VALUE"""),"2009")</x:f>
      </x:c>
    </x:row>
    <x:row r="81" spans="1:10">
      <x:c r="A81" s="1" t="s">
        <x:v>90</x:v>
      </x:c>
      <x:c r="B81" s="1">
        <x:f>IFERROR(__xludf.DUMMYFUNCTION("""COMPUTED_VALUE"""),"50 anys d'havaneres - El meu avi no va anar a Cuba")</x:f>
      </x:c>
      <x:c r="C81" s="1">
        <x:f>IFERROR(__xludf.DUMMYFUNCTION("""COMPUTED_VALUE"""),"2017")</x:f>
      </x:c>
    </x:row>
    <x:row r="82" spans="1:10">
      <x:c r="A82" s="1" t="s">
        <x:v>91</x:v>
      </x:c>
      <x:c r="B82" s="1">
        <x:f>IFERROR(__xludf.DUMMYFUNCTION("""COMPUTED_VALUE"""),"50 homes morts que caminen")</x:f>
      </x:c>
      <x:c r="C82" s="1">
        <x:f>IFERROR(__xludf.DUMMYFUNCTION("""COMPUTED_VALUE"""),"2008")</x:f>
      </x:c>
    </x:row>
    <x:row r="83" spans="1:10">
      <x:c r="A83" s="1" t="s">
        <x:v>92</x:v>
      </x:c>
      <x:c r="B83" s="1">
        <x:f>IFERROR(__xludf.DUMMYFUNCTION("""COMPUTED_VALUE"""),"508 dies")</x:f>
      </x:c>
      <x:c r="C83" s="1">
        <x:f>IFERROR(__xludf.DUMMYFUNCTION("""COMPUTED_VALUE"""),"2023")</x:f>
      </x:c>
    </x:row>
    <x:row r="84" spans="1:10">
      <x:c r="A84" s="1" t="s">
        <x:v>93</x:v>
      </x:c>
      <x:c r="B84" s="1">
        <x:f>IFERROR(__xludf.DUMMYFUNCTION("""COMPUTED_VALUE"""),"53 dies d'hivern")</x:f>
      </x:c>
      <x:c r="C84" s="1">
        <x:f>IFERROR(__xludf.DUMMYFUNCTION("""COMPUTED_VALUE"""),"2006")</x:f>
      </x:c>
    </x:row>
    <x:row r="85" spans="1:10">
      <x:c r="A85" s="1" t="s">
        <x:v>94</x:v>
      </x:c>
      <x:c r="B85" s="1">
        <x:f>IFERROR(__xludf.DUMMYFUNCTION("""COMPUTED_VALUE"""),"7 raons per fugir")</x:f>
      </x:c>
      <x:c r="C85" s="1">
        <x:f>IFERROR(__xludf.DUMMYFUNCTION("""COMPUTED_VALUE"""),"2018")</x:f>
      </x:c>
    </x:row>
    <x:row r="86" spans="1:10">
      <x:c r="A86" s="1" t="s">
        <x:v>95</x:v>
      </x:c>
      <x:c r="B86" s="1">
        <x:f>IFERROR(__xludf.DUMMYFUNCTION("""COMPUTED_VALUE"""),"7 segons")</x:f>
      </x:c>
      <x:c r="C86" s="1">
        <x:f>IFERROR(__xludf.DUMMYFUNCTION("""COMPUTED_VALUE"""),"2005")</x:f>
      </x:c>
    </x:row>
    <x:row r="87" spans="1:10">
      <x:c r="A87" s="1" t="s">
        <x:v>96</x:v>
      </x:c>
      <x:c r="B87" s="1">
        <x:f>IFERROR(__xludf.DUMMYFUNCTION("""COMPUTED_VALUE"""),"71")</x:f>
      </x:c>
      <x:c r="C87" s="1">
        <x:f>IFERROR(__xludf.DUMMYFUNCTION("""COMPUTED_VALUE"""),"2014")</x:f>
      </x:c>
    </x:row>
    <x:row r="88" spans="1:10">
      <x:c r="A88" s="1" t="s">
        <x:v>97</x:v>
      </x:c>
      <x:c r="B88" s="1">
        <x:f>IFERROR(__xludf.DUMMYFUNCTION("""COMPUTED_VALUE"""),"72 dies al límit")</x:f>
      </x:c>
      <x:c r="C88" s="1">
        <x:f>IFERROR(__xludf.DUMMYFUNCTION("""COMPUTED_VALUE"""),"2020")</x:f>
      </x:c>
    </x:row>
    <x:row r="89" spans="1:10">
      <x:c r="A89" s="1" t="s">
        <x:v>98</x:v>
      </x:c>
      <x:c r="B89" s="1">
        <x:f>IFERROR(__xludf.DUMMYFUNCTION("""COMPUTED_VALUE"""),"75a Nit de les Lletres Catalanes - 66è Premi Sant Jordi")</x:f>
      </x:c>
      <x:c r="C89" s="1">
        <x:f>IFERROR(__xludf.DUMMYFUNCTION("""COMPUTED_VALUE"""),"2026")</x:f>
      </x:c>
    </x:row>
    <x:row r="90" spans="1:10">
      <x:c r="A90" s="1" t="s">
        <x:v>99</x:v>
      </x:c>
      <x:c r="B90" s="1">
        <x:f>IFERROR(__xludf.DUMMYFUNCTION("""COMPUTED_VALUE"""),"78/52 [VOSC]")</x:f>
      </x:c>
      <x:c r="C90" s="1">
        <x:f>IFERROR(__xludf.DUMMYFUNCTION("""COMPUTED_VALUE"""),"2017")</x:f>
      </x:c>
    </x:row>
    <x:row r="91" spans="1:10">
      <x:c r="A91" s="1" t="s">
        <x:v>100</x:v>
      </x:c>
      <x:c r="B91" s="1">
        <x:f>IFERROR(__xludf.DUMMYFUNCTION("""COMPUTED_VALUE"""),"88")</x:f>
      </x:c>
      <x:c r="C91" s="1">
        <x:f>IFERROR(__xludf.DUMMYFUNCTION("""COMPUTED_VALUE"""),"2012")</x:f>
      </x:c>
    </x:row>
    <x:row r="92" spans="1:10">
      <x:c r="A92" s="1" t="s">
        <x:v>101</x:v>
      </x:c>
      <x:c r="B92" s="1">
        <x:f>IFERROR(__xludf.DUMMYFUNCTION("""COMPUTED_VALUE"""),"88 minuts")</x:f>
      </x:c>
      <x:c r="C92" s="1">
        <x:f>IFERROR(__xludf.DUMMYFUNCTION("""COMPUTED_VALUE"""),"2007")</x:f>
      </x:c>
    </x:row>
    <x:row r="93" spans="1:10">
      <x:c r="A93" s="1" t="s">
        <x:v>102</x:v>
      </x:c>
      <x:c r="B93" s="1">
        <x:f>IFERROR(__xludf.DUMMYFUNCTION("""COMPUTED_VALUE"""),"9")</x:f>
      </x:c>
      <x:c r="C93" s="1">
        <x:f>IFERROR(__xludf.DUMMYFUNCTION("""COMPUTED_VALUE"""),"2009")</x:f>
      </x:c>
    </x:row>
    <x:row r="94" spans="1:10">
      <x:c r="A94" s="1" t="s">
        <x:v>103</x:v>
      </x:c>
      <x:c r="B94" s="1">
        <x:f>IFERROR(__xludf.DUMMYFUNCTION("""COMPUTED_VALUE"""),"99 cases")</x:f>
      </x:c>
      <x:c r="C94" s="1">
        <x:f>IFERROR(__xludf.DUMMYFUNCTION("""COMPUTED_VALUE"""),"2014")</x:f>
      </x:c>
    </x:row>
    <x:row r="95" spans="1:10">
      <x:c r="A95" s="1" t="s">
        <x:v>104</x:v>
      </x:c>
      <x:c r="B95" s="1">
        <x:f>IFERROR(__xludf.DUMMYFUNCTION("""COMPUTED_VALUE"""),"A 20 milions de milles de la Terra")</x:f>
      </x:c>
      <x:c r="C95" s="1">
        <x:f>IFERROR(__xludf.DUMMYFUNCTION("""COMPUTED_VALUE"""),"1957")</x:f>
      </x:c>
    </x:row>
    <x:row r="96" spans="1:10">
      <x:c r="A96" s="1" t="s">
        <x:v>105</x:v>
      </x:c>
      <x:c r="B96" s="1">
        <x:f>IFERROR(__xludf.DUMMYFUNCTION("""COMPUTED_VALUE"""),"A 47 metres")</x:f>
      </x:c>
      <x:c r="C96" s="1">
        <x:f>IFERROR(__xludf.DUMMYFUNCTION("""COMPUTED_VALUE"""),"2017")</x:f>
      </x:c>
    </x:row>
    <x:row r="97" spans="1:10">
      <x:c r="A97" s="1" t="s">
        <x:v>106</x:v>
      </x:c>
      <x:c r="B97" s="1">
        <x:f>IFERROR(__xludf.DUMMYFUNCTION("""COMPUTED_VALUE"""),"A casa per Nadal")</x:f>
      </x:c>
      <x:c r="C97" s="1">
        <x:f>IFERROR(__xludf.DUMMYFUNCTION("""COMPUTED_VALUE"""),"2010")</x:f>
      </x:c>
    </x:row>
    <x:row r="98" spans="1:10">
      <x:c r="A98" s="1" t="s">
        <x:v>107</x:v>
      </x:c>
      <x:c r="B98" s="1">
        <x:f>IFERROR(__xludf.DUMMYFUNCTION("""COMPUTED_VALUE"""),"A cegues")</x:f>
      </x:c>
      <x:c r="C98" s="1">
        <x:f>IFERROR(__xludf.DUMMYFUNCTION("""COMPUTED_VALUE"""),"2008")</x:f>
      </x:c>
    </x:row>
    <x:row r="99" spans="1:10">
      <x:c r="A99" s="1" t="s">
        <x:v>108</x:v>
      </x:c>
      <x:c r="B99" s="1">
        <x:f>IFERROR(__xludf.DUMMYFUNCTION("""COMPUTED_VALUE"""),"A dieta")</x:f>
      </x:c>
      <x:c r="C99" s="1">
        <x:f>IFERROR(__xludf.DUMMYFUNCTION("""COMPUTED_VALUE"""),"2026")</x:f>
      </x:c>
    </x:row>
    <x:row r="100" spans="1:10">
      <x:c r="A100" s="1" t="s">
        <x:v>109</x:v>
      </x:c>
      <x:c r="B100" s="1">
        <x:f>IFERROR(__xludf.DUMMYFUNCTION("""COMPUTED_VALUE"""),"A dins de Gaza")</x:f>
      </x:c>
      <x:c r="C100" s="1">
        <x:f>IFERROR(__xludf.DUMMYFUNCTION("""COMPUTED_VALUE"""),"2025")</x:f>
      </x:c>
    </x:row>
    <x:row r="101" spans="1:10">
      <x:c r="A101" s="1" t="s">
        <x:v>110</x:v>
      </x:c>
      <x:c r="B101" s="1">
        <x:f>IFERROR(__xludf.DUMMYFUNCTION("""COMPUTED_VALUE"""),"A foc lent")</x:f>
      </x:c>
      <x:c r="C101" s="1">
        <x:f>IFERROR(__xludf.DUMMYFUNCTION("""COMPUTED_VALUE"""),"2023")</x:f>
      </x:c>
    </x:row>
    <x:row r="102" spans="1:10">
      <x:c r="A102" s="1" t="s">
        <x:v>111</x:v>
      </x:c>
      <x:c r="B102" s="1">
        <x:f>IFERROR(__xludf.DUMMYFUNCTION("""COMPUTED_VALUE"""),"A fons")</x:f>
      </x:c>
      <x:c r="C102" s="1">
        <x:f>IFERROR(__xludf.DUMMYFUNCTION("""COMPUTED_VALUE"""),"2016")</x:f>
      </x:c>
    </x:row>
    <x:row r="103" spans="1:10">
      <x:c r="A103" s="1" t="s">
        <x:v>112</x:v>
      </x:c>
      <x:c r="B103" s="1">
        <x:f>IFERROR(__xludf.DUMMYFUNCTION("""COMPUTED_VALUE"""),"A good american. El preu de la nostra seguretat [VOSC]")</x:f>
      </x:c>
      <x:c r="C103" s="1">
        <x:f>IFERROR(__xludf.DUMMYFUNCTION("""COMPUTED_VALUE"""),"2015")</x:f>
      </x:c>
    </x:row>
    <x:row r="104" spans="1:10">
      <x:c r="A104" s="1" t="s">
        <x:v>113</x:v>
      </x:c>
      <x:c r="B104" s="1">
        <x:f>IFERROR(__xludf.DUMMYFUNCTION("""COMPUTED_VALUE"""),"A hard day's night [VOSC]")</x:f>
      </x:c>
      <x:c r="C104" s="1">
        <x:f>IFERROR(__xludf.DUMMYFUNCTION("""COMPUTED_VALUE"""),"1964")</x:f>
      </x:c>
    </x:row>
    <x:row r="105" spans="1:10">
      <x:c r="A105" s="1" t="s">
        <x:v>114</x:v>
      </x:c>
      <x:c r="B105" s="1">
        <x:f>IFERROR(__xludf.DUMMYFUNCTION("""COMPUTED_VALUE"""),"A Haunted House")</x:f>
      </x:c>
      <x:c r="C105" s="1">
        <x:f>IFERROR(__xludf.DUMMYFUNCTION("""COMPUTED_VALUE"""),"2013")</x:f>
      </x:c>
    </x:row>
    <x:row r="106" spans="1:10">
      <x:c r="A106" s="1" t="s">
        <x:v>115</x:v>
      </x:c>
      <x:c r="B106" s="1">
        <x:f>IFERROR(__xludf.DUMMYFUNCTION("""COMPUTED_VALUE"""),"A l'altra banda del món")</x:f>
      </x:c>
      <x:c r="C106" s="1">
        <x:f>IFERROR(__xludf.DUMMYFUNCTION("""COMPUTED_VALUE"""),"2009")</x:f>
      </x:c>
    </x:row>
    <x:row r="107" spans="1:10">
      <x:c r="A107" s="1" t="s">
        <x:v>116</x:v>
      </x:c>
      <x:c r="B107" s="1">
        <x:f>IFERROR(__xludf.DUMMYFUNCTION("""COMPUTED_VALUE"""),"A l'altre costat [VOSC]")</x:f>
      </x:c>
      <x:c r="C107" s="1">
        <x:f>IFERROR(__xludf.DUMMYFUNCTION("""COMPUTED_VALUE"""),"2007")</x:f>
      </x:c>
    </x:row>
    <x:row r="108" spans="1:10">
      <x:c r="A108" s="1" t="s">
        <x:v>117</x:v>
      </x:c>
      <x:c r="B108" s="1">
        <x:f>IFERROR(__xludf.DUMMYFUNCTION("""COMPUTED_VALUE"""),"A l'antiga")</x:f>
      </x:c>
      <x:c r="C108" s="1">
        <x:f>IFERROR(__xludf.DUMMYFUNCTION("""COMPUTED_VALUE"""),"2024")</x:f>
      </x:c>
    </x:row>
    <x:row r="109" spans="1:10">
      <x:c r="A109" s="1" t="s">
        <x:v>118</x:v>
      </x:c>
      <x:c r="B109" s="1">
        <x:f>IFERROR(__xludf.DUMMYFUNCTION("""COMPUTED_VALUE"""),"A l'aventura, El Nepal")</x:f>
      </x:c>
      <x:c r="C109" s="1">
        <x:f>IFERROR(__xludf.DUMMYFUNCTION("""COMPUTED_VALUE"""),"2006")</x:f>
      </x:c>
    </x:row>
    <x:row r="110" spans="1:10">
      <x:c r="A110" s="1" t="s">
        <x:v>119</x:v>
      </x:c>
      <x:c r="B110" s="1">
        <x:f>IFERROR(__xludf.DUMMYFUNCTION("""COMPUTED_VALUE"""),"A l'est de Java")</x:f>
      </x:c>
      <x:c r="C110" s="1">
        <x:f>IFERROR(__xludf.DUMMYFUNCTION("""COMPUTED_VALUE"""),"1968")</x:f>
      </x:c>
    </x:row>
    <x:row r="111" spans="1:10">
      <x:c r="A111" s="1" t="s">
        <x:v>120</x:v>
      </x:c>
      <x:c r="B111" s="1">
        <x:f>IFERROR(__xludf.DUMMYFUNCTION("""COMPUTED_VALUE"""),"A l'Olivia")</x:f>
      </x:c>
      <x:c r="C111" s="1">
        <x:f>IFERROR(__xludf.DUMMYFUNCTION("""COMPUTED_VALUE"""),"2021")</x:f>
      </x:c>
    </x:row>
    <x:row r="112" spans="1:10">
      <x:c r="A112" s="1" t="s">
        <x:v>121</x:v>
      </x:c>
      <x:c r="B112" s="1">
        <x:f>IFERROR(__xludf.DUMMYFUNCTION("""COMPUTED_VALUE"""),"A l'ombra")</x:f>
      </x:c>
      <x:c r="C112" s="1">
        <x:f>IFERROR(__xludf.DUMMYFUNCTION("""COMPUTED_VALUE"""),"2017")</x:f>
      </x:c>
    </x:row>
    <x:row r="113" spans="1:10">
      <x:c r="A113" s="1" t="s">
        <x:v>122</x:v>
      </x:c>
      <x:c r="B113" s="1">
        <x:f>IFERROR(__xludf.DUMMYFUNCTION("""COMPUTED_VALUE"""),"A l'ombra de Kennedy")</x:f>
      </x:c>
      <x:c r="C113" s="1">
        <x:f>IFERROR(__xludf.DUMMYFUNCTION("""COMPUTED_VALUE"""),"2016")</x:f>
      </x:c>
    </x:row>
    <x:row r="114" spans="1:10">
      <x:c r="A114" s="1" t="s">
        <x:v>123</x:v>
      </x:c>
      <x:c r="B114" s="1">
        <x:f>IFERROR(__xludf.DUMMYFUNCTION("""COMPUTED_VALUE"""),"A l'ull de la tempesta")</x:f>
      </x:c>
      <x:c r="C114" s="1">
        <x:f>IFERROR(__xludf.DUMMYFUNCTION("""COMPUTED_VALUE"""),"2014")</x:f>
      </x:c>
    </x:row>
    <x:row r="115" spans="1:10">
      <x:c r="A115" s="1" t="s">
        <x:v>124</x:v>
      </x:c>
      <x:c r="B115" s="1">
        <x:f>IFERROR(__xludf.DUMMYFUNCTION("""COMPUTED_VALUE"""),"A la boira")</x:f>
      </x:c>
      <x:c r="C115" s="1">
        <x:f>IFERROR(__xludf.DUMMYFUNCTION("""COMPUTED_VALUE"""),"2012")</x:f>
      </x:c>
    </x:row>
    <x:row r="116" spans="1:10">
      <x:c r="A116" s="1" t="s">
        <x:v>125</x:v>
      </x:c>
      <x:c r="B116" s="1">
        <x:f>IFERROR(__xludf.DUMMYFUNCTION("""COMPUTED_VALUE"""),"A la casa")</x:f>
      </x:c>
      <x:c r="C116" s="1">
        <x:f>IFERROR(__xludf.DUMMYFUNCTION("""COMPUTED_VALUE"""),"2012")</x:f>
      </x:c>
    </x:row>
    <x:row r="117" spans="1:10">
      <x:c r="A117" s="1" t="s">
        <x:v>126</x:v>
      </x:c>
      <x:c r="B117" s="1">
        <x:f>IFERROR(__xludf.DUMMYFUNCTION("""COMPUTED_VALUE"""),"A la ciutat")</x:f>
      </x:c>
      <x:c r="C117" s="1">
        <x:f>IFERROR(__xludf.DUMMYFUNCTION("""COMPUTED_VALUE"""),"2003")</x:f>
      </x:c>
    </x:row>
    <x:row r="118" spans="1:10">
      <x:c r="A118" s="1" t="s">
        <x:v>127</x:v>
      </x:c>
      <x:c r="B118" s="1">
        <x:f>IFERROR(__xludf.DUMMYFUNCTION("""COMPUTED_VALUE"""),"A la corda fluixa")</x:f>
      </x:c>
      <x:c r="C118" s="1">
        <x:f>IFERROR(__xludf.DUMMYFUNCTION("""COMPUTED_VALUE"""),"2005")</x:f>
      </x:c>
    </x:row>
    <x:row r="119" spans="1:10">
      <x:c r="A119" s="1" t="s">
        <x:v>128</x:v>
      </x:c>
      <x:c r="B119" s="1">
        <x:f>IFERROR(__xludf.DUMMYFUNCTION("""COMPUTED_VALUE"""),"A la deriva")</x:f>
      </x:c>
      <x:c r="C119" s="1">
        <x:f>IFERROR(__xludf.DUMMYFUNCTION("""COMPUTED_VALUE"""),"2009")</x:f>
      </x:c>
    </x:row>
    <x:row r="120" spans="1:10">
      <x:c r="A120" s="1" t="s">
        <x:v>129</x:v>
      </x:c>
      <x:c r="B120" s="1">
        <x:f>IFERROR(__xludf.DUMMYFUNCTION("""COMPUTED_VALUE"""),"A la deriva")</x:f>
      </x:c>
      <x:c r="C120" s="1">
        <x:f>IFERROR(__xludf.DUMMYFUNCTION("""COMPUTED_VALUE"""),"2018")</x:f>
      </x:c>
    </x:row>
    <x:row r="121" spans="1:10">
      <x:c r="A121" s="1" t="s">
        <x:v>130</x:v>
      </x:c>
      <x:c r="B121" s="1">
        <x:f>IFERROR(__xludf.DUMMYFUNCTION("""COMPUTED_VALUE"""),"A la flor de la vida")</x:f>
      </x:c>
      <x:c r="C121" s="1">
        <x:f>IFERROR(__xludf.DUMMYFUNCTION("""COMPUTED_VALUE"""),"2012")</x:f>
      </x:c>
    </x:row>
    <x:row r="122" spans="1:10">
      <x:c r="A122" s="1" t="s">
        <x:v>131</x:v>
      </x:c>
      <x:c r="B122" s="1">
        <x:f>IFERROR(__xludf.DUMMYFUNCTION("""COMPUTED_VALUE"""),"A la recerca d'en Forrester")</x:f>
      </x:c>
      <x:c r="C122" s="1">
        <x:f>IFERROR(__xludf.DUMMYFUNCTION("""COMPUTED_VALUE"""),"2000")</x:f>
      </x:c>
    </x:row>
    <x:row r="123" spans="1:10">
      <x:c r="A123" s="1" t="s">
        <x:v>132</x:v>
      </x:c>
      <x:c r="B123" s="1">
        <x:f>IFERROR(__xludf.DUMMYFUNCTION("""COMPUTED_VALUE"""),"A la recerca de l'Estel de Nadal")</x:f>
      </x:c>
      <x:c r="C123" s="1">
        <x:f>IFERROR(__xludf.DUMMYFUNCTION("""COMPUTED_VALUE"""),"2012")</x:f>
      </x:c>
    </x:row>
    <x:row r="124" spans="1:10">
      <x:c r="A124" s="1" t="s">
        <x:v>133</x:v>
      </x:c>
      <x:c r="B124" s="1">
        <x:f>IFERROR(__xludf.DUMMYFUNCTION("""COMPUTED_VALUE"""),"A la recerca de la vall encantada")</x:f>
      </x:c>
      <x:c r="C124" s="1">
        <x:f>IFERROR(__xludf.DUMMYFUNCTION("""COMPUTED_VALUE"""),"1988")</x:f>
      </x:c>
    </x:row>
    <x:row r="125" spans="1:10">
      <x:c r="A125" s="1" t="s">
        <x:v>134</x:v>
      </x:c>
      <x:c r="B125" s="1">
        <x:f>IFERROR(__xludf.DUMMYFUNCTION("""COMPUTED_VALUE"""),"A la recerca de la Vall Encantada 2: Aventura a la gran vall")</x:f>
      </x:c>
      <x:c r="C125" s="1">
        <x:f>IFERROR(__xludf.DUMMYFUNCTION("""COMPUTED_VALUE"""),"1994")</x:f>
      </x:c>
    </x:row>
    <x:row r="126" spans="1:10">
      <x:c r="A126" s="1" t="s">
        <x:v>135</x:v>
      </x:c>
      <x:c r="B126" s="1">
        <x:f>IFERROR(__xludf.DUMMYFUNCTION("""COMPUTED_VALUE"""),"A la recerca de la Vall Encantada 3: La font de la vida")</x:f>
      </x:c>
      <x:c r="C126" s="1">
        <x:f>IFERROR(__xludf.DUMMYFUNCTION("""COMPUTED_VALUE"""),"1995")</x:f>
      </x:c>
    </x:row>
    <x:row r="127" spans="1:10">
      <x:c r="A127" s="1" t="s">
        <x:v>136</x:v>
      </x:c>
      <x:c r="B127" s="1">
        <x:f>IFERROR(__xludf.DUMMYFUNCTION("""COMPUTED_VALUE"""),"A la recerca de la Vall Encantada 4: Viatge a la terra de les boires")</x:f>
      </x:c>
      <x:c r="C127" s="1">
        <x:f>IFERROR(__xludf.DUMMYFUNCTION("""COMPUTED_VALUE"""),"1996")</x:f>
      </x:c>
    </x:row>
    <x:row r="128" spans="1:10">
      <x:c r="A128" s="1" t="s">
        <x:v>137</x:v>
      </x:c>
      <x:c r="B128" s="1">
        <x:f>IFERROR(__xludf.DUMMYFUNCTION("""COMPUTED_VALUE"""),"A la recerca de la Vall Encantada 5: L'Illa Misteriosa")</x:f>
      </x:c>
      <x:c r="C128" s="1">
        <x:f>IFERROR(__xludf.DUMMYFUNCTION("""COMPUTED_VALUE"""),"1997")</x:f>
      </x:c>
    </x:row>
    <x:row r="129" spans="1:10">
      <x:c r="A129" s="1" t="s">
        <x:v>138</x:v>
      </x:c>
      <x:c r="B129" s="1">
        <x:f>IFERROR(__xludf.DUMMYFUNCTION("""COMPUTED_VALUE"""),"A la recerca de Steele")</x:f>
      </x:c>
      <x:c r="C129" s="1">
        <x:f>IFERROR(__xludf.DUMMYFUNCTION("""COMPUTED_VALUE"""),"2013")</x:f>
      </x:c>
    </x:row>
    <x:row r="130" spans="1:10">
      <x:c r="A130" s="1" t="s">
        <x:v>139</x:v>
      </x:c>
      <x:c r="B130" s="1">
        <x:f>IFERROR(__xludf.DUMMYFUNCTION("""COMPUTED_VALUE"""),"A la recerca de Sugar Man")</x:f>
      </x:c>
      <x:c r="C130" s="1">
        <x:f>IFERROR(__xludf.DUMMYFUNCTION("""COMPUTED_VALUE"""),"2012")</x:f>
      </x:c>
    </x:row>
    <x:row r="131" spans="1:10">
      <x:c r="A131" s="1" t="s">
        <x:v>140</x:v>
      </x:c>
      <x:c r="B131" s="1">
        <x:f>IFERROR(__xludf.DUMMYFUNCTION("""COMPUTED_VALUE"""),"A la recerca del Grial")</x:f>
      </x:c>
      <x:c r="C131" s="1">
        <x:f>IFERROR(__xludf.DUMMYFUNCTION("""COMPUTED_VALUE"""),"2005")</x:f>
      </x:c>
    </x:row>
    <x:row r="132" spans="1:10">
      <x:c r="A132" s="1" t="s">
        <x:v>141</x:v>
      </x:c>
      <x:c r="B132" s="1">
        <x:f>IFERROR(__xludf.DUMMYFUNCTION("""COMPUTED_VALUE"""),"A la soledat")</x:f>
      </x:c>
      <x:c r="C132" s="1">
        <x:f>IFERROR(__xludf.DUMMYFUNCTION("""COMPUTED_VALUE"""),"2008")</x:f>
      </x:c>
    </x:row>
    <x:row r="133" spans="1:10">
      <x:c r="A133" s="1" t="s">
        <x:v>142</x:v>
      </x:c>
      <x:c r="B133" s="1">
        <x:f>IFERROR(__xludf.DUMMYFUNCTION("""COMPUTED_VALUE"""),"A la vall d'Elah")</x:f>
      </x:c>
      <x:c r="C133" s="1">
        <x:f>IFERROR(__xludf.DUMMYFUNCTION("""COMPUTED_VALUE"""),"2007")</x:f>
      </x:c>
    </x:row>
    <x:row r="134" spans="1:10">
      <x:c r="A134" s="1" t="s">
        <x:v>143</x:v>
      </x:c>
      <x:c r="B134" s="1">
        <x:f>IFERROR(__xludf.DUMMYFUNCTION("""COMPUTED_VALUE"""),"A Lab Story [VOSC]")</x:f>
      </x:c>
      <x:c r="C134" s="1">
        <x:f>IFERROR(__xludf.DUMMYFUNCTION("""COMPUTED_VALUE"""),"2024")</x:f>
      </x:c>
    </x:row>
    <x:row r="135" spans="1:10">
      <x:c r="A135" s="1" t="s">
        <x:v>144</x:v>
      </x:c>
      <x:c r="B135" s="1">
        <x:f>IFERROR(__xludf.DUMMYFUNCTION("""COMPUTED_VALUE"""),"A les seves mans")</x:f>
      </x:c>
      <x:c r="C135" s="1">
        <x:f>IFERROR(__xludf.DUMMYFUNCTION("""COMPUTED_VALUE"""),"2010")</x:f>
      </x:c>
    </x:row>
    <x:row r="136" spans="1:10">
      <x:c r="A136" s="1" t="s">
        <x:v>145</x:v>
      </x:c>
      <x:c r="B136" s="1">
        <x:f>IFERROR(__xludf.DUMMYFUNCTION("""COMPUTED_VALUE"""),"A les seves sabates")</x:f>
      </x:c>
      <x:c r="C136" s="1">
        <x:f>IFERROR(__xludf.DUMMYFUNCTION("""COMPUTED_VALUE"""),"2005")</x:f>
      </x:c>
    </x:row>
    <x:row r="137" spans="1:10">
      <x:c r="A137" s="1" t="s">
        <x:v>146</x:v>
      </x:c>
      <x:c r="B137" s="1">
        <x:f>IFERROR(__xludf.DUMMYFUNCTION("""COMPUTED_VALUE"""),"A les verdes i a les madures")</x:f>
      </x:c>
      <x:c r="C137" s="1">
        <x:f>IFERROR(__xludf.DUMMYFUNCTION("""COMPUTED_VALUE"""),"2023")</x:f>
      </x:c>
    </x:row>
    <x:row r="138" spans="1:10">
      <x:c r="A138" s="1" t="s">
        <x:v>147</x:v>
      </x:c>
      <x:c r="B138" s="1">
        <x:f>IFERROR(__xludf.DUMMYFUNCTION("""COMPUTED_VALUE"""),"A Pink Christmas")</x:f>
      </x:c>
      <x:c r="C138" s="1">
        <x:f>IFERROR(__xludf.DUMMYFUNCTION("""COMPUTED_VALUE"""),"1978")</x:f>
      </x:c>
    </x:row>
    <x:row r="139" spans="1:10">
      <x:c r="A139" s="1" t="s">
        <x:v>148</x:v>
      </x:c>
      <x:c r="B139" s="1">
        <x:f>IFERROR(__xludf.DUMMYFUNCTION("""COMPUTED_VALUE"""),"A qualsevol preu")</x:f>
      </x:c>
      <x:c r="C139" s="1">
        <x:f>IFERROR(__xludf.DUMMYFUNCTION("""COMPUTED_VALUE"""),"2012")</x:f>
      </x:c>
    </x:row>
    <x:row r="140" spans="1:10">
      <x:c r="A140" s="1" t="s">
        <x:v>149</x:v>
      </x:c>
      <x:c r="B140" s="1">
        <x:f>IFERROR(__xludf.DUMMYFUNCTION("""COMPUTED_VALUE"""),"A qui estima, en Gilbert Grape?")</x:f>
      </x:c>
      <x:c r="C140" s="1">
        <x:f>IFERROR(__xludf.DUMMYFUNCTION("""COMPUTED_VALUE"""),"1993")</x:f>
      </x:c>
    </x:row>
    <x:row r="141" spans="1:10">
      <x:c r="A141" s="1" t="s">
        <x:v>150</x:v>
      </x:c>
      <x:c r="B141" s="1">
        <x:f>IFERROR(__xludf.DUMMYFUNCTION("""COMPUTED_VALUE"""),"A Roma amb amor")</x:f>
      </x:c>
      <x:c r="C141" s="1">
        <x:f>IFERROR(__xludf.DUMMYFUNCTION("""COMPUTED_VALUE"""),"2012")</x:f>
      </x:c>
    </x:row>
    <x:row r="142" spans="1:10">
      <x:c r="A142" s="1" t="s">
        <x:v>151</x:v>
      </x:c>
      <x:c r="B142" s="1">
        <x:f>IFERROR(__xludf.DUMMYFUNCTION("""COMPUTED_VALUE"""),"A Scanner Darkly [VOSC]")</x:f>
      </x:c>
      <x:c r="C142" s="1">
        <x:f>IFERROR(__xludf.DUMMYFUNCTION("""COMPUTED_VALUE"""),"2006")</x:f>
      </x:c>
    </x:row>
    <x:row r="143" spans="1:10">
      <x:c r="A143" s="1" t="s">
        <x:v>152</x:v>
      </x:c>
      <x:c r="B143" s="1">
        <x:f>IFERROR(__xludf.DUMMYFUNCTION("""COMPUTED_VALUE"""),"A Seattle amb amor")</x:f>
      </x:c>
      <x:c r="C143" s="1">
        <x:f>IFERROR(__xludf.DUMMYFUNCTION("""COMPUTED_VALUE"""),"2015")</x:f>
      </x:c>
    </x:row>
    <x:row r="144" spans="1:10">
      <x:c r="A144" s="1" t="s">
        <x:v>153</x:v>
      </x:c>
      <x:c r="B144" s="1">
        <x:f>IFERROR(__xludf.DUMMYFUNCTION("""COMPUTED_VALUE"""),"A tal mare, tal filla")</x:f>
      </x:c>
      <x:c r="C144" s="1">
        <x:f>IFERROR(__xludf.DUMMYFUNCTION("""COMPUTED_VALUE"""),"2017")</x:f>
      </x:c>
    </x:row>
    <x:row r="145" spans="1:10">
      <x:c r="A145" s="1" t="s">
        <x:v>154</x:v>
      </x:c>
      <x:c r="B145" s="1">
        <x:f>IFERROR(__xludf.DUMMYFUNCTION("""COMPUTED_VALUE"""),"A temps complet")</x:f>
      </x:c>
      <x:c r="C145" s="1">
        <x:f>IFERROR(__xludf.DUMMYFUNCTION("""COMPUTED_VALUE"""),"2021")</x:f>
      </x:c>
    </x:row>
    <x:row r="146" spans="1:10">
      <x:c r="A146" s="1" t="s">
        <x:v>155</x:v>
      </x:c>
      <x:c r="B146" s="1">
        <x:f>IFERROR(__xludf.DUMMYFUNCTION("""COMPUTED_VALUE"""),"A tocar del cel")</x:f>
      </x:c>
      <x:c r="C146" s="1">
        <x:f>IFERROR(__xludf.DUMMYFUNCTION("""COMPUTED_VALUE"""),"2026")</x:f>
      </x:c>
    </x:row>
    <x:row r="147" spans="1:10">
      <x:c r="A147" s="1" t="s">
        <x:v>156</x:v>
      </x:c>
      <x:c r="B147" s="1">
        <x:f>IFERROR(__xludf.DUMMYFUNCTION("""COMPUTED_VALUE"""),"A totes")</x:f>
      </x:c>
      <x:c r="C147" s="1">
        <x:f>IFERROR(__xludf.DUMMYFUNCTION("""COMPUTED_VALUE"""),"2009")</x:f>
      </x:c>
    </x:row>
    <x:row r="148" spans="1:10">
      <x:c r="A148" s="1" t="s">
        <x:v>157</x:v>
      </x:c>
      <x:c r="B148" s="1">
        <x:f>IFERROR(__xludf.DUMMYFUNCTION("""COMPUTED_VALUE"""),"A trenc d’alba - part I")</x:f>
      </x:c>
      <x:c r="C148" s="1">
        <x:f>IFERROR(__xludf.DUMMYFUNCTION("""COMPUTED_VALUE"""),"2011")</x:f>
      </x:c>
    </x:row>
    <x:row r="149" spans="1:10">
      <x:c r="A149" s="1" t="s">
        <x:v>158</x:v>
      </x:c>
      <x:c r="B149" s="1">
        <x:f>IFERROR(__xludf.DUMMYFUNCTION("""COMPUTED_VALUE"""),"A trenc d’alba - part II")</x:f>
      </x:c>
      <x:c r="C149" s="1">
        <x:f>IFERROR(__xludf.DUMMYFUNCTION("""COMPUTED_VALUE"""),"2012")</x:f>
      </x:c>
    </x:row>
    <x:row r="150" spans="1:10">
      <x:c r="A150" s="1" t="s">
        <x:v>159</x:v>
      </x:c>
      <x:c r="B150" s="1">
        <x:f>IFERROR(__xludf.DUMMYFUNCTION("""COMPUTED_VALUE"""),"A vida o mort")</x:f>
      </x:c>
      <x:c r="C150" s="1">
        <x:f>IFERROR(__xludf.DUMMYFUNCTION("""COMPUTED_VALUE"""),"1946")</x:f>
      </x:c>
    </x:row>
    <x:row r="151" spans="1:10">
      <x:c r="A151" s="1" t="s">
        <x:v>160</x:v>
      </x:c>
      <x:c r="B151" s="1">
        <x:f>IFERROR(__xludf.DUMMYFUNCTION("""COMPUTED_VALUE"""),"Abaixa el cap, maleït!")</x:f>
      </x:c>
      <x:c r="C151" s="1">
        <x:f>IFERROR(__xludf.DUMMYFUNCTION("""COMPUTED_VALUE"""),"1972")</x:f>
      </x:c>
    </x:row>
    <x:row r="152" spans="1:10">
      <x:c r="A152" s="1" t="s">
        <x:v>161</x:v>
      </x:c>
      <x:c r="B152" s="1">
        <x:f>IFERROR(__xludf.DUMMYFUNCTION("""COMPUTED_VALUE"""),"Abans de demà")</x:f>
      </x:c>
      <x:c r="C152" s="1">
        <x:f>IFERROR(__xludf.DUMMYFUNCTION("""COMPUTED_VALUE"""),"2017")</x:f>
      </x:c>
    </x:row>
    <x:row r="153" spans="1:10">
      <x:c r="A153" s="1" t="s">
        <x:v>162</x:v>
      </x:c>
      <x:c r="B153" s="1">
        <x:f>IFERROR(__xludf.DUMMYFUNCTION("""COMPUTED_VALUE"""),"Abans de tu")</x:f>
      </x:c>
      <x:c r="C153" s="1">
        <x:f>IFERROR(__xludf.DUMMYFUNCTION("""COMPUTED_VALUE"""),"2016")</x:f>
      </x:c>
    </x:row>
    <x:row r="154" spans="1:10">
      <x:c r="A154" s="1" t="s">
        <x:v>163</x:v>
      </x:c>
      <x:c r="B154" s="1">
        <x:f>IFERROR(__xludf.DUMMYFUNCTION("""COMPUTED_VALUE"""),"Abans del capvespre")</x:f>
      </x:c>
      <x:c r="C154" s="1">
        <x:f>IFERROR(__xludf.DUMMYFUNCTION("""COMPUTED_VALUE"""),"2013")</x:f>
      </x:c>
    </x:row>
    <x:row r="155" spans="1:10">
      <x:c r="A155" s="1" t="s">
        <x:v>164</x:v>
      </x:c>
      <x:c r="B155" s="1">
        <x:f>IFERROR(__xludf.DUMMYFUNCTION("""COMPUTED_VALUE"""),"Abans del fred hivern")</x:f>
      </x:c>
      <x:c r="C155" s="1">
        <x:f>IFERROR(__xludf.DUMMYFUNCTION("""COMPUTED_VALUE"""),"2013")</x:f>
      </x:c>
    </x:row>
    <x:row r="156" spans="1:10">
      <x:c r="A156" s="1" t="s">
        <x:v>165</x:v>
      </x:c>
      <x:c r="B156" s="1">
        <x:f>IFERROR(__xludf.DUMMYFUNCTION("""COMPUTED_VALUE"""),"Abans que el diable sàpiga que has mort")</x:f>
      </x:c>
      <x:c r="C156" s="1">
        <x:f>IFERROR(__xludf.DUMMYFUNCTION("""COMPUTED_VALUE"""),"2007")</x:f>
      </x:c>
    </x:row>
    <x:row r="157" spans="1:10">
      <x:c r="A157" s="1" t="s">
        <x:v>166</x:v>
      </x:c>
      <x:c r="B157" s="1">
        <x:f>IFERROR(__xludf.DUMMYFUNCTION("""COMPUTED_VALUE"""),"Abans que te'n vagis")</x:f>
      </x:c>
      <x:c r="C157" s="1">
        <x:f>IFERROR(__xludf.DUMMYFUNCTION("""COMPUTED_VALUE"""),"2014")</x:f>
      </x:c>
    </x:row>
    <x:row r="158" spans="1:10">
      <x:c r="A158" s="1" t="s">
        <x:v>167</x:v>
      </x:c>
      <x:c r="B158" s="1">
        <x:f>IFERROR(__xludf.DUMMYFUNCTION("""COMPUTED_VALUE"""),"Absolon")</x:f>
      </x:c>
      <x:c r="C158" s="1">
        <x:f>IFERROR(__xludf.DUMMYFUNCTION("""COMPUTED_VALUE"""),"2003")</x:f>
      </x:c>
    </x:row>
    <x:row r="159" spans="1:10">
      <x:c r="A159" s="1" t="s">
        <x:v>168</x:v>
      </x:c>
      <x:c r="B159" s="1">
        <x:f>IFERROR(__xludf.DUMMYFUNCTION("""COMPUTED_VALUE"""),"Absolutament tot")</x:f>
      </x:c>
      <x:c r="C159" s="1">
        <x:f>IFERROR(__xludf.DUMMYFUNCTION("""COMPUTED_VALUE"""),"2015")</x:f>
      </x:c>
    </x:row>
    <x:row r="160" spans="1:10">
      <x:c r="A160" s="1" t="s">
        <x:v>169</x:v>
      </x:c>
      <x:c r="B160" s="1">
        <x:f>IFERROR(__xludf.DUMMYFUNCTION("""COMPUTED_VALUE"""),"Acadèmia de vampirs")</x:f>
      </x:c>
      <x:c r="C160" s="1">
        <x:f>IFERROR(__xludf.DUMMYFUNCTION("""COMPUTED_VALUE"""),"2014")</x:f>
      </x:c>
    </x:row>
    <x:row r="161" spans="1:10">
      <x:c r="A161" s="1" t="s">
        <x:v>170</x:v>
      </x:c>
      <x:c r="B161" s="1">
        <x:f>IFERROR(__xludf.DUMMYFUNCTION("""COMPUTED_VALUE"""),"Acció Exterior, al cor de la diplomàcia europea")</x:f>
      </x:c>
      <x:c r="C161" s="1">
        <x:f>IFERROR(__xludf.DUMMYFUNCTION("""COMPUTED_VALUE"""),"2024")</x:f>
      </x:c>
    </x:row>
    <x:row r="162" spans="1:10">
      <x:c r="A162" s="1" t="s">
        <x:v>171</x:v>
      </x:c>
      <x:c r="B162" s="1">
        <x:f>IFERROR(__xludf.DUMMYFUNCTION("""COMPUTED_VALUE"""),"Acer blau")</x:f>
      </x:c>
      <x:c r="C162" s="1">
        <x:f>IFERROR(__xludf.DUMMYFUNCTION("""COMPUTED_VALUE"""),"1990")</x:f>
      </x:c>
    </x:row>
    <x:row r="163" spans="1:10">
      <x:c r="A163" s="1" t="s">
        <x:v>172</x:v>
      </x:c>
      <x:c r="B163" s="1">
        <x:f>IFERROR(__xludf.DUMMYFUNCTION("""COMPUTED_VALUE"""),"Achille Lauro: el creuer del terror")</x:f>
      </x:c>
      <x:c r="C163" s="1">
        <x:f>IFERROR(__xludf.DUMMYFUNCTION("""COMPUTED_VALUE"""),"2025")</x:f>
      </x:c>
    </x:row>
    <x:row r="164" spans="1:10">
      <x:c r="A164" s="1" t="s">
        <x:v>173</x:v>
      </x:c>
      <x:c r="B164" s="1">
        <x:f>IFERROR(__xludf.DUMMYFUNCTION("""COMPUTED_VALUE"""),"Acords i desacords")</x:f>
      </x:c>
      <x:c r="C164" s="1">
        <x:f>IFERROR(__xludf.DUMMYFUNCTION("""COMPUTED_VALUE"""),"1999")</x:f>
      </x:c>
    </x:row>
    <x:row r="165" spans="1:10">
      <x:c r="A165" s="1" t="s">
        <x:v>174</x:v>
      </x:c>
      <x:c r="B165" s="1">
        <x:f>IFERROR(__xludf.DUMMYFUNCTION("""COMPUTED_VALUE"""),"Actriu per telèfon")</x:f>
      </x:c>
      <x:c r="C165" s="1">
        <x:f>IFERROR(__xludf.DUMMYFUNCTION("""COMPUTED_VALUE"""),"1988")</x:f>
      </x:c>
    </x:row>
    <x:row r="166" spans="1:10">
      <x:c r="A166" s="1" t="s">
        <x:v>175</x:v>
      </x:c>
      <x:c r="B166" s="1">
        <x:f>IFERROR(__xludf.DUMMYFUNCTION("""COMPUTED_VALUE"""),"Actrius")</x:f>
      </x:c>
      <x:c r="C166" s="1">
        <x:f>IFERROR(__xludf.DUMMYFUNCTION("""COMPUTED_VALUE"""),"1997")</x:f>
      </x:c>
    </x:row>
    <x:row r="167" spans="1:10">
      <x:c r="A167" s="1" t="s">
        <x:v>176</x:v>
      </x:c>
      <x:c r="B167" s="1">
        <x:f>IFERROR(__xludf.DUMMYFUNCTION("""COMPUTED_VALUE"""),"Acusada per error")</x:f>
      </x:c>
      <x:c r="C167" s="1">
        <x:f>IFERROR(__xludf.DUMMYFUNCTION("""COMPUTED_VALUE"""),"2021")</x:f>
      </x:c>
    </x:row>
    <x:row r="168" spans="1:10">
      <x:c r="A168" s="1" t="s">
        <x:v>177</x:v>
      </x:c>
      <x:c r="B168" s="1">
        <x:f>IFERROR(__xludf.DUMMYFUNCTION("""COMPUTED_VALUE"""),"Acusat")</x:f>
      </x:c>
      <x:c r="C168" s="1">
        <x:f>IFERROR(__xludf.DUMMYFUNCTION("""COMPUTED_VALUE"""),"2023")</x:f>
      </x:c>
    </x:row>
    <x:row r="169" spans="1:10">
      <x:c r="A169" s="1" t="s">
        <x:v>178</x:v>
      </x:c>
      <x:c r="B169" s="1">
        <x:f>IFERROR(__xludf.DUMMYFUNCTION("""COMPUTED_VALUE"""),"Adam")</x:f>
      </x:c>
      <x:c r="C169" s="1">
        <x:f>IFERROR(__xludf.DUMMYFUNCTION("""COMPUTED_VALUE"""),"2019")</x:f>
      </x:c>
    </x:row>
    <x:row r="170" spans="1:10">
      <x:c r="A170" s="1" t="s">
        <x:v>179</x:v>
      </x:c>
      <x:c r="B170" s="1">
        <x:f>IFERROR(__xludf.DUMMYFUNCTION("""COMPUTED_VALUE"""),"Adaptation: el lladre d'orquídies")</x:f>
      </x:c>
      <x:c r="C170" s="1">
        <x:f>IFERROR(__xludf.DUMMYFUNCTION("""COMPUTED_VALUE"""),"2002")</x:f>
      </x:c>
    </x:row>
    <x:row r="171" spans="1:10">
      <x:c r="A171" s="1" t="s">
        <x:v>180</x:v>
      </x:c>
      <x:c r="B171" s="1">
        <x:f>IFERROR(__xludf.DUMMYFUNCTION("""COMPUTED_VALUE"""),"Adèle i el misteri de la mòmia")</x:f>
      </x:c>
      <x:c r="C171" s="1">
        <x:f>IFERROR(__xludf.DUMMYFUNCTION("""COMPUTED_VALUE"""),"2010")</x:f>
      </x:c>
    </x:row>
    <x:row r="172" spans="1:10">
      <x:c r="A172" s="1" t="s">
        <x:v>181</x:v>
      </x:c>
      <x:c r="B172" s="1">
        <x:f>IFERROR(__xludf.DUMMYFUNCTION("""COMPUTED_VALUE"""),"Adéu a la reina")</x:f>
      </x:c>
      <x:c r="C172" s="1">
        <x:f>IFERROR(__xludf.DUMMYFUNCTION("""COMPUTED_VALUE"""),"2012")</x:f>
      </x:c>
    </x:row>
    <x:row r="173" spans="1:10">
      <x:c r="A173" s="1" t="s">
        <x:v>182</x:v>
      </x:c>
      <x:c r="B173" s="1">
        <x:f>IFERROR(__xludf.DUMMYFUNCTION("""COMPUTED_VALUE"""),"Adéu a les armes")</x:f>
      </x:c>
      <x:c r="C173" s="1">
        <x:f>IFERROR(__xludf.DUMMYFUNCTION("""COMPUTED_VALUE"""),"1932")</x:f>
      </x:c>
    </x:row>
    <x:row r="174" spans="1:10">
      <x:c r="A174" s="1" t="s">
        <x:v>183</x:v>
      </x:c>
      <x:c r="B174" s="1">
        <x:f>IFERROR(__xludf.DUMMYFUNCTION("""COMPUTED_VALUE"""),"Adeu, Arturo")</x:f>
      </x:c>
      <x:c r="C174" s="1">
        <x:f>IFERROR(__xludf.DUMMYFUNCTION("""COMPUTED_VALUE"""),"2023")</x:f>
      </x:c>
    </x:row>
    <x:row r="175" spans="1:10">
      <x:c r="A175" s="1" t="s">
        <x:v>184</x:v>
      </x:c>
      <x:c r="B175" s="1">
        <x:f>IFERROR(__xludf.DUMMYFUNCTION("""COMPUTED_VALUE"""),"Adéu, Espanya?")</x:f>
      </x:c>
      <x:c r="C175" s="1">
        <x:f>IFERROR(__xludf.DUMMYFUNCTION("""COMPUTED_VALUE"""),"2010")</x:f>
      </x:c>
    </x:row>
    <x:row r="176" spans="1:10">
      <x:c r="A176" s="1" t="s">
        <x:v>185</x:v>
      </x:c>
      <x:c r="B176" s="1">
        <x:f>IFERROR(__xludf.DUMMYFUNCTION("""COMPUTED_VALUE"""),"Adéu, nena, adéu")</x:f>
      </x:c>
      <x:c r="C176" s="1">
        <x:f>IFERROR(__xludf.DUMMYFUNCTION("""COMPUTED_VALUE"""),"2007")</x:f>
      </x:c>
    </x:row>
    <x:row r="177" spans="1:10">
      <x:c r="A177" s="1" t="s">
        <x:v>186</x:v>
      </x:c>
      <x:c r="B177" s="1">
        <x:f>IFERROR(__xludf.DUMMYFUNCTION("""COMPUTED_VALUE"""),"Adeu, senyor Haffmann")</x:f>
      </x:c>
      <x:c r="C177" s="1">
        <x:f>IFERROR(__xludf.DUMMYFUNCTION("""COMPUTED_VALUE"""),"2021")</x:f>
      </x:c>
    </x:row>
    <x:row r="178" spans="1:10">
      <x:c r="A178" s="1" t="s">
        <x:v>187</x:v>
      </x:c>
      <x:c r="B178" s="1">
        <x:f>IFERROR(__xludf.DUMMYFUNCTION("""COMPUTED_VALUE"""),"Admiradora secreta")</x:f>
      </x:c>
      <x:c r="C178" s="1">
        <x:f>IFERROR(__xludf.DUMMYFUNCTION("""COMPUTED_VALUE"""),"1985")</x:f>
      </x:c>
    </x:row>
    <x:row r="179" spans="1:10">
      <x:c r="A179" s="1" t="s">
        <x:v>188</x:v>
      </x:c>
      <x:c r="B179" s="1">
        <x:f>IFERROR(__xludf.DUMMYFUNCTION("""COMPUTED_VALUE"""),"Adolescent i desapareguda")</x:f>
      </x:c>
      <x:c r="C179" s="1">
        <x:f>IFERROR(__xludf.DUMMYFUNCTION("""COMPUTED_VALUE"""),"2007")</x:f>
      </x:c>
    </x:row>
    <x:row r="180" spans="1:10">
      <x:c r="A180" s="1" t="s">
        <x:v>189</x:v>
      </x:c>
      <x:c r="B180" s="1">
        <x:f>IFERROR(__xludf.DUMMYFUNCTION("""COMPUTED_VALUE"""),"Adossats")</x:f>
      </x:c>
      <x:c r="C180" s="1">
        <x:f>IFERROR(__xludf.DUMMYFUNCTION("""COMPUTED_VALUE"""),"2019")</x:f>
      </x:c>
    </x:row>
    <x:row r="181" spans="1:10">
      <x:c r="A181" s="1" t="s">
        <x:v>190</x:v>
      </x:c>
      <x:c r="B181" s="1">
        <x:f>IFERROR(__xludf.DUMMYFUNCTION("""COMPUTED_VALUE"""),"Advocate [VOSC]")</x:f>
      </x:c>
      <x:c r="C181" s="1">
        <x:f>IFERROR(__xludf.DUMMYFUNCTION("""COMPUTED_VALUE"""),"2019")</x:f>
      </x:c>
    </x:row>
    <x:row r="182" spans="1:10">
      <x:c r="A182" s="1" t="s">
        <x:v>191</x:v>
      </x:c>
      <x:c r="B182" s="1">
        <x:f>IFERROR(__xludf.DUMMYFUNCTION("""COMPUTED_VALUE"""),"Aeon Flux")</x:f>
      </x:c>
      <x:c r="C182" s="1">
        <x:f>IFERROR(__xludf.DUMMYFUNCTION("""COMPUTED_VALUE"""),"2005")</x:f>
      </x:c>
    </x:row>
    <x:row r="183" spans="1:10">
      <x:c r="A183" s="1" t="s">
        <x:v>192</x:v>
      </x:c>
      <x:c r="B183" s="1">
        <x:f>IFERROR(__xludf.DUMMYFUNCTION("""COMPUTED_VALUE"""),"Afers extramatrimonials entre amics")</x:f>
      </x:c>
      <x:c r="C183" s="1">
        <x:f>IFERROR(__xludf.DUMMYFUNCTION("""COMPUTED_VALUE"""),"2016")</x:f>
      </x:c>
    </x:row>
    <x:row r="184" spans="1:10">
      <x:c r="A184" s="1" t="s">
        <x:v>193</x:v>
      </x:c>
      <x:c r="B184" s="1">
        <x:f>IFERROR(__xludf.DUMMYFUNCTION("""COMPUTED_VALUE"""),"Afganistan, error letal")</x:f>
      </x:c>
      <x:c r="C184" s="1">
        <x:f>IFERROR(__xludf.DUMMYFUNCTION("""COMPUTED_VALUE"""),"2015")</x:f>
      </x:c>
    </x:row>
    <x:row r="185" spans="1:10">
      <x:c r="A185" s="1" t="s">
        <x:v>194</x:v>
      </x:c>
      <x:c r="B185" s="1">
        <x:f>IFERROR(__xludf.DUMMYFUNCTION("""COMPUTED_VALUE"""),"Àfrica: Torneu-nos l'art robat")</x:f>
      </x:c>
      <x:c r="C185" s="1">
        <x:f>IFERROR(__xludf.DUMMYFUNCTION("""COMPUTED_VALUE"""),"2022")</x:f>
      </x:c>
    </x:row>
    <x:row r="186" spans="1:10">
      <x:c r="A186" s="1" t="s">
        <x:v>195</x:v>
      </x:c>
      <x:c r="B186" s="1">
        <x:f>IFERROR(__xludf.DUMMYFUNCTION("""COMPUTED_VALUE"""),"After Earth")</x:f>
      </x:c>
      <x:c r="C186" s="1">
        <x:f>IFERROR(__xludf.DUMMYFUNCTION("""COMPUTED_VALUE"""),"2013")</x:f>
      </x:c>
    </x:row>
    <x:row r="187" spans="1:10">
      <x:c r="A187" s="1" t="s">
        <x:v>196</x:v>
      </x:c>
      <x:c r="B187" s="1">
        <x:f>IFERROR(__xludf.DUMMYFUNCTION("""COMPUTED_VALUE"""),"After: Aquí s'acaba tot")</x:f>
      </x:c>
      <x:c r="C187" s="1">
        <x:f>IFERROR(__xludf.DUMMYFUNCTION("""COMPUTED_VALUE"""),"2023")</x:f>
      </x:c>
    </x:row>
    <x:row r="188" spans="1:10">
      <x:c r="A188" s="1" t="s">
        <x:v>197</x:v>
      </x:c>
      <x:c r="B188" s="1">
        <x:f>IFERROR(__xludf.DUMMYFUNCTION("""COMPUTED_VALUE"""),"After. Aquí comença tot")</x:f>
      </x:c>
      <x:c r="C188" s="1">
        <x:f>IFERROR(__xludf.DUMMYFUNCTION("""COMPUTED_VALUE"""),"2019")</x:f>
      </x:c>
    </x:row>
    <x:row r="189" spans="1:10">
      <x:c r="A189" s="1" t="s">
        <x:v>198</x:v>
      </x:c>
      <x:c r="B189" s="1">
        <x:f>IFERROR(__xludf.DUMMYFUNCTION("""COMPUTED_VALUE"""),"Afterglow")</x:f>
      </x:c>
      <x:c r="C189" s="1">
        <x:f>IFERROR(__xludf.DUMMYFUNCTION("""COMPUTED_VALUE"""),"1997")</x:f>
      </x:c>
    </x:row>
    <x:row r="190" spans="1:10">
      <x:c r="A190" s="1" t="s">
        <x:v>199</x:v>
      </x:c>
      <x:c r="B190" s="1">
        <x:f>IFERROR(__xludf.DUMMYFUNCTION("""COMPUTED_VALUE"""),"Agent 007 contra el Dr. No")</x:f>
      </x:c>
      <x:c r="C190" s="1">
        <x:f>IFERROR(__xludf.DUMMYFUNCTION("""COMPUTED_VALUE"""),"1962")</x:f>
      </x:c>
    </x:row>
    <x:row r="191" spans="1:10">
      <x:c r="A191" s="1" t="s">
        <x:v>200</x:v>
      </x:c>
      <x:c r="B191" s="1">
        <x:f>IFERROR(__xludf.DUMMYFUNCTION("""COMPUTED_VALUE"""),"Agent doble")</x:f>
      </x:c>
      <x:c r="C191" s="1">
        <x:f>IFERROR(__xludf.DUMMYFUNCTION("""COMPUTED_VALUE"""),"2012")</x:f>
      </x:c>
    </x:row>
    <x:row r="192" spans="1:10">
      <x:c r="A192" s="1" t="s">
        <x:v>201</x:v>
      </x:c>
      <x:c r="B192" s="1">
        <x:f>IFERROR(__xludf.DUMMYFUNCTION("""COMPUTED_VALUE"""),"Agent especial")</x:f>
      </x:c>
      <x:c r="C192" s="1">
        <x:f>IFERROR(__xludf.DUMMYFUNCTION("""COMPUTED_VALUE"""),"1955")</x:f>
      </x:c>
    </x:row>
    <x:row r="193" spans="1:10">
      <x:c r="A193" s="1" t="s">
        <x:v>202</x:v>
      </x:c>
      <x:c r="B193" s="1">
        <x:f>IFERROR(__xludf.DUMMYFUNCTION("""COMPUTED_VALUE"""),"Agent juvenil")</x:f>
      </x:c>
      <x:c r="C193" s="1">
        <x:f>IFERROR(__xludf.DUMMYFUNCTION("""COMPUTED_VALUE"""),"1991")</x:f>
      </x:c>
    </x:row>
    <x:row r="194" spans="1:10">
      <x:c r="A194" s="1" t="s">
        <x:v>203</x:v>
      </x:c>
      <x:c r="B194" s="1">
        <x:f>IFERROR(__xludf.DUMMYFUNCTION("""COMPUTED_VALUE"""),"Agent secret")</x:f>
      </x:c>
      <x:c r="C194" s="1">
        <x:f>IFERROR(__xludf.DUMMYFUNCTION("""COMPUTED_VALUE"""),"1936")</x:f>
      </x:c>
    </x:row>
    <x:row r="195" spans="1:10">
      <x:c r="A195" s="1" t="s">
        <x:v>204</x:v>
      </x:c>
      <x:c r="B195" s="1">
        <x:f>IFERROR(__xludf.DUMMYFUNCTION("""COMPUTED_VALUE"""),"Agent Sicre, l'amic americà")</x:f>
      </x:c>
      <x:c r="C195" s="1">
        <x:f>IFERROR(__xludf.DUMMYFUNCTION("""COMPUTED_VALUE"""),"2014")</x:f>
      </x:c>
    </x:row>
    <x:row r="196" spans="1:10">
      <x:c r="A196" s="1" t="s">
        <x:v>205</x:v>
      </x:c>
      <x:c r="B196" s="1">
        <x:f>IFERROR(__xludf.DUMMYFUNCTION("""COMPUTED_VALUE"""),"Agents 355")</x:f>
      </x:c>
      <x:c r="C196" s="1">
        <x:f>IFERROR(__xludf.DUMMYFUNCTION("""COMPUTED_VALUE"""),"2022")</x:f>
      </x:c>
    </x:row>
    <x:row r="197" spans="1:10">
      <x:c r="A197" s="1" t="s">
        <x:v>206</x:v>
      </x:c>
      <x:c r="B197" s="1">
        <x:f>IFERROR(__xludf.DUMMYFUNCTION("""COMPUTED_VALUE"""),"Agnes Browne")</x:f>
      </x:c>
      <x:c r="C197" s="1">
        <x:f>IFERROR(__xludf.DUMMYFUNCTION("""COMPUTED_VALUE"""),"1999")</x:f>
      </x:c>
    </x:row>
    <x:row r="198" spans="1:10">
      <x:c r="A198" s="1" t="s">
        <x:v>207</x:v>
      </x:c>
      <x:c r="B198" s="1">
        <x:f>IFERROR(__xludf.DUMMYFUNCTION("""COMPUTED_VALUE"""),"Agnès de Déu")</x:f>
      </x:c>
      <x:c r="C198" s="1">
        <x:f>IFERROR(__xludf.DUMMYFUNCTION("""COMPUTED_VALUE"""),"1985")</x:f>
      </x:c>
    </x:row>
    <x:row r="199" spans="1:10">
      <x:c r="A199" s="1" t="s">
        <x:v>208</x:v>
      </x:c>
      <x:c r="B199" s="1">
        <x:f>IFERROR(__xludf.DUMMYFUNCTION("""COMPUTED_VALUE"""),"Agnòsia")</x:f>
      </x:c>
      <x:c r="C199" s="1">
        <x:f>IFERROR(__xludf.DUMMYFUNCTION("""COMPUTED_VALUE"""),"2010")</x:f>
      </x:c>
    </x:row>
    <x:row r="200" spans="1:10">
      <x:c r="A200" s="1" t="s">
        <x:v>209</x:v>
      </x:c>
      <x:c r="B200" s="1">
        <x:f>IFERROR(__xludf.DUMMYFUNCTION("""COMPUTED_VALUE"""),"Agost")</x:f>
      </x:c>
      <x:c r="C200" s="1">
        <x:f>IFERROR(__xludf.DUMMYFUNCTION("""COMPUTED_VALUE"""),"2013")</x:f>
      </x:c>
    </x:row>
    <x:row r="201" spans="1:10">
      <x:c r="A201" s="1" t="s">
        <x:v>210</x:v>
      </x:c>
      <x:c r="B201" s="1">
        <x:f>IFERROR(__xludf.DUMMYFUNCTION("""COMPUTED_VALUE"""),"Aguestes montanhes: Istòries de Baqueira")</x:f>
      </x:c>
      <x:c r="C201" s="1">
        <x:f>IFERROR(__xludf.DUMMYFUNCTION("""COMPUTED_VALUE"""),"2015")</x:f>
      </x:c>
    </x:row>
    <x:row r="202" spans="1:10">
      <x:c r="A202" s="1" t="s">
        <x:v>211</x:v>
      </x:c>
      <x:c r="B202" s="1">
        <x:f>IFERROR(__xludf.DUMMYFUNCTION("""COMPUTED_VALUE"""),"Agulles d'or")</x:f>
      </x:c>
      <x:c r="C202" s="1">
        <x:f>IFERROR(__xludf.DUMMYFUNCTION("""COMPUTED_VALUE"""),"1974")</x:f>
      </x:c>
    </x:row>
    <x:row r="203" spans="1:10">
      <x:c r="A203" s="1" t="s">
        <x:v>212</x:v>
      </x:c>
      <x:c r="B203" s="1">
        <x:f>IFERROR(__xludf.DUMMYFUNCTION("""COMPUTED_VALUE"""),"Ahir no ens coneixíem")</x:f>
      </x:c>
      <x:c r="C203" s="1">
        <x:f>IFERROR(__xludf.DUMMYFUNCTION("""COMPUTED_VALUE"""),"2012")</x:f>
      </x:c>
    </x:row>
    <x:row r="204" spans="1:10">
      <x:c r="A204" s="1" t="s">
        <x:v>213</x:v>
      </x:c>
      <x:c r="B204" s="1">
        <x:f>IFERROR(__xludf.DUMMYFUNCTION("""COMPUTED_VALUE"""),"Ahir, avui i demà")</x:f>
      </x:c>
      <x:c r="C204" s="1">
        <x:f>IFERROR(__xludf.DUMMYFUNCTION("""COMPUTED_VALUE"""),"1963")</x:f>
      </x:c>
    </x:row>
    <x:row r="205" spans="1:10">
      <x:c r="A205" s="1" t="s">
        <x:v>214</x:v>
      </x:c>
      <x:c r="B205" s="1">
        <x:f>IFERROR(__xludf.DUMMYFUNCTION("""COMPUTED_VALUE"""),"Aigua fosca")</x:f>
      </x:c>
      <x:c r="C205" s="1">
        <x:f>IFERROR(__xludf.DUMMYFUNCTION("""COMPUTED_VALUE"""),"2002")</x:f>
      </x:c>
    </x:row>
    <x:row r="206" spans="1:10">
      <x:c r="A206" s="1" t="s">
        <x:v>215</x:v>
      </x:c>
      <x:c r="B206" s="1">
        <x:f>IFERROR(__xludf.DUMMYFUNCTION("""COMPUTED_VALUE"""),"Aigua per a elefants")</x:f>
      </x:c>
      <x:c r="C206" s="1">
        <x:f>IFERROR(__xludf.DUMMYFUNCTION("""COMPUTED_VALUE"""),"2011")</x:f>
      </x:c>
    </x:row>
    <x:row r="207" spans="1:10">
      <x:c r="A207" s="1" t="s">
        <x:v>216</x:v>
      </x:c>
      <x:c r="B207" s="1">
        <x:f>IFERROR(__xludf.DUMMYFUNCTION("""COMPUTED_VALUE"""),"Aiguamarina")</x:f>
      </x:c>
      <x:c r="C207" s="1">
        <x:f>IFERROR(__xludf.DUMMYFUNCTION("""COMPUTED_VALUE"""),"2006")</x:f>
      </x:c>
    </x:row>
    <x:row r="208" spans="1:10">
      <x:c r="A208" s="1" t="s">
        <x:v>217</x:v>
      </x:c>
      <x:c r="B208" s="1">
        <x:f>IFERROR(__xludf.DUMMYFUNCTION("""COMPUTED_VALUE"""),"Aigües fosques")</x:f>
      </x:c>
      <x:c r="C208" s="1">
        <x:f>IFERROR(__xludf.DUMMYFUNCTION("""COMPUTED_VALUE"""),"2019")</x:f>
      </x:c>
    </x:row>
    <x:row r="209" spans="1:10">
      <x:c r="A209" s="1" t="s">
        <x:v>218</x:v>
      </x:c>
      <x:c r="B209" s="1">
        <x:f>IFERROR(__xludf.DUMMYFUNCTION("""COMPUTED_VALUE"""),"Aigües profundes")</x:f>
      </x:c>
      <x:c r="C209" s="1">
        <x:f>IFERROR(__xludf.DUMMYFUNCTION("""COMPUTED_VALUE"""),"2022")</x:f>
      </x:c>
    </x:row>
    <x:row r="210" spans="1:10">
      <x:c r="A210" s="1" t="s">
        <x:v>219</x:v>
      </x:c>
      <x:c r="B210" s="1">
        <x:f>IFERROR(__xludf.DUMMYFUNCTION("""COMPUTED_VALUE"""),"Aigües tranquil·les [VOSC]")</x:f>
      </x:c>
      <x:c r="C210" s="1">
        <x:f>IFERROR(__xludf.DUMMYFUNCTION("""COMPUTED_VALUE"""),"2014")</x:f>
      </x:c>
    </x:row>
    <x:row r="211" spans="1:10">
      <x:c r="A211" s="1" t="s">
        <x:v>220</x:v>
      </x:c>
      <x:c r="B211" s="1">
        <x:f>IFERROR(__xludf.DUMMYFUNCTION("""COMPUTED_VALUE"""),"Ainbo: La guerrera de l’Amazones")</x:f>
      </x:c>
      <x:c r="C211" s="1">
        <x:f>IFERROR(__xludf.DUMMYFUNCTION("""COMPUTED_VALUE"""),"2021")</x:f>
      </x:c>
    </x:row>
    <x:row r="212" spans="1:10">
      <x:c r="A212" s="1" t="s">
        <x:v>221</x:v>
      </x:c>
      <x:c r="B212" s="1">
        <x:f>IFERROR(__xludf.DUMMYFUNCTION("""COMPUTED_VALUE"""),"Air Doll")</x:f>
      </x:c>
      <x:c r="C212" s="1">
        <x:f>IFERROR(__xludf.DUMMYFUNCTION("""COMPUTED_VALUE"""),"2009")</x:f>
      </x:c>
    </x:row>
    <x:row r="213" spans="1:10">
      <x:c r="A213" s="1" t="s">
        <x:v>222</x:v>
      </x:c>
      <x:c r="B213" s="1">
        <x:f>IFERROR(__xludf.DUMMYFUNCTION("""COMPUTED_VALUE"""),"Aisha")</x:f>
      </x:c>
      <x:c r="C213" s="1">
        <x:f>IFERROR(__xludf.DUMMYFUNCTION("""COMPUTED_VALUE"""),"2022")</x:f>
      </x:c>
    </x:row>
    <x:row r="214" spans="1:10">
      <x:c r="A214" s="1" t="s">
        <x:v>223</x:v>
      </x:c>
      <x:c r="B214" s="1">
        <x:f>IFERROR(__xludf.DUMMYFUNCTION("""COMPUTED_VALUE"""),"Aita [VOSC]")</x:f>
      </x:c>
      <x:c r="C214" s="1">
        <x:f>IFERROR(__xludf.DUMMYFUNCTION("""COMPUTED_VALUE"""),"2010")</x:f>
      </x:c>
    </x:row>
    <x:row r="215" spans="1:10">
      <x:c r="A215" s="1" t="s">
        <x:v>224</x:v>
      </x:c>
      <x:c r="B215" s="1">
        <x:f>IFERROR(__xludf.DUMMYFUNCTION("""COMPUTED_VALUE"""),"Així com ets")</x:f>
      </x:c>
      <x:c r="C215" s="1">
        <x:f>IFERROR(__xludf.DUMMYFUNCTION("""COMPUTED_VALUE"""),"1978")</x:f>
      </x:c>
    </x:row>
    <x:row r="216" spans="1:10">
      <x:c r="A216" s="1" t="s">
        <x:v>225</x:v>
      </x:c>
      <x:c r="B216" s="1">
        <x:f>IFERROR(__xludf.DUMMYFUNCTION("""COMPUTED_VALUE"""),"Així és la vida")</x:f>
      </x:c>
      <x:c r="C216" s="1">
        <x:f>IFERROR(__xludf.DUMMYFUNCTION("""COMPUTED_VALUE"""),"1986")</x:f>
      </x:c>
    </x:row>
    <x:row r="217" spans="1:10">
      <x:c r="A217" s="1" t="s">
        <x:v>226</x:v>
      </x:c>
      <x:c r="B217" s="1">
        <x:f>IFERROR(__xludf.DUMMYFUNCTION("""COMPUTED_VALUE"""),"Això és ritme!")</x:f>
      </x:c>
      <x:c r="C217" s="1">
        <x:f>IFERROR(__xludf.DUMMYFUNCTION("""COMPUTED_VALUE"""),"2004")</x:f>
      </x:c>
    </x:row>
    <x:row r="218" spans="1:10">
      <x:c r="A218" s="1" t="s">
        <x:v>227</x:v>
      </x:c>
      <x:c r="B218" s="1">
        <x:f>IFERROR(__xludf.DUMMYFUNCTION("""COMPUTED_VALUE"""),"Això no funciona, o potser sí?")</x:f>
      </x:c>
      <x:c r="C218" s="1">
        <x:f>IFERROR(__xludf.DUMMYFUNCTION("""COMPUTED_VALUE"""),"2012")</x:f>
      </x:c>
    </x:row>
    <x:row r="219" spans="1:10">
      <x:c r="A219" s="1" t="s">
        <x:v>228</x:v>
      </x:c>
      <x:c r="B219" s="1">
        <x:f>IFERROR(__xludf.DUMMYFUNCTION("""COMPUTED_VALUE"""),"Akira")</x:f>
      </x:c>
      <x:c r="C219" s="1">
        <x:f>IFERROR(__xludf.DUMMYFUNCTION("""COMPUTED_VALUE"""),"1988")</x:f>
      </x:c>
    </x:row>
    <x:row r="220" spans="1:10">
      <x:c r="A220" s="1" t="s">
        <x:v>229</x:v>
      </x:c>
      <x:c r="B220" s="1">
        <x:f>IFERROR(__xludf.DUMMYFUNCTION("""COMPUTED_VALUE"""),"Akira Kurosawa's Dreams [VOSC]")</x:f>
      </x:c>
      <x:c r="C220" s="1">
        <x:f>IFERROR(__xludf.DUMMYFUNCTION("""COMPUTED_VALUE"""),"1990")</x:f>
      </x:c>
    </x:row>
    <x:row r="221" spans="1:10">
      <x:c r="A221" s="1" t="s">
        <x:v>230</x:v>
      </x:c>
      <x:c r="B221" s="1">
        <x:f>IFERROR(__xludf.DUMMYFUNCTION("""COMPUTED_VALUE"""),"Al cap del carrer [VOSC]")</x:f>
      </x:c>
      <x:c r="C221" s="1">
        <x:f>IFERROR(__xludf.DUMMYFUNCTION("""COMPUTED_VALUE"""),"1950")</x:f>
      </x:c>
    </x:row>
    <x:row r="222" spans="1:10">
      <x:c r="A222" s="1" t="s">
        <x:v>231</x:v>
      </x:c>
      <x:c r="B222" s="1">
        <x:f>IFERROR(__xludf.DUMMYFUNCTION("""COMPUTED_VALUE"""),"Al carrer")</x:f>
      </x:c>
      <x:c r="C222" s="1">
        <x:f>IFERROR(__xludf.DUMMYFUNCTION("""COMPUTED_VALUE"""),"2014")</x:f>
      </x:c>
    </x:row>
    <x:row r="223" spans="1:10">
      <x:c r="A223" s="1" t="s">
        <x:v>232</x:v>
      </x:c>
      <x:c r="B223" s="1">
        <x:f>IFERROR(__xludf.DUMMYFUNCTION("""COMPUTED_VALUE"""),"Al cor del mar")</x:f>
      </x:c>
      <x:c r="C223" s="1">
        <x:f>IFERROR(__xludf.DUMMYFUNCTION("""COMPUTED_VALUE"""),"2015")</x:f>
      </x:c>
    </x:row>
    <x:row r="224" spans="1:10">
      <x:c r="A224" s="1" t="s">
        <x:v>233</x:v>
      </x:c>
      <x:c r="B224" s="1">
        <x:f>IFERROR(__xludf.DUMMYFUNCTION("""COMPUTED_VALUE"""),"Al costat de casa")</x:f>
      </x:c>
      <x:c r="C224" s="1">
        <x:f>IFERROR(__xludf.DUMMYFUNCTION("""COMPUTED_VALUE"""),"2016")</x:f>
      </x:c>
    </x:row>
    <x:row r="225" spans="1:10">
      <x:c r="A225" s="1" t="s">
        <x:v>234</x:v>
      </x:c>
      <x:c r="B225" s="1">
        <x:f>IFERROR(__xludf.DUMMYFUNCTION("""COMPUTED_VALUE"""),"Al costat de l'enemic")</x:f>
      </x:c>
      <x:c r="C225" s="1">
        <x:f>IFERROR(__xludf.DUMMYFUNCTION("""COMPUTED_VALUE"""),"2013")</x:f>
      </x:c>
    </x:row>
    <x:row r="226" spans="1:10">
      <x:c r="A226" s="1" t="s">
        <x:v>235</x:v>
      </x:c>
      <x:c r="B226" s="1">
        <x:f>IFERROR(__xludf.DUMMYFUNCTION("""COMPUTED_VALUE"""),"Al final de l'escapada")</x:f>
      </x:c>
      <x:c r="C226" s="1">
        <x:f>IFERROR(__xludf.DUMMYFUNCTION("""COMPUTED_VALUE"""),"2010")</x:f>
      </x:c>
    </x:row>
    <x:row r="227" spans="1:10">
      <x:c r="A227" s="1" t="s">
        <x:v>236</x:v>
      </x:c>
      <x:c r="B227" s="1">
        <x:f>IFERROR(__xludf.DUMMYFUNCTION("""COMPUTED_VALUE"""),"Al final de la mentida")</x:f>
      </x:c>
      <x:c r="C227" s="1">
        <x:f>IFERROR(__xludf.DUMMYFUNCTION("""COMPUTED_VALUE"""),"2013")</x:f>
      </x:c>
    </x:row>
    <x:row r="228" spans="1:10">
      <x:c r="A228" s="1" t="s">
        <x:v>237</x:v>
      </x:c>
      <x:c r="B228" s="1">
        <x:f>IFERROR(__xludf.DUMMYFUNCTION("""COMPUTED_VALUE"""),"Al fossat")</x:f>
      </x:c>
      <x:c r="C228" s="1">
        <x:f>IFERROR(__xludf.DUMMYFUNCTION("""COMPUTED_VALUE"""),"2011")</x:f>
      </x:c>
    </x:row>
    <x:row r="229" spans="1:10">
      <x:c r="A229" s="1" t="s">
        <x:v>238</x:v>
      </x:c>
      <x:c r="B229" s="1">
        <x:f>IFERROR(__xludf.DUMMYFUNCTION("""COMPUTED_VALUE"""),"Al límit")</x:f>
      </x:c>
      <x:c r="C229" s="1">
        <x:f>IFERROR(__xludf.DUMMYFUNCTION("""COMPUTED_VALUE"""),"2010")</x:f>
      </x:c>
    </x:row>
    <x:row r="230" spans="1:10">
      <x:c r="A230" s="1" t="s">
        <x:v>239</x:v>
      </x:c>
      <x:c r="B230" s="1">
        <x:f>IFERROR(__xludf.DUMMYFUNCTION("""COMPUTED_VALUE"""),"Al límit de l'endemà")</x:f>
      </x:c>
      <x:c r="C230" s="1">
        <x:f>IFERROR(__xludf.DUMMYFUNCTION("""COMPUTED_VALUE"""),"2014")</x:f>
      </x:c>
    </x:row>
    <x:row r="231" spans="1:10">
      <x:c r="A231" s="1" t="s">
        <x:v>240</x:v>
      </x:c>
      <x:c r="B231" s="1">
        <x:f>IFERROR(__xludf.DUMMYFUNCTION("""COMPUTED_VALUE"""),"Al límit de la sospita")</x:f>
      </x:c>
      <x:c r="C231" s="1">
        <x:f>IFERROR(__xludf.DUMMYFUNCTION("""COMPUTED_VALUE"""),"1985")</x:f>
      </x:c>
    </x:row>
    <x:row r="232" spans="1:10">
      <x:c r="A232" s="1" t="s">
        <x:v>241</x:v>
      </x:c>
      <x:c r="B232" s="1">
        <x:f>IFERROR(__xludf.DUMMYFUNCTION("""COMPUTED_VALUE"""),"Al Nadal toca fusta")</x:f>
      </x:c>
      <x:c r="C232" s="1">
        <x:f>IFERROR(__xludf.DUMMYFUNCTION("""COMPUTED_VALUE"""),"2021")</x:f>
      </x:c>
    </x:row>
    <x:row r="233" spans="1:10">
      <x:c r="A233" s="1" t="s">
        <x:v>242</x:v>
      </x:c>
      <x:c r="B233" s="1">
        <x:f>IFERROR(__xludf.DUMMYFUNCTION("""COMPUTED_VALUE"""),"Al setè cel")</x:f>
      </x:c>
      <x:c r="C233" s="1">
        <x:f>IFERROR(__xludf.DUMMYFUNCTION("""COMPUTED_VALUE"""),"2008")</x:f>
      </x:c>
    </x:row>
    <x:row r="234" spans="1:10">
      <x:c r="A234" s="1" t="s">
        <x:v>243</x:v>
      </x:c>
      <x:c r="B234" s="1">
        <x:f>IFERROR(__xludf.DUMMYFUNCTION("""COMPUTED_VALUE"""),"Al sostre del mon")</x:f>
      </x:c>
      <x:c r="C234" s="1">
        <x:f>IFERROR(__xludf.DUMMYFUNCTION("""COMPUTED_VALUE"""),"2015")</x:f>
      </x:c>
    </x:row>
    <x:row r="235" spans="1:10">
      <x:c r="A235" s="1" t="s">
        <x:v>244</x:v>
      </x:c>
      <x:c r="B235" s="1">
        <x:f>IFERROR(__xludf.DUMMYFUNCTION("""COMPUTED_VALUE"""),"Al Tall per sempre - Últim concert")</x:f>
      </x:c>
      <x:c r="C235" s="1">
        <x:f>IFERROR(__xludf.DUMMYFUNCTION("""COMPUTED_VALUE"""),"2013")</x:f>
      </x:c>
    </x:row>
    <x:row r="236" spans="1:10">
      <x:c r="A236" s="1" t="s">
        <x:v>245</x:v>
      </x:c>
      <x:c r="B236" s="1">
        <x:f>IFERROR(__xludf.DUMMYFUNCTION("""COMPUTED_VALUE"""),"Alabama Monroe")</x:f>
      </x:c>
      <x:c r="C236" s="1">
        <x:f>IFERROR(__xludf.DUMMYFUNCTION("""COMPUTED_VALUE"""),"2012")</x:f>
      </x:c>
    </x:row>
    <x:row r="237" spans="1:10">
      <x:c r="A237" s="1" t="s">
        <x:v>246</x:v>
      </x:c>
      <x:c r="B237" s="1">
        <x:f>IFERROR(__xludf.DUMMYFUNCTION("""COMPUTED_VALUE"""),"Alarma a l'exprés")</x:f>
      </x:c>
      <x:c r="C237" s="1">
        <x:f>IFERROR(__xludf.DUMMYFUNCTION("""COMPUTED_VALUE"""),"1938")</x:f>
      </x:c>
    </x:row>
    <x:row r="238" spans="1:10">
      <x:c r="A238" s="1" t="s">
        <x:v>247</x:v>
      </x:c>
      <x:c r="B238" s="1">
        <x:f>IFERROR(__xludf.DUMMYFUNCTION("""COMPUTED_VALUE"""),"Alaska indòmita")</x:f>
      </x:c>
      <x:c r="C238" s="1">
        <x:f>IFERROR(__xludf.DUMMYFUNCTION("""COMPUTED_VALUE"""),"2009")</x:f>
      </x:c>
    </x:row>
    <x:row r="239" spans="1:10">
      <x:c r="A239" s="1" t="s">
        <x:v>248</x:v>
      </x:c>
      <x:c r="B239" s="1">
        <x:f>IFERROR(__xludf.DUMMYFUNCTION("""COMPUTED_VALUE"""),"Alaska, terra d'aventures")</x:f>
      </x:c>
      <x:c r="C239" s="1">
        <x:f>IFERROR(__xludf.DUMMYFUNCTION("""COMPUTED_VALUE"""),"1996")</x:f>
      </x:c>
    </x:row>
    <x:row r="240" spans="1:10">
      <x:c r="A240" s="1" t="s">
        <x:v>249</x:v>
      </x:c>
      <x:c r="B240" s="1">
        <x:f>IFERROR(__xludf.DUMMYFUNCTION("""COMPUTED_VALUE"""),"Alba zulú")</x:f>
      </x:c>
      <x:c r="C240" s="1">
        <x:f>IFERROR(__xludf.DUMMYFUNCTION("""COMPUTED_VALUE"""),"1979")</x:f>
      </x:c>
    </x:row>
    <x:row r="241" spans="1:10">
      <x:c r="A241" s="1" t="s">
        <x:v>250</x:v>
      </x:c>
      <x:c r="B241" s="1">
        <x:f>IFERROR(__xludf.DUMMYFUNCTION("""COMPUTED_VALUE"""),"Albert")</x:f>
      </x:c>
      <x:c r="C241" s="1">
        <x:f>IFERROR(__xludf.DUMMYFUNCTION("""COMPUTED_VALUE"""),"2015")</x:f>
      </x:c>
    </x:row>
    <x:row r="242" spans="1:10">
      <x:c r="A242" s="1" t="s">
        <x:v>251</x:v>
      </x:c>
      <x:c r="B242" s="1">
        <x:f>IFERROR(__xludf.DUMMYFUNCTION("""COMPUTED_VALUE"""),"Albert Nobbs")</x:f>
      </x:c>
      <x:c r="C242" s="1">
        <x:f>IFERROR(__xludf.DUMMYFUNCTION("""COMPUTED_VALUE"""),"2011")</x:f>
      </x:c>
    </x:row>
    <x:row r="243" spans="1:10">
      <x:c r="A243" s="1" t="s">
        <x:v>252</x:v>
      </x:c>
      <x:c r="B243" s="1">
        <x:f>IFERROR(__xludf.DUMMYFUNCTION("""COMPUTED_VALUE"""),"Alcarràs")</x:f>
      </x:c>
      <x:c r="C243" s="1">
        <x:f>IFERROR(__xludf.DUMMYFUNCTION("""COMPUTED_VALUE"""),"2022")</x:f>
      </x:c>
    </x:row>
    <x:row r="244" spans="1:10">
      <x:c r="A244" s="1" t="s">
        <x:v>253</x:v>
      </x:c>
      <x:c r="B244" s="1">
        <x:f>IFERROR(__xludf.DUMMYFUNCTION("""COMPUTED_VALUE"""),"Alegria, tristesa")</x:f>
      </x:c>
      <x:c r="C244" s="1">
        <x:f>IFERROR(__xludf.DUMMYFUNCTION("""COMPUTED_VALUE"""),"2018")</x:f>
      </x:c>
    </x:row>
    <x:row r="245" spans="1:10">
      <x:c r="A245" s="1" t="s">
        <x:v>254</x:v>
      </x:c>
      <x:c r="B245" s="1">
        <x:f>IFERROR(__xludf.DUMMYFUNCTION("""COMPUTED_VALUE"""),"Alemanya any zero [VOSC]")</x:f>
      </x:c>
      <x:c r="C245" s="1">
        <x:f>IFERROR(__xludf.DUMMYFUNCTION("""COMPUTED_VALUE"""),"1948")</x:f>
      </x:c>
    </x:row>
    <x:row r="246" spans="1:10">
      <x:c r="A246" s="1" t="s">
        <x:v>255</x:v>
      </x:c>
      <x:c r="B246" s="1">
        <x:f>IFERROR(__xludf.DUMMYFUNCTION("""COMPUTED_VALUE"""),"Alerta: Segrest")</x:f>
      </x:c>
      <x:c r="C246" s="1">
        <x:f>IFERROR(__xludf.DUMMYFUNCTION("""COMPUTED_VALUE"""),"2015")</x:f>
      </x:c>
    </x:row>
    <x:row r="247" spans="1:10">
      <x:c r="A247" s="1" t="s">
        <x:v>256</x:v>
      </x:c>
      <x:c r="B247" s="1">
        <x:f>IFERROR(__xludf.DUMMYFUNCTION("""COMPUTED_VALUE"""),"Alex Rider: Operació Stormbreaker")</x:f>
      </x:c>
      <x:c r="C247" s="1">
        <x:f>IFERROR(__xludf.DUMMYFUNCTION("""COMPUTED_VALUE"""),"2006")</x:f>
      </x:c>
    </x:row>
    <x:row r="248" spans="1:10">
      <x:c r="A248" s="1" t="s">
        <x:v>257</x:v>
      </x:c>
      <x:c r="B248" s="1">
        <x:f>IFERROR(__xludf.DUMMYFUNCTION("""COMPUTED_VALUE"""),"Alexandre")</x:f>
      </x:c>
      <x:c r="C248" s="1">
        <x:f>IFERROR(__xludf.DUMMYFUNCTION("""COMPUTED_VALUE"""),"2004")</x:f>
      </x:c>
    </x:row>
    <x:row r="249" spans="1:10">
      <x:c r="A249" s="1" t="s">
        <x:v>258</x:v>
      </x:c>
      <x:c r="B249" s="1">
        <x:f>IFERROR(__xludf.DUMMYFUNCTION("""COMPUTED_VALUE"""),"Alexandre Deulofeu: L'historiador del futur")</x:f>
      </x:c>
      <x:c r="C249" s="1">
        <x:f>IFERROR(__xludf.DUMMYFUNCTION("""COMPUTED_VALUE"""),"2016")</x:f>
      </x:c>
    </x:row>
    <x:row r="250" spans="1:10">
      <x:c r="A250" s="1" t="s">
        <x:v>259</x:v>
      </x:c>
      <x:c r="B250" s="1">
        <x:f>IFERROR(__xludf.DUMMYFUNCTION("""COMPUTED_VALUE"""),"Alexia Putellas: Perseguint un somni")</x:f>
      </x:c>
      <x:c r="C250" s="1">
        <x:f>IFERROR(__xludf.DUMMYFUNCTION("""COMPUTED_VALUE"""),"2022")</x:f>
      </x:c>
    </x:row>
    <x:row r="251" spans="1:10">
      <x:c r="A251" s="1" t="s">
        <x:v>260</x:v>
      </x:c>
      <x:c r="B251" s="1">
        <x:f>IFERROR(__xludf.DUMMYFUNCTION("""COMPUTED_VALUE"""),"Alger")</x:f>
      </x:c>
      <x:c r="C251" s="1">
        <x:f>IFERROR(__xludf.DUMMYFUNCTION("""COMPUTED_VALUE"""),"1938")</x:f>
      </x:c>
    </x:row>
    <x:row r="252" spans="1:10">
      <x:c r="A252" s="1" t="s">
        <x:v>261</x:v>
      </x:c>
      <x:c r="B252" s="1">
        <x:f>IFERROR(__xludf.DUMMYFUNCTION("""COMPUTED_VALUE"""),"Algú ens vigila")</x:f>
      </x:c>
      <x:c r="C252" s="1">
        <x:f>IFERROR(__xludf.DUMMYFUNCTION("""COMPUTED_VALUE"""),"2015")</x:f>
      </x:c>
    </x:row>
    <x:row r="253" spans="1:10">
      <x:c r="A253" s="1" t="s">
        <x:v>262</x:v>
      </x:c>
      <x:c r="B253" s="1">
        <x:f>IFERROR(__xludf.DUMMYFUNCTION("""COMPUTED_VALUE"""),"Algú ha vist la meva xicota?")</x:f>
      </x:c>
      <x:c r="C253" s="1">
        <x:f>IFERROR(__xludf.DUMMYFUNCTION("""COMPUTED_VALUE"""),"1952")</x:f>
      </x:c>
    </x:row>
    <x:row r="254" spans="1:10">
      <x:c r="A254" s="1" t="s">
        <x:v>263</x:v>
      </x:c>
      <x:c r="B254" s="1">
        <x:f>IFERROR(__xludf.DUMMYFUNCTION("""COMPUTED_VALUE"""),"Algú va volar sobre el niu del cucut [VOSC]")</x:f>
      </x:c>
      <x:c r="C254" s="1">
        <x:f>IFERROR(__xludf.DUMMYFUNCTION("""COMPUTED_VALUE"""),"1975")</x:f>
      </x:c>
    </x:row>
    <x:row r="255" spans="1:10">
      <x:c r="A255" s="1" t="s">
        <x:v>264</x:v>
      </x:c>
      <x:c r="B255" s="1">
        <x:f>IFERROR(__xludf.DUMMYFUNCTION("""COMPUTED_VALUE"""),"Alguna cosa per recordar")</x:f>
      </x:c>
      <x:c r="C255" s="1">
        <x:f>IFERROR(__xludf.DUMMYFUNCTION("""COMPUTED_VALUE"""),"1993")</x:f>
      </x:c>
    </x:row>
    <x:row r="256" spans="1:10">
      <x:c r="A256" s="1" t="s">
        <x:v>265</x:v>
      </x:c>
      <x:c r="B256" s="1">
        <x:f>IFERROR(__xludf.DUMMYFUNCTION("""COMPUTED_VALUE"""),"Alguna cosa prestada")</x:f>
      </x:c>
      <x:c r="C256" s="1">
        <x:f>IFERROR(__xludf.DUMMYFUNCTION("""COMPUTED_VALUE"""),"2011")</x:f>
      </x:c>
    </x:row>
    <x:row r="257" spans="1:10">
      <x:c r="A257" s="1" t="s">
        <x:v>266</x:v>
      </x:c>
      <x:c r="B257" s="1">
        <x:f>IFERROR(__xludf.DUMMYFUNCTION("""COMPUTED_VALUE"""),"Alguna cosa salvatge")</x:f>
      </x:c>
      <x:c r="C257" s="1">
        <x:f>IFERROR(__xludf.DUMMYFUNCTION("""COMPUTED_VALUE"""),"1986")</x:f>
      </x:c>
    </x:row>
    <x:row r="258" spans="1:10">
      <x:c r="A258" s="1" t="s">
        <x:v>267</x:v>
      </x:c>
      <x:c r="B258" s="1">
        <x:f>IFERROR(__xludf.DUMMYFUNCTION("""COMPUTED_VALUE"""),"Alguns dies d'ahir")</x:f>
      </x:c>
      <x:c r="C258" s="1">
        <x:f>IFERROR(__xludf.DUMMYFUNCTION("""COMPUTED_VALUE"""),"2022")</x:f>
      </x:c>
    </x:row>
    <x:row r="259" spans="1:10">
      <x:c r="A259" s="1" t="s">
        <x:v>268</x:v>
      </x:c>
      <x:c r="B259" s="1">
        <x:f>IFERROR(__xludf.DUMMYFUNCTION("""COMPUTED_VALUE"""),"Alguns homes bons")</x:f>
      </x:c>
      <x:c r="C259" s="1">
        <x:f>IFERROR(__xludf.DUMMYFUNCTION("""COMPUTED_VALUE"""),"1992")</x:f>
      </x:c>
    </x:row>
    <x:row r="260" spans="1:10">
      <x:c r="A260" s="1" t="s">
        <x:v>269</x:v>
      </x:c>
      <x:c r="B260" s="1">
        <x:f>IFERROR(__xludf.DUMMYFUNCTION("""COMPUTED_VALUE"""),"Alguns neixen estrellats")</x:f>
      </x:c>
      <x:c r="C260" s="1">
        <x:f>IFERROR(__xludf.DUMMYFUNCTION("""COMPUTED_VALUE"""),"2021")</x:f>
      </x:c>
    </x:row>
    <x:row r="261" spans="1:10">
      <x:c r="A261" s="1" t="s">
        <x:v>270</x:v>
      </x:c>
      <x:c r="B261" s="1">
        <x:f>IFERROR(__xludf.DUMMYFUNCTION("""COMPUTED_VALUE"""),"Ali")</x:f>
      </x:c>
      <x:c r="C261" s="1">
        <x:f>IFERROR(__xludf.DUMMYFUNCTION("""COMPUTED_VALUE"""),"2001")</x:f>
      </x:c>
    </x:row>
    <x:row r="262" spans="1:10">
      <x:c r="A262" s="1" t="s">
        <x:v>271</x:v>
      </x:c>
      <x:c r="B262" s="3">
        <x:f>IFERROR(__xludf.DUMMYFUNCTION("""COMPUTED_VALUE"""),"Alibi.com")</x:f>
      </x:c>
      <x:c r="C262" s="1">
        <x:f>IFERROR(__xludf.DUMMYFUNCTION("""COMPUTED_VALUE"""),"2017")</x:f>
      </x:c>
    </x:row>
    <x:row r="263" spans="1:10">
      <x:c r="A263" s="1" t="s">
        <x:v>272</x:v>
      </x:c>
      <x:c r="B263" s="1">
        <x:f>IFERROR(__xludf.DUMMYFUNCTION("""COMPUTED_VALUE"""),"Alice")</x:f>
      </x:c>
      <x:c r="C263" s="1">
        <x:f>IFERROR(__xludf.DUMMYFUNCTION("""COMPUTED_VALUE"""),"1990")</x:f>
      </x:c>
    </x:row>
    <x:row r="264" spans="1:10">
      <x:c r="A264" s="1" t="s">
        <x:v>273</x:v>
      </x:c>
      <x:c r="B264" s="1">
        <x:f>IFERROR(__xludf.DUMMYFUNCTION("""COMPUTED_VALUE"""),"Alien")</x:f>
      </x:c>
      <x:c r="C264" s="1">
        <x:f>IFERROR(__xludf.DUMMYFUNCTION("""COMPUTED_VALUE"""),"1979")</x:f>
      </x:c>
    </x:row>
    <x:row r="265" spans="1:10">
      <x:c r="A265" s="1" t="s">
        <x:v>274</x:v>
      </x:c>
      <x:c r="B265" s="1">
        <x:f>IFERROR(__xludf.DUMMYFUNCTION("""COMPUTED_VALUE"""),"Alien hunter")</x:f>
      </x:c>
      <x:c r="C265" s="1">
        <x:f>IFERROR(__xludf.DUMMYFUNCTION("""COMPUTED_VALUE"""),"2003")</x:f>
      </x:c>
    </x:row>
    <x:row r="266" spans="1:10">
      <x:c r="A266" s="1" t="s">
        <x:v>275</x:v>
      </x:c>
      <x:c r="B266" s="1">
        <x:f>IFERROR(__xludf.DUMMYFUNCTION("""COMPUTED_VALUE"""),"Alien vs. Predator")</x:f>
      </x:c>
      <x:c r="C266" s="1">
        <x:f>IFERROR(__xludf.DUMMYFUNCTION("""COMPUTED_VALUE"""),"2004")</x:f>
      </x:c>
    </x:row>
    <x:row r="267" spans="1:10">
      <x:c r="A267" s="1" t="s">
        <x:v>276</x:v>
      </x:c>
      <x:c r="B267" s="1">
        <x:f>IFERROR(__xludf.DUMMYFUNCTION("""COMPUTED_VALUE"""),"Aliens")</x:f>
      </x:c>
      <x:c r="C267" s="1">
        <x:f>IFERROR(__xludf.DUMMYFUNCTION("""COMPUTED_VALUE"""),"1986")</x:f>
      </x:c>
    </x:row>
    <x:row r="268" spans="1:10">
      <x:c r="A268" s="1" t="s">
        <x:v>277</x:v>
      </x:c>
      <x:c r="B268" s="1">
        <x:f>IFERROR(__xludf.DUMMYFUNCTION("""COMPUTED_VALUE"""),"Alimentem el món")</x:f>
      </x:c>
      <x:c r="C268" s="1">
        <x:f>IFERROR(__xludf.DUMMYFUNCTION("""COMPUTED_VALUE"""),"2005")</x:f>
      </x:c>
    </x:row>
    <x:row r="269" spans="1:10">
      <x:c r="A269" s="1" t="s">
        <x:v>278</x:v>
      </x:c>
      <x:c r="B269" s="1">
        <x:f>IFERROR(__xludf.DUMMYFUNCTION("""COMPUTED_VALUE"""),"Aline")</x:f>
      </x:c>
      <x:c r="C269" s="1">
        <x:f>IFERROR(__xludf.DUMMYFUNCTION("""COMPUTED_VALUE"""),"2020")</x:f>
      </x:c>
    </x:row>
    <x:row r="270" spans="1:10">
      <x:c r="A270" s="1" t="s">
        <x:v>279</x:v>
      </x:c>
      <x:c r="B270" s="1">
        <x:f>IFERROR(__xludf.DUMMYFUNCTION("""COMPUTED_VALUE"""),"Alita, Àngel de combat")</x:f>
      </x:c>
      <x:c r="C270" s="1">
        <x:f>IFERROR(__xludf.DUMMYFUNCTION("""COMPUTED_VALUE"""),"1993")</x:f>
      </x:c>
    </x:row>
    <x:row r="271" spans="1:10">
      <x:c r="A271" s="1" t="s">
        <x:v>280</x:v>
      </x:c>
      <x:c r="B271" s="1">
        <x:f>IFERROR(__xludf.DUMMYFUNCTION("""COMPUTED_VALUE"""),"Allà on viuen els monstres")</x:f>
      </x:c>
      <x:c r="C271" s="1">
        <x:f>IFERROR(__xludf.DUMMYFUNCTION("""COMPUTED_VALUE"""),"2009")</x:f>
      </x:c>
    </x:row>
    <x:row r="272" spans="1:10">
      <x:c r="A272" s="1" t="s">
        <x:v>281</x:v>
      </x:c>
      <x:c r="B272" s="1">
        <x:f>IFERROR(__xludf.DUMMYFUNCTION("""COMPUTED_VALUE"""),"Allau d'amor")</x:f>
      </x:c>
      <x:c r="C272" s="1">
        <x:f>IFERROR(__xludf.DUMMYFUNCTION("""COMPUTED_VALUE"""),"2022")</x:f>
      </x:c>
    </x:row>
    <x:row r="273" spans="1:10">
      <x:c r="A273" s="1" t="s">
        <x:v>282</x:v>
      </x:c>
      <x:c r="B273" s="1">
        <x:f>IFERROR(__xludf.DUMMYFUNCTION("""COMPUTED_VALUE"""),"Allibereu Willy 1")</x:f>
      </x:c>
      <x:c r="C273" s="1">
        <x:f>IFERROR(__xludf.DUMMYFUNCTION("""COMPUTED_VALUE"""),"1993")</x:f>
      </x:c>
    </x:row>
    <x:row r="274" spans="1:10">
      <x:c r="A274" s="1" t="s">
        <x:v>283</x:v>
      </x:c>
      <x:c r="B274" s="1">
        <x:f>IFERROR(__xludf.DUMMYFUNCTION("""COMPUTED_VALUE"""),"Allibereu Willy 2")</x:f>
      </x:c>
      <x:c r="C274" s="1">
        <x:f>IFERROR(__xludf.DUMMYFUNCTION("""COMPUTED_VALUE"""),"1995")</x:f>
      </x:c>
    </x:row>
    <x:row r="275" spans="1:10">
      <x:c r="A275" s="1" t="s">
        <x:v>284</x:v>
      </x:c>
      <x:c r="B275" s="1">
        <x:f>IFERROR(__xludf.DUMMYFUNCTION("""COMPUTED_VALUE"""),"Allibereu Willy 3, el rescat")</x:f>
      </x:c>
      <x:c r="C275" s="1">
        <x:f>IFERROR(__xludf.DUMMYFUNCTION("""COMPUTED_VALUE"""),"1997")</x:f>
      </x:c>
    </x:row>
    <x:row r="276" spans="1:10">
      <x:c r="A276" s="1" t="s">
        <x:v>285</x:v>
      </x:c>
      <x:c r="B276" s="1">
        <x:f>IFERROR(__xludf.DUMMYFUNCTION("""COMPUTED_VALUE"""),"Allibereu Willy 4, aventura a Sud-Àfrica")</x:f>
      </x:c>
      <x:c r="C276" s="1">
        <x:f>IFERROR(__xludf.DUMMYFUNCTION("""COMPUTED_VALUE"""),"2010")</x:f>
      </x:c>
    </x:row>
    <x:row r="277" spans="1:10">
      <x:c r="A277" s="1" t="s">
        <x:v>286</x:v>
      </x:c>
      <x:c r="B277" s="1">
        <x:f>IFERROR(__xludf.DUMMYFUNCTION("""COMPUTED_VALUE"""),"Alló que Darwin no sabia")</x:f>
      </x:c>
      <x:c r="C277" s="1">
        <x:f>IFERROR(__xludf.DUMMYFUNCTION("""COMPUTED_VALUE"""),"2009")</x:f>
      </x:c>
    </x:row>
    <x:row r="278" spans="1:10">
      <x:c r="A278" s="1" t="s">
        <x:v>287</x:v>
      </x:c>
      <x:c r="B278" s="1">
        <x:f>IFERROR(__xludf.DUMMYFUNCTION("""COMPUTED_VALUE"""),"Allò que el vent s'endugué")</x:f>
      </x:c>
      <x:c r="C278" s="1">
        <x:f>IFERROR(__xludf.DUMMYFUNCTION("""COMPUTED_VALUE"""),"1939")</x:f>
      </x:c>
    </x:row>
    <x:row r="279" spans="1:10">
      <x:c r="A279" s="1" t="s">
        <x:v>288</x:v>
      </x:c>
      <x:c r="B279" s="1">
        <x:f>IFERROR(__xludf.DUMMYFUNCTION("""COMPUTED_VALUE"""),"Almanya - Benvingut a Alemanya")</x:f>
      </x:c>
      <x:c r="C279" s="1">
        <x:f>IFERROR(__xludf.DUMMYFUNCTION("""COMPUTED_VALUE"""),"2011")</x:f>
      </x:c>
    </x:row>
    <x:row r="280" spans="1:10">
      <x:c r="A280" s="1" t="s">
        <x:v>289</x:v>
      </x:c>
      <x:c r="B280" s="1">
        <x:f>IFERROR(__xludf.DUMMYFUNCTION("""COMPUTED_VALUE"""),"Aloha, Scooby-Doo!")</x:f>
      </x:c>
      <x:c r="C280" s="1">
        <x:f>IFERROR(__xludf.DUMMYFUNCTION("""COMPUTED_VALUE"""),"2005")</x:f>
      </x:c>
    </x:row>
    <x:row r="281" spans="1:10">
      <x:c r="A281" s="1" t="s">
        <x:v>290</x:v>
      </x:c>
      <x:c r="B281" s="1">
        <x:f>IFERROR(__xludf.DUMMYFUNCTION("""COMPUTED_VALUE"""),"Along the way [VOSC]")</x:f>
      </x:c>
      <x:c r="C281" s="1">
        <x:f>IFERROR(__xludf.DUMMYFUNCTION("""COMPUTED_VALUE"""),"2022")</x:f>
      </x:c>
    </x:row>
    <x:row r="282" spans="1:10">
      <x:c r="A282" s="1" t="s">
        <x:v>291</x:v>
      </x:c>
      <x:c r="B282" s="1">
        <x:f>IFERROR(__xludf.DUMMYFUNCTION("""COMPUTED_VALUE"""),"Alpha")</x:f>
      </x:c>
      <x:c r="C282" s="1">
        <x:f>IFERROR(__xludf.DUMMYFUNCTION("""COMPUTED_VALUE"""),"2013")</x:f>
      </x:c>
    </x:row>
    <x:row r="283" spans="1:10">
      <x:c r="A283" s="1" t="s">
        <x:v>292</x:v>
      </x:c>
      <x:c r="B283" s="1">
        <x:f>IFERROR(__xludf.DUMMYFUNCTION("""COMPUTED_VALUE"""),"Alpha Dog")</x:f>
      </x:c>
      <x:c r="C283" s="1">
        <x:f>IFERROR(__xludf.DUMMYFUNCTION("""COMPUTED_VALUE"""),"2006")</x:f>
      </x:c>
    </x:row>
    <x:row r="284" spans="1:10">
      <x:c r="A284" s="1" t="s">
        <x:v>293</x:v>
      </x:c>
      <x:c r="B284" s="1">
        <x:f>IFERROR(__xludf.DUMMYFUNCTION("""COMPUTED_VALUE"""),"Alta mar")</x:f>
      </x:c>
      <x:c r="C284" s="1">
        <x:f>IFERROR(__xludf.DUMMYFUNCTION("""COMPUTED_VALUE"""),"2022")</x:f>
      </x:c>
    </x:row>
    <x:row r="285" spans="1:10">
      <x:c r="A285" s="1" t="s">
        <x:v>294</x:v>
      </x:c>
      <x:c r="B285" s="1">
        <x:f>IFERROR(__xludf.DUMMYFUNCTION("""COMPUTED_VALUE"""),"Alta societat")</x:f>
      </x:c>
      <x:c r="C285" s="1">
        <x:f>IFERROR(__xludf.DUMMYFUNCTION("""COMPUTED_VALUE"""),"2005")</x:f>
      </x:c>
    </x:row>
    <x:row r="286" spans="1:10">
      <x:c r="A286" s="1" t="s">
        <x:v>295</x:v>
      </x:c>
      <x:c r="B286" s="1">
        <x:f>IFERROR(__xludf.DUMMYFUNCTION("""COMPUTED_VALUE"""),"Alta tensió")</x:f>
      </x:c>
      <x:c r="C286" s="1">
        <x:f>IFERROR(__xludf.DUMMYFUNCTION("""COMPUTED_VALUE"""),"1987")</x:f>
      </x:c>
    </x:row>
    <x:row r="287" spans="1:10">
      <x:c r="A287" s="1" t="s">
        <x:v>296</x:v>
      </x:c>
      <x:c r="B287" s="1">
        <x:f>IFERROR(__xludf.DUMMYFUNCTION("""COMPUTED_VALUE"""),"Alvin i els esquirols III")</x:f>
      </x:c>
      <x:c r="C287" s="1">
        <x:f>IFERROR(__xludf.DUMMYFUNCTION("""COMPUTED_VALUE"""),"2011")</x:f>
      </x:c>
    </x:row>
    <x:row r="288" spans="1:10">
      <x:c r="A288" s="1" t="s">
        <x:v>297</x:v>
      </x:c>
      <x:c r="B288" s="1">
        <x:f>IFERROR(__xludf.DUMMYFUNCTION("""COMPUTED_VALUE"""),"Amadeus")</x:f>
      </x:c>
      <x:c r="C288" s="1">
        <x:f>IFERROR(__xludf.DUMMYFUNCTION("""COMPUTED_VALUE"""),"1984")</x:f>
      </x:c>
    </x:row>
    <x:row r="289" spans="1:10">
      <x:c r="A289" s="1" t="s">
        <x:v>298</x:v>
      </x:c>
      <x:c r="B289" s="1">
        <x:f>IFERROR(__xludf.DUMMYFUNCTION("""COMPUTED_VALUE"""),"Amador")</x:f>
      </x:c>
      <x:c r="C289" s="1">
        <x:f>IFERROR(__xludf.DUMMYFUNCTION("""COMPUTED_VALUE"""),"2010")</x:f>
      </x:c>
    </x:row>
    <x:row r="290" spans="1:10">
      <x:c r="A290" s="1" t="s">
        <x:v>299</x:v>
      </x:c>
      <x:c r="B290" s="1">
        <x:f>IFERROR(__xludf.DUMMYFUNCTION("""COMPUTED_VALUE"""),"Amagat [VOSC]")</x:f>
      </x:c>
      <x:c r="C290" s="1">
        <x:f>IFERROR(__xludf.DUMMYFUNCTION("""COMPUTED_VALUE"""),"2005")</x:f>
      </x:c>
    </x:row>
    <x:row r="291" spans="1:10">
      <x:c r="A291" s="1" t="s">
        <x:v>300</x:v>
      </x:c>
      <x:c r="B291" s="1">
        <x:f>IFERROR(__xludf.DUMMYFUNCTION("""COMPUTED_VALUE"""),"Amants")</x:f>
      </x:c>
      <x:c r="C291" s="1">
        <x:f>IFERROR(__xludf.DUMMYFUNCTION("""COMPUTED_VALUE"""),"2020")</x:f>
      </x:c>
    </x:row>
    <x:row r="292" spans="1:10">
      <x:c r="A292" s="1" t="s">
        <x:v>301</x:v>
      </x:c>
      <x:c r="B292" s="1">
        <x:f>IFERROR(__xludf.DUMMYFUNCTION("""COMPUTED_VALUE"""),"Amazònia, la vida per un dòlar")</x:f>
      </x:c>
      <x:c r="C292" s="1">
        <x:f>IFERROR(__xludf.DUMMYFUNCTION("""COMPUTED_VALUE"""),"2008")</x:f>
      </x:c>
    </x:row>
    <x:row r="293" spans="1:10">
      <x:c r="A293" s="1" t="s">
        <x:v>302</x:v>
      </x:c>
      <x:c r="B293" s="1">
        <x:f>IFERROR(__xludf.DUMMYFUNCTION("""COMPUTED_VALUE"""),"Amb el cap ple de mel")</x:f>
      </x:c>
      <x:c r="C293" s="1">
        <x:f>IFERROR(__xludf.DUMMYFUNCTION("""COMPUTED_VALUE"""),"2018")</x:f>
      </x:c>
    </x:row>
    <x:row r="294" spans="1:10">
      <x:c r="A294" s="1" t="s">
        <x:v>303</x:v>
      </x:c>
      <x:c r="B294" s="1">
        <x:f>IFERROR(__xludf.DUMMYFUNCTION("""COMPUTED_VALUE"""),"Amb el món no n'hi ha prou")</x:f>
      </x:c>
      <x:c r="C294" s="1">
        <x:f>IFERROR(__xludf.DUMMYFUNCTION("""COMPUTED_VALUE"""),"1999")</x:f>
      </x:c>
    </x:row>
    <x:row r="295" spans="1:10">
      <x:c r="A295" s="1" t="s">
        <x:v>304</x:v>
      </x:c>
      <x:c r="B295" s="1">
        <x:f>IFERROR(__xludf.DUMMYFUNCTION("""COMPUTED_VALUE"""),"Amb ell va arribar l'escàndol")</x:f>
      </x:c>
      <x:c r="C295" s="1">
        <x:f>IFERROR(__xludf.DUMMYFUNCTION("""COMPUTED_VALUE"""),"1960")</x:f>
      </x:c>
    </x:row>
    <x:row r="296" spans="1:10">
      <x:c r="A296" s="1" t="s">
        <x:v>305</x:v>
      </x:c>
      <x:c r="B296" s="1">
        <x:f>IFERROR(__xludf.DUMMYFUNCTION("""COMPUTED_VALUE"""),"Amb els braços oberts")</x:f>
      </x:c>
      <x:c r="C296" s="1">
        <x:f>IFERROR(__xludf.DUMMYFUNCTION("""COMPUTED_VALUE"""),"2017")</x:f>
      </x:c>
    </x:row>
    <x:row r="297" spans="1:10">
      <x:c r="A297" s="1" t="s">
        <x:v>306</x:v>
      </x:c>
      <x:c r="B297" s="1">
        <x:f>IFERROR(__xludf.DUMMYFUNCTION("""COMPUTED_VALUE"""),"Amb l'aigua al coll")</x:f>
      </x:c>
      <x:c r="C297" s="1">
        <x:f>IFERROR(__xludf.DUMMYFUNCTION("""COMPUTED_VALUE"""),"1975")</x:f>
      </x:c>
    </x:row>
    <x:row r="298" spans="1:10">
      <x:c r="A298" s="1" t="s">
        <x:v>307</x:v>
      </x:c>
      <x:c r="B298" s="1">
        <x:f>IFERROR(__xludf.DUMMYFUNCTION("""COMPUTED_VALUE"""),"Amb les hores comptades")</x:f>
      </x:c>
      <x:c r="C298" s="1">
        <x:f>IFERROR(__xludf.DUMMYFUNCTION("""COMPUTED_VALUE"""),"1949")</x:f>
      </x:c>
    </x:row>
    <x:row r="299" spans="1:10">
      <x:c r="A299" s="1" t="s">
        <x:v>308</x:v>
      </x:c>
      <x:c r="B299" s="1">
        <x:f>IFERROR(__xludf.DUMMYFUNCTION("""COMPUTED_VALUE"""),"Amb les mateixes armes")</x:f>
      </x:c>
      <x:c r="C299" s="1">
        <x:f>IFERROR(__xludf.DUMMYFUNCTION("""COMPUTED_VALUE"""),"1940")</x:f>
      </x:c>
    </x:row>
    <x:row r="300" spans="1:10">
      <x:c r="A300" s="1" t="s">
        <x:v>309</x:v>
      </x:c>
      <x:c r="B300" s="1">
        <x:f>IFERROR(__xludf.DUMMYFUNCTION("""COMPUTED_VALUE"""),"Amb un somriure, la revolució!")</x:f>
      </x:c>
      <x:c r="C300" s="1">
        <x:f>IFERROR(__xludf.DUMMYFUNCTION("""COMPUTED_VALUE"""),"2019")</x:f>
      </x:c>
    </x:row>
    <x:row r="301" spans="1:10">
      <x:c r="A301" s="1" t="s">
        <x:v>310</x:v>
      </x:c>
      <x:c r="B301" s="1">
        <x:f>IFERROR(__xludf.DUMMYFUNCTION("""COMPUTED_VALUE"""),"Amelia")</x:f>
      </x:c>
      <x:c r="C301" s="1">
        <x:f>IFERROR(__xludf.DUMMYFUNCTION("""COMPUTED_VALUE"""),"2009")</x:f>
      </x:c>
    </x:row>
    <x:row r="302" spans="1:10">
      <x:c r="A302" s="1" t="s">
        <x:v>311</x:v>
      </x:c>
      <x:c r="B302" s="1">
        <x:f>IFERROR(__xludf.DUMMYFUNCTION("""COMPUTED_VALUE"""),"Amélie")</x:f>
      </x:c>
      <x:c r="C302" s="1">
        <x:f>IFERROR(__xludf.DUMMYFUNCTION("""COMPUTED_VALUE"""),"2001")</x:f>
      </x:c>
    </x:row>
    <x:row r="303" spans="1:10">
      <x:c r="A303" s="1" t="s">
        <x:v>312</x:v>
      </x:c>
      <x:c r="B303" s="1">
        <x:f>IFERROR(__xludf.DUMMYFUNCTION("""COMPUTED_VALUE"""),"Amenaça totalitària")</x:f>
      </x:c>
      <x:c r="C303" s="1">
        <x:f>IFERROR(__xludf.DUMMYFUNCTION("""COMPUTED_VALUE"""),"2019")</x:f>
      </x:c>
    </x:row>
    <x:row r="304" spans="1:10">
      <x:c r="A304" s="1" t="s">
        <x:v>313</x:v>
      </x:c>
      <x:c r="B304" s="1">
        <x:f>IFERROR(__xludf.DUMMYFUNCTION("""COMPUTED_VALUE"""),"American beauty")</x:f>
      </x:c>
      <x:c r="C304" s="1">
        <x:f>IFERROR(__xludf.DUMMYFUNCTION("""COMPUTED_VALUE"""),"1999")</x:f>
      </x:c>
    </x:row>
    <x:row r="305" spans="1:10">
      <x:c r="A305" s="1" t="s">
        <x:v>314</x:v>
      </x:c>
      <x:c r="B305" s="1">
        <x:f>IFERROR(__xludf.DUMMYFUNCTION("""COMPUTED_VALUE"""),"American Gangster")</x:f>
      </x:c>
      <x:c r="C305" s="1">
        <x:f>IFERROR(__xludf.DUMMYFUNCTION("""COMPUTED_VALUE"""),"2007")</x:f>
      </x:c>
    </x:row>
    <x:row r="306" spans="1:10">
      <x:c r="A306" s="1" t="s">
        <x:v>315</x:v>
      </x:c>
      <x:c r="B306" s="1">
        <x:f>IFERROR(__xludf.DUMMYFUNCTION("""COMPUTED_VALUE"""),"American Gun")</x:f>
      </x:c>
      <x:c r="C306" s="1">
        <x:f>IFERROR(__xludf.DUMMYFUNCTION("""COMPUTED_VALUE"""),"2005")</x:f>
      </x:c>
    </x:row>
    <x:row r="307" spans="1:10">
      <x:c r="A307" s="1" t="s">
        <x:v>316</x:v>
      </x:c>
      <x:c r="B307" s="1">
        <x:f>IFERROR(__xludf.DUMMYFUNCTION("""COMPUTED_VALUE"""),"American History X")</x:f>
      </x:c>
      <x:c r="C307" s="1">
        <x:f>IFERROR(__xludf.DUMMYFUNCTION("""COMPUTED_VALUE"""),"1998")</x:f>
      </x:c>
    </x:row>
    <x:row r="308" spans="1:10">
      <x:c r="A308" s="1" t="s">
        <x:v>317</x:v>
      </x:c>
      <x:c r="B308" s="1">
        <x:f>IFERROR(__xludf.DUMMYFUNCTION("""COMPUTED_VALUE"""),"American Pie")</x:f>
      </x:c>
      <x:c r="C308" s="1">
        <x:f>IFERROR(__xludf.DUMMYFUNCTION("""COMPUTED_VALUE"""),"1999")</x:f>
      </x:c>
    </x:row>
    <x:row r="309" spans="1:10">
      <x:c r="A309" s="1" t="s">
        <x:v>318</x:v>
      </x:c>
      <x:c r="B309" s="1">
        <x:f>IFERROR(__xludf.DUMMYFUNCTION("""COMPUTED_VALUE"""),"American Playboy")</x:f>
      </x:c>
      <x:c r="C309" s="1">
        <x:f>IFERROR(__xludf.DUMMYFUNCTION("""COMPUTED_VALUE"""),"2009")</x:f>
      </x:c>
    </x:row>
    <x:row r="310" spans="1:10">
      <x:c r="A310" s="1" t="s">
        <x:v>319</x:v>
      </x:c>
      <x:c r="B310" s="1">
        <x:f>IFERROR(__xludf.DUMMYFUNCTION("""COMPUTED_VALUE"""),"American Psycho")</x:f>
      </x:c>
      <x:c r="C310" s="1">
        <x:f>IFERROR(__xludf.DUMMYFUNCTION("""COMPUTED_VALUE"""),"2000")</x:f>
      </x:c>
    </x:row>
    <x:row r="311" spans="1:10">
      <x:c r="A311" s="1" t="s">
        <x:v>320</x:v>
      </x:c>
      <x:c r="B311" s="1">
        <x:f>IFERROR(__xludf.DUMMYFUNCTION("""COMPUTED_VALUE"""),"Amic/Amat")</x:f>
      </x:c>
      <x:c r="C311" s="1">
        <x:f>IFERROR(__xludf.DUMMYFUNCTION("""COMPUTED_VALUE"""),"1999")</x:f>
      </x:c>
    </x:row>
    <x:row r="312" spans="1:10">
      <x:c r="A312" s="1" t="s">
        <x:v>321</x:v>
      </x:c>
      <x:c r="B312" s="1">
        <x:f>IFERROR(__xludf.DUMMYFUNCTION("""COMPUTED_VALUE"""),"Amics amb diners")</x:f>
      </x:c>
      <x:c r="C312" s="1">
        <x:f>IFERROR(__xludf.DUMMYFUNCTION("""COMPUTED_VALUE"""),"2006")</x:f>
      </x:c>
    </x:row>
    <x:row r="313" spans="1:10">
      <x:c r="A313" s="1" t="s">
        <x:v>322</x:v>
      </x:c>
      <x:c r="B313" s="1">
        <x:f>IFERROR(__xludf.DUMMYFUNCTION("""COMPUTED_VALUE"""),"Amics amb dret a alguna cosa més")</x:f>
      </x:c>
      <x:c r="C313" s="1">
        <x:f>IFERROR(__xludf.DUMMYFUNCTION("""COMPUTED_VALUE"""),"2011")</x:f>
      </x:c>
    </x:row>
    <x:row r="314" spans="1:10">
      <x:c r="A314" s="1" t="s">
        <x:v>323</x:v>
      </x:c>
      <x:c r="B314" s="1">
        <x:f>IFERROR(__xludf.DUMMYFUNCTION("""COMPUTED_VALUE"""),"Amics amb fills")</x:f>
      </x:c>
      <x:c r="C314" s="1">
        <x:f>IFERROR(__xludf.DUMMYFUNCTION("""COMPUTED_VALUE"""),"2011")</x:f>
      </x:c>
    </x:row>
    <x:row r="315" spans="1:10">
      <x:c r="A315" s="1" t="s">
        <x:v>324</x:v>
      </x:c>
      <x:c r="B315" s="1">
        <x:f>IFERROR(__xludf.DUMMYFUNCTION("""COMPUTED_VALUE"""),"Amics i veïns")</x:f>
      </x:c>
      <x:c r="C315" s="1">
        <x:f>IFERROR(__xludf.DUMMYFUNCTION("""COMPUTED_VALUE"""),"1998")</x:f>
      </x:c>
    </x:row>
    <x:row r="316" spans="1:10">
      <x:c r="A316" s="1" t="s">
        <x:v>325</x:v>
      </x:c>
      <x:c r="B316" s="1">
        <x:f>IFERROR(__xludf.DUMMYFUNCTION("""COMPUTED_VALUE"""),"Amics per sempre")</x:f>
      </x:c>
      <x:c r="C316" s="1">
        <x:f>IFERROR(__xludf.DUMMYFUNCTION("""COMPUTED_VALUE"""),"2017")</x:f>
      </x:c>
    </x:row>
    <x:row r="317" spans="1:10">
      <x:c r="A317" s="1" t="s">
        <x:v>326</x:v>
      </x:c>
      <x:c r="B317" s="1">
        <x:f>IFERROR(__xludf.DUMMYFUNCTION("""COMPUTED_VALUE"""),"Amics per sempre")</x:f>
      </x:c>
      <x:c r="C317" s="1">
        <x:f>IFERROR(__xludf.DUMMYFUNCTION("""COMPUTED_VALUE"""),"2019")</x:f>
      </x:c>
    </x:row>
    <x:row r="318" spans="1:10">
      <x:c r="A318" s="1" t="s">
        <x:v>327</x:v>
      </x:c>
      <x:c r="B318" s="1">
        <x:f>IFERROR(__xludf.DUMMYFUNCTION("""COMPUTED_VALUE"""),"Amics: En Rondinaire i l'illa dels monstres")</x:f>
      </x:c>
      <x:c r="C318" s="1">
        <x:f>IFERROR(__xludf.DUMMYFUNCTION("""COMPUTED_VALUE"""),"2011")</x:f>
      </x:c>
    </x:row>
    <x:row r="319" spans="1:10">
      <x:c r="A319" s="1" t="s">
        <x:v>328</x:v>
      </x:c>
      <x:c r="B319" s="1">
        <x:f>IFERROR(__xludf.DUMMYFUNCTION("""COMPUTED_VALUE"""),"Amigues mortals")</x:f>
      </x:c>
      <x:c r="C319" s="1">
        <x:f>IFERROR(__xludf.DUMMYFUNCTION("""COMPUTED_VALUE"""),"2021")</x:f>
      </x:c>
    </x:row>
    <x:row r="320" spans="1:10">
      <x:c r="A320" s="1" t="s">
        <x:v>329</x:v>
      </x:c>
      <x:c r="B320" s="1">
        <x:f>IFERROR(__xludf.DUMMYFUNCTION("""COMPUTED_VALUE"""),"Amor")</x:f>
      </x:c>
      <x:c r="C320" s="1">
        <x:f>IFERROR(__xludf.DUMMYFUNCTION("""COMPUTED_VALUE"""),"2012")</x:f>
      </x:c>
    </x:row>
    <x:row r="321" spans="1:10">
      <x:c r="A321" s="1" t="s">
        <x:v>330</x:v>
      </x:c>
      <x:c r="B321" s="1">
        <x:f>IFERROR(__xludf.DUMMYFUNCTION("""COMPUTED_VALUE"""),"Amor a la polonesa")</x:f>
      </x:c>
      <x:c r="C321" s="1">
        <x:f>IFERROR(__xludf.DUMMYFUNCTION("""COMPUTED_VALUE"""),"2018")</x:f>
      </x:c>
    </x:row>
    <x:row r="322" spans="1:10">
      <x:c r="A322" s="1" t="s">
        <x:v>331</x:v>
      </x:c>
      <x:c r="B322" s="1">
        <x:f>IFERROR(__xludf.DUMMYFUNCTION("""COMPUTED_VALUE"""),"Amor a la siciliana")</x:f>
      </x:c>
      <x:c r="C322" s="1">
        <x:f>IFERROR(__xludf.DUMMYFUNCTION("""COMPUTED_VALUE"""),"2016")</x:f>
      </x:c>
    </x:row>
    <x:row r="323" spans="1:10">
      <x:c r="A323" s="1" t="s">
        <x:v>332</x:v>
      </x:c>
      <x:c r="B323" s="1">
        <x:f>IFERROR(__xludf.DUMMYFUNCTION("""COMPUTED_VALUE"""),"Amor al primer lladruc")</x:f>
      </x:c>
      <x:c r="C323" s="1">
        <x:f>IFERROR(__xludf.DUMMYFUNCTION("""COMPUTED_VALUE"""),"2017")</x:f>
      </x:c>
    </x:row>
    <x:row r="324" spans="1:10">
      <x:c r="A324" s="1" t="s">
        <x:v>333</x:v>
      </x:c>
      <x:c r="B324" s="1">
        <x:f>IFERROR(__xludf.DUMMYFUNCTION("""COMPUTED_VALUE"""),"Amor amb preavís")</x:f>
      </x:c>
      <x:c r="C324" s="1">
        <x:f>IFERROR(__xludf.DUMMYFUNCTION("""COMPUTED_VALUE"""),"2002")</x:f>
      </x:c>
    </x:row>
    <x:row r="325" spans="1:10">
      <x:c r="A325" s="1" t="s">
        <x:v>334</x:v>
      </x:c>
      <x:c r="B325" s="1">
        <x:f>IFERROR(__xludf.DUMMYFUNCTION("""COMPUTED_VALUE"""),"Amor col·lateral")</x:f>
      </x:c>
      <x:c r="C325" s="1">
        <x:f>IFERROR(__xludf.DUMMYFUNCTION("""COMPUTED_VALUE"""),"2013")</x:f>
      </x:c>
    </x:row>
    <x:row r="326" spans="1:10">
      <x:c r="A326" s="1" t="s">
        <x:v>335</x:v>
      </x:c>
      <x:c r="B326" s="1">
        <x:f>IFERROR(__xludf.DUMMYFUNCTION("""COMPUTED_VALUE"""),"Amor descontrolat")</x:f>
      </x:c>
      <x:c r="C326" s="1">
        <x:f>IFERROR(__xludf.DUMMYFUNCTION("""COMPUTED_VALUE"""),"2012")</x:f>
      </x:c>
    </x:row>
    <x:row r="327" spans="1:10">
      <x:c r="A327" s="1" t="s">
        <x:v>336</x:v>
      </x:c>
      <x:c r="B327" s="1">
        <x:f>IFERROR(__xludf.DUMMYFUNCTION("""COMPUTED_VALUE"""),"Amor en el fiord")</x:f>
      </x:c>
      <x:c r="C327" s="1">
        <x:f>IFERROR(__xludf.DUMMYFUNCTION("""COMPUTED_VALUE"""),"2013")</x:f>
      </x:c>
    </x:row>
    <x:row r="328" spans="1:10">
      <x:c r="A328" s="1" t="s">
        <x:v>337</x:v>
      </x:c>
      <x:c r="B328" s="1">
        <x:f>IFERROR(__xludf.DUMMYFUNCTION("""COMPUTED_VALUE"""),"Amor en temps de guerra")</x:f>
      </x:c>
      <x:c r="C328" s="1">
        <x:f>IFERROR(__xludf.DUMMYFUNCTION("""COMPUTED_VALUE"""),"1997")</x:f>
      </x:c>
    </x:row>
    <x:row r="329" spans="1:10">
      <x:c r="A329" s="1" t="s">
        <x:v>338</x:v>
      </x:c>
      <x:c r="B329" s="1">
        <x:f>IFERROR(__xludf.DUMMYFUNCTION("""COMPUTED_VALUE"""),"Amor és tot el que necessites")</x:f>
      </x:c>
      <x:c r="C329" s="1">
        <x:f>IFERROR(__xludf.DUMMYFUNCTION("""COMPUTED_VALUE"""),"2012")</x:f>
      </x:c>
    </x:row>
    <x:row r="330" spans="1:10">
      <x:c r="A330" s="1" t="s">
        <x:v>339</x:v>
      </x:c>
      <x:c r="B330" s="1">
        <x:f>IFERROR(__xludf.DUMMYFUNCTION("""COMPUTED_VALUE"""),"Amor i lletres")</x:f>
      </x:c>
      <x:c r="C330" s="1">
        <x:f>IFERROR(__xludf.DUMMYFUNCTION("""COMPUTED_VALUE"""),"2012")</x:f>
      </x:c>
    </x:row>
    <x:row r="331" spans="1:10">
      <x:c r="A331" s="1" t="s">
        <x:v>340</x:v>
      </x:c>
      <x:c r="B331" s="1">
        <x:f>IFERROR(__xludf.DUMMYFUNCTION("""COMPUTED_VALUE"""),"Amor idiota")</x:f>
      </x:c>
      <x:c r="C331" s="1">
        <x:f>IFERROR(__xludf.DUMMYFUNCTION("""COMPUTED_VALUE"""),"2004")</x:f>
      </x:c>
    </x:row>
    <x:row r="332" spans="1:10">
      <x:c r="A332" s="1" t="s">
        <x:v>341</x:v>
      </x:c>
      <x:c r="B332" s="1">
        <x:f>IFERROR(__xludf.DUMMYFUNCTION("""COMPUTED_VALUE"""),"Amor inesperat")</x:f>
      </x:c>
      <x:c r="C332" s="1">
        <x:f>IFERROR(__xludf.DUMMYFUNCTION("""COMPUTED_VALUE"""),"2015")</x:f>
      </x:c>
    </x:row>
    <x:row r="333" spans="1:10">
      <x:c r="A333" s="1" t="s">
        <x:v>342</x:v>
      </x:c>
      <x:c r="B333" s="1">
        <x:f>IFERROR(__xludf.DUMMYFUNCTION("""COMPUTED_VALUE"""),"Amor meu, com t'odio")</x:f>
      </x:c>
      <x:c r="C333" s="1">
        <x:f>IFERROR(__xludf.DUMMYFUNCTION("""COMPUTED_VALUE"""),"2021")</x:f>
      </x:c>
    </x:row>
    <x:row r="334" spans="1:10">
      <x:c r="A334" s="1" t="s">
        <x:v>343</x:v>
      </x:c>
      <x:c r="B334" s="1">
        <x:f>IFERROR(__xludf.DUMMYFUNCTION("""COMPUTED_VALUE"""),"Amor sense menta")</x:f>
      </x:c>
      <x:c r="C334" s="1">
        <x:f>IFERROR(__xludf.DUMMYFUNCTION("""COMPUTED_VALUE"""),"2011")</x:f>
      </x:c>
    </x:row>
    <x:row r="335" spans="1:10">
      <x:c r="A335" s="1" t="s">
        <x:v>344</x:v>
      </x:c>
      <x:c r="B335" s="1">
        <x:f>IFERROR(__xludf.DUMMYFUNCTION("""COMPUTED_VALUE"""),"Amor sota l'arç blanc")</x:f>
      </x:c>
      <x:c r="C335" s="1">
        <x:f>IFERROR(__xludf.DUMMYFUNCTION("""COMPUTED_VALUE"""),"2010")</x:f>
      </x:c>
    </x:row>
    <x:row r="336" spans="1:10">
      <x:c r="A336" s="1" t="s">
        <x:v>345</x:v>
      </x:c>
      <x:c r="B336" s="1">
        <x:f>IFERROR(__xludf.DUMMYFUNCTION("""COMPUTED_VALUE"""),"Amor, bodes i altres desastres")</x:f>
      </x:c>
      <x:c r="C336" s="1">
        <x:f>IFERROR(__xludf.DUMMYFUNCTION("""COMPUTED_VALUE"""),"2020")</x:f>
      </x:c>
    </x:row>
    <x:row r="337" spans="1:10">
      <x:c r="A337" s="1" t="s">
        <x:v>346</x:v>
      </x:c>
      <x:c r="B337" s="1">
        <x:f>IFERROR(__xludf.DUMMYFUNCTION("""COMPUTED_VALUE"""),"Amor, boig i estúpid")</x:f>
      </x:c>
      <x:c r="C337" s="1">
        <x:f>IFERROR(__xludf.DUMMYFUNCTION("""COMPUTED_VALUE"""),"2011")</x:f>
      </x:c>
    </x:row>
    <x:row r="338" spans="1:10">
      <x:c r="A338" s="1" t="s">
        <x:v>347</x:v>
      </x:c>
      <x:c r="B338" s="1">
        <x:f>IFERROR(__xludf.DUMMYFUNCTION("""COMPUTED_VALUE"""),"Amors bojos")</x:f>
      </x:c>
      <x:c r="C338" s="1">
        <x:f>IFERROR(__xludf.DUMMYFUNCTION("""COMPUTED_VALUE"""),"2009")</x:f>
      </x:c>
    </x:row>
    <x:row r="339" spans="1:10">
      <x:c r="A339" s="1" t="s">
        <x:v>348</x:v>
      </x:c>
      <x:c r="B339" s="1">
        <x:f>IFERROR(__xludf.DUMMYFUNCTION("""COMPUTED_VALUE"""),"Amors nadalencs al dente")</x:f>
      </x:c>
      <x:c r="C339" s="1">
        <x:f>IFERROR(__xludf.DUMMYFUNCTION("""COMPUTED_VALUE"""),"2020")</x:f>
      </x:c>
    </x:row>
    <x:row r="340" spans="1:10">
      <x:c r="A340" s="1" t="s">
        <x:v>349</x:v>
      </x:c>
      <x:c r="B340" s="1">
        <x:f>IFERROR(__xludf.DUMMYFUNCTION("""COMPUTED_VALUE"""),"Amundsen")</x:f>
      </x:c>
      <x:c r="C340" s="1">
        <x:f>IFERROR(__xludf.DUMMYFUNCTION("""COMPUTED_VALUE"""),"2019")</x:f>
      </x:c>
    </x:row>
    <x:row r="341" spans="1:10">
      <x:c r="A341" s="1" t="s">
        <x:v>350</x:v>
      </x:c>
      <x:c r="B341" s="1">
        <x:f>IFERROR(__xludf.DUMMYFUNCTION("""COMPUTED_VALUE"""),"Amys Vilje. El retorn d'una noia")</x:f>
      </x:c>
      <x:c r="C341" s="1">
        <x:f>IFERROR(__xludf.DUMMYFUNCTION("""COMPUTED_VALUE"""),"2019")</x:f>
      </x:c>
    </x:row>
    <x:row r="342" spans="1:10">
      <x:c r="A342" s="1" t="s">
        <x:v>351</x:v>
      </x:c>
      <x:c r="B342" s="1">
        <x:f>IFERROR(__xludf.DUMMYFUNCTION("""COMPUTED_VALUE"""),"Anacleto: Agent secret")</x:f>
      </x:c>
      <x:c r="C342" s="1">
        <x:f>IFERROR(__xludf.DUMMYFUNCTION("""COMPUTED_VALUE"""),"2015")</x:f>
      </x:c>
    </x:row>
    <x:row r="343" spans="1:10">
      <x:c r="A343" s="1" t="s">
        <x:v>352</x:v>
      </x:c>
      <x:c r="B343" s="1">
        <x:f>IFERROR(__xludf.DUMMYFUNCTION("""COMPUTED_VALUE"""),"Anaconda")</x:f>
      </x:c>
      <x:c r="C343" s="1">
        <x:f>IFERROR(__xludf.DUMMYFUNCTION("""COMPUTED_VALUE"""),"1997")</x:f>
      </x:c>
    </x:row>
    <x:row r="344" spans="1:10">
      <x:c r="A344" s="1" t="s">
        <x:v>353</x:v>
      </x:c>
      <x:c r="B344" s="1">
        <x:f>IFERROR(__xludf.DUMMYFUNCTION("""COMPUTED_VALUE"""),"Anacondes: la recerca de l'orquídia de sang")</x:f>
      </x:c>
      <x:c r="C344" s="1">
        <x:f>IFERROR(__xludf.DUMMYFUNCTION("""COMPUTED_VALUE"""),"2004")</x:f>
      </x:c>
    </x:row>
    <x:row r="345" spans="1:10">
      <x:c r="A345" s="1" t="s">
        <x:v>354</x:v>
      </x:c>
      <x:c r="B345" s="1">
        <x:f>IFERROR(__xludf.DUMMYFUNCTION("""COMPUTED_VALUE"""),"Anàlisi Final")</x:f>
      </x:c>
      <x:c r="C345" s="1">
        <x:f>IFERROR(__xludf.DUMMYFUNCTION("""COMPUTED_VALUE"""),"1992")</x:f>
      </x:c>
    </x:row>
    <x:row r="346" spans="1:10">
      <x:c r="A346" s="1" t="s">
        <x:v>355</x:v>
      </x:c>
      <x:c r="B346" s="1">
        <x:f>IFERROR(__xludf.DUMMYFUNCTION("""COMPUTED_VALUE"""),"Anamorph")</x:f>
      </x:c>
      <x:c r="C346" s="1">
        <x:f>IFERROR(__xludf.DUMMYFUNCTION("""COMPUTED_VALUE"""),"2007")</x:f>
      </x:c>
    </x:row>
    <x:row r="347" spans="1:10">
      <x:c r="A347" s="1" t="s">
        <x:v>356</x:v>
      </x:c>
      <x:c r="B347" s="1">
        <x:f>IFERROR(__xludf.DUMMYFUNCTION("""COMPUTED_VALUE"""),"Anastàsia")</x:f>
      </x:c>
      <x:c r="C347" s="1">
        <x:f>IFERROR(__xludf.DUMMYFUNCTION("""COMPUTED_VALUE"""),"1997")</x:f>
      </x:c>
    </x:row>
    <x:row r="348" spans="1:10">
      <x:c r="A348" s="1" t="s">
        <x:v>357</x:v>
      </x:c>
      <x:c r="B348" s="1">
        <x:f>IFERROR(__xludf.DUMMYFUNCTION("""COMPUTED_VALUE"""),"Anatomia")</x:f>
      </x:c>
      <x:c r="C348" s="1">
        <x:f>IFERROR(__xludf.DUMMYFUNCTION("""COMPUTED_VALUE"""),"2000")</x:f>
      </x:c>
    </x:row>
    <x:row r="349" spans="1:10">
      <x:c r="A349" s="1" t="s">
        <x:v>358</x:v>
      </x:c>
      <x:c r="B349" s="1">
        <x:f>IFERROR(__xludf.DUMMYFUNCTION("""COMPUTED_VALUE"""),"Anatomia d'un Rei")</x:f>
      </x:c>
      <x:c r="C349" s="1">
        <x:f>IFERROR(__xludf.DUMMYFUNCTION("""COMPUTED_VALUE"""),"2010")</x:f>
      </x:c>
    </x:row>
    <x:row r="350" spans="1:10">
      <x:c r="A350" s="1" t="s">
        <x:v>359</x:v>
      </x:c>
      <x:c r="B350" s="1">
        <x:f>IFERROR(__xludf.DUMMYFUNCTION("""COMPUTED_VALUE"""),"Andrea Motis i Joan Chamorro Grup - Teatre Coliseum de Barcelona")</x:f>
      </x:c>
      <x:c r="C350" s="1">
        <x:f>IFERROR(__xludf.DUMMYFUNCTION("""COMPUTED_VALUE"""),"2011")</x:f>
      </x:c>
    </x:row>
    <x:row r="351" spans="1:10">
      <x:c r="A351" s="1" t="s">
        <x:v>360</x:v>
      </x:c>
      <x:c r="B351" s="1">
        <x:f>IFERROR(__xludf.DUMMYFUNCTION("""COMPUTED_VALUE"""),"Andrés Iniesta, ""La última passada""")</x:f>
      </x:c>
      <x:c r="C351" s="1">
        <x:f>IFERROR(__xludf.DUMMYFUNCTION("""COMPUTED_VALUE"""),"2018")</x:f>
      </x:c>
    </x:row>
    <x:row r="352" spans="1:10">
      <x:c r="A352" s="1" t="s">
        <x:v>361</x:v>
      </x:c>
      <x:c r="B352" s="1">
        <x:f>IFERROR(__xludf.DUMMYFUNCTION("""COMPUTED_VALUE"""),"Anem a caçar un os")</x:f>
      </x:c>
      <x:c r="C352" s="1">
        <x:f>IFERROR(__xludf.DUMMYFUNCTION("""COMPUTED_VALUE"""),"2016")</x:f>
      </x:c>
    </x:row>
    <x:row r="353" spans="1:10">
      <x:c r="A353" s="1" t="s">
        <x:v>362</x:v>
      </x:c>
      <x:c r="B353" s="1">
        <x:f>IFERROR(__xludf.DUMMYFUNCTION("""COMPUTED_VALUE"""),"Anem-nos-en, Bàrbara")</x:f>
      </x:c>
      <x:c r="C353" s="1">
        <x:f>IFERROR(__xludf.DUMMYFUNCTION("""COMPUTED_VALUE"""),"1978")</x:f>
      </x:c>
    </x:row>
    <x:row r="354" spans="1:10">
      <x:c r="A354" s="1" t="s">
        <x:v>363</x:v>
      </x:c>
      <x:c r="B354" s="1">
        <x:f>IFERROR(__xludf.DUMMYFUNCTION("""COMPUTED_VALUE"""),"Àngel de venjança")</x:f>
      </x:c>
      <x:c r="C354" s="1">
        <x:f>IFERROR(__xludf.DUMMYFUNCTION("""COMPUTED_VALUE"""),"2015")</x:f>
      </x:c>
    </x:row>
    <x:row r="355" spans="1:10">
      <x:c r="A355" s="1" t="s">
        <x:v>364</x:v>
      </x:c>
      <x:c r="B355" s="1">
        <x:f>IFERROR(__xludf.DUMMYFUNCTION("""COMPUTED_VALUE"""),"Àngels a prova de bala")</x:f>
      </x:c>
      <x:c r="C355" s="1">
        <x:f>IFERROR(__xludf.DUMMYFUNCTION("""COMPUTED_VALUE"""),"2025")</x:f>
      </x:c>
    </x:row>
    <x:row r="356" spans="1:10">
      <x:c r="A356" s="1" t="s">
        <x:v>365</x:v>
      </x:c>
      <x:c r="B356" s="1">
        <x:f>IFERROR(__xludf.DUMMYFUNCTION("""COMPUTED_VALUE"""),"Àngels i dimonis")</x:f>
      </x:c>
      <x:c r="C356" s="1">
        <x:f>IFERROR(__xludf.DUMMYFUNCTION("""COMPUTED_VALUE"""),"2009")</x:f>
      </x:c>
    </x:row>
    <x:row r="357" spans="1:10">
      <x:c r="A357" s="1" t="s">
        <x:v>366</x:v>
      </x:c>
      <x:c r="B357" s="1">
        <x:f>IFERROR(__xludf.DUMMYFUNCTION("""COMPUTED_VALUE"""),"Àngels sense cel")</x:f>
      </x:c>
      <x:c r="C357" s="1">
        <x:f>IFERROR(__xludf.DUMMYFUNCTION("""COMPUTED_VALUE"""),"1993")</x:f>
      </x:c>
    </x:row>
    <x:row r="358" spans="1:10">
      <x:c r="A358" s="1" t="s">
        <x:v>367</x:v>
      </x:c>
      <x:c r="B358" s="1">
        <x:f>IFERROR(__xludf.DUMMYFUNCTION("""COMPUTED_VALUE"""),"Angoixa")</x:f>
      </x:c>
      <x:c r="C358" s="1">
        <x:f>IFERROR(__xludf.DUMMYFUNCTION("""COMPUTED_VALUE"""),"1987")</x:f>
      </x:c>
    </x:row>
    <x:row r="359" spans="1:10">
      <x:c r="A359" s="1" t="s">
        <x:v>368</x:v>
      </x:c>
      <x:c r="B359" s="1">
        <x:f>IFERROR(__xludf.DUMMYFUNCTION("""COMPUTED_VALUE"""),"Angry Birds I La pel·lícula")</x:f>
      </x:c>
      <x:c r="C359" s="1">
        <x:f>IFERROR(__xludf.DUMMYFUNCTION("""COMPUTED_VALUE"""),"2016")</x:f>
      </x:c>
    </x:row>
    <x:row r="360" spans="1:10">
      <x:c r="A360" s="1" t="s">
        <x:v>369</x:v>
      </x:c>
      <x:c r="B360" s="1">
        <x:f>IFERROR(__xludf.DUMMYFUNCTION("""COMPUTED_VALUE"""),"Angry Birds II La pel·lícula")</x:f>
      </x:c>
      <x:c r="C360" s="1">
        <x:f>IFERROR(__xludf.DUMMYFUNCTION("""COMPUTED_VALUE"""),"2019")</x:f>
      </x:c>
    </x:row>
    <x:row r="361" spans="1:10">
      <x:c r="A361" s="1" t="s">
        <x:v>370</x:v>
      </x:c>
      <x:c r="B361" s="1">
        <x:f>IFERROR(__xludf.DUMMYFUNCTION("""COMPUTED_VALUE"""),"Angry Indian Goddesses")</x:f>
      </x:c>
      <x:c r="C361" s="1">
        <x:f>IFERROR(__xludf.DUMMYFUNCTION("""COMPUTED_VALUE"""),"2015")</x:f>
      </x:c>
    </x:row>
    <x:row r="362" spans="1:10">
      <x:c r="A362" s="1" t="s">
        <x:v>371</x:v>
      </x:c>
      <x:c r="B362" s="1">
        <x:f>IFERROR(__xludf.DUMMYFUNCTION("""COMPUTED_VALUE"""),"Ànima d'actor")</x:f>
      </x:c>
      <x:c r="C362" s="1">
        <x:f>IFERROR(__xludf.DUMMYFUNCTION("""COMPUTED_VALUE"""),"2018")</x:f>
      </x:c>
    </x:row>
    <x:row r="363" spans="1:10">
      <x:c r="A363" s="1" t="s">
        <x:v>372</x:v>
      </x:c>
      <x:c r="B363" s="1">
        <x:f>IFERROR(__xludf.DUMMYFUNCTION("""COMPUTED_VALUE"""),"Animadores assassinades")</x:f>
      </x:c>
      <x:c r="C363" s="1">
        <x:f>IFERROR(__xludf.DUMMYFUNCTION("""COMPUTED_VALUE"""),"2016")</x:f>
      </x:c>
    </x:row>
    <x:row r="364" spans="1:10">
      <x:c r="A364" s="1" t="s">
        <x:v>373</x:v>
      </x:c>
      <x:c r="B364" s="1">
        <x:f>IFERROR(__xludf.DUMMYFUNCTION("""COMPUTED_VALUE"""),"Animalades de cine")</x:f>
      </x:c>
      <x:c r="C364" s="1">
        <x:f>IFERROR(__xludf.DUMMYFUNCTION("""COMPUTED_VALUE"""),"2017")</x:f>
      </x:c>
    </x:row>
    <x:row r="365" spans="1:10">
      <x:c r="A365" s="1" t="s">
        <x:v>374</x:v>
      </x:c>
      <x:c r="B365" s="1">
        <x:f>IFERROR(__xludf.DUMMYFUNCTION("""COMPUTED_VALUE"""),"Animals")</x:f>
      </x:c>
      <x:c r="C365" s="1">
        <x:f>IFERROR(__xludf.DUMMYFUNCTION("""COMPUTED_VALUE"""),"2012")</x:f>
      </x:c>
    </x:row>
    <x:row r="366" spans="1:10">
      <x:c r="A366" s="1" t="s">
        <x:v>375</x:v>
      </x:c>
      <x:c r="B366" s="1">
        <x:f>IFERROR(__xludf.DUMMYFUNCTION("""COMPUTED_VALUE"""),"Animals ferits")</x:f>
      </x:c>
      <x:c r="C366" s="1">
        <x:f>IFERROR(__xludf.DUMMYFUNCTION("""COMPUTED_VALUE"""),"2006")</x:f>
      </x:c>
    </x:row>
    <x:row r="367" spans="1:10">
      <x:c r="A367" s="1" t="s">
        <x:v>376</x:v>
      </x:c>
      <x:c r="B367" s="1">
        <x:f>IFERROR(__xludf.DUMMYFUNCTION("""COMPUTED_VALUE"""),"Animals United")</x:f>
      </x:c>
      <x:c r="C367" s="1">
        <x:f>IFERROR(__xludf.DUMMYFUNCTION("""COMPUTED_VALUE"""),"2010")</x:f>
      </x:c>
    </x:row>
    <x:row r="368" spans="1:10">
      <x:c r="A368" s="1" t="s">
        <x:v>377</x:v>
      </x:c>
      <x:c r="B368" s="1">
        <x:f>IFERROR(__xludf.DUMMYFUNCTION("""COMPUTED_VALUE"""),"Ànimes de metall")</x:f>
      </x:c>
      <x:c r="C368" s="1">
        <x:f>IFERROR(__xludf.DUMMYFUNCTION("""COMPUTED_VALUE"""),"1973")</x:f>
      </x:c>
    </x:row>
    <x:row r="369" spans="1:10">
      <x:c r="A369" s="1" t="s">
        <x:v>378</x:v>
      </x:c>
      <x:c r="B369" s="1">
        <x:f>IFERROR(__xludf.DUMMYFUNCTION("""COMPUTED_VALUE"""),"Aniré on vagis tu")</x:f>
      </x:c>
      <x:c r="C369" s="1">
        <x:f>IFERROR(__xludf.DUMMYFUNCTION("""COMPUTED_VALUE"""),"2019")</x:f>
      </x:c>
    </x:row>
    <x:row r="370" spans="1:10">
      <x:c r="A370" s="1" t="s">
        <x:v>379</x:v>
      </x:c>
      <x:c r="B370" s="1">
        <x:f>IFERROR(__xludf.DUMMYFUNCTION("""COMPUTED_VALUE"""),"Anita no perd el tren")</x:f>
      </x:c>
      <x:c r="C370" s="1">
        <x:f>IFERROR(__xludf.DUMMYFUNCTION("""COMPUTED_VALUE"""),"2000")</x:f>
      </x:c>
    </x:row>
    <x:row r="371" spans="1:10">
      <x:c r="A371" s="1" t="s">
        <x:v>380</x:v>
      </x:c>
      <x:c r="B371" s="1">
        <x:f>IFERROR(__xludf.DUMMYFUNCTION("""COMPUTED_VALUE"""),"Anita. La miliciana tenia nom")</x:f>
      </x:c>
      <x:c r="C371" s="1">
        <x:f>IFERROR(__xludf.DUMMYFUNCTION("""COMPUTED_VALUE"""),"2024")</x:f>
      </x:c>
    </x:row>
    <x:row r="372" spans="1:10">
      <x:c r="A372" s="1" t="s">
        <x:v>381</x:v>
      </x:c>
      <x:c r="B372" s="1">
        <x:f>IFERROR(__xludf.DUMMYFUNCTION("""COMPUTED_VALUE"""),"Anna")</x:f>
      </x:c>
      <x:c r="C372" s="1">
        <x:f>IFERROR(__xludf.DUMMYFUNCTION("""COMPUTED_VALUE"""),"2019")</x:f>
      </x:c>
    </x:row>
    <x:row r="373" spans="1:10">
      <x:c r="A373" s="1" t="s">
        <x:v>382</x:v>
      </x:c>
      <x:c r="B373" s="1">
        <x:f>IFERROR(__xludf.DUMMYFUNCTION("""COMPUTED_VALUE"""),"Anna i el rei")</x:f>
      </x:c>
      <x:c r="C373" s="1">
        <x:f>IFERROR(__xludf.DUMMYFUNCTION("""COMPUTED_VALUE"""),"1999")</x:f>
      </x:c>
    </x:row>
    <x:row r="374" spans="1:10">
      <x:c r="A374" s="1" t="s">
        <x:v>383</x:v>
      </x:c>
      <x:c r="B374" s="1">
        <x:f>IFERROR(__xludf.DUMMYFUNCTION("""COMPUTED_VALUE"""),"Anna Karènina")</x:f>
      </x:c>
      <x:c r="C374" s="1">
        <x:f>IFERROR(__xludf.DUMMYFUNCTION("""COMPUTED_VALUE"""),"1948")</x:f>
      </x:c>
    </x:row>
    <x:row r="375" spans="1:10">
      <x:c r="A375" s="1" t="s">
        <x:v>384</x:v>
      </x:c>
      <x:c r="B375" s="1">
        <x:f>IFERROR(__xludf.DUMMYFUNCTION("""COMPUTED_VALUE"""),"Anna Karenina")</x:f>
      </x:c>
      <x:c r="C375" s="1">
        <x:f>IFERROR(__xludf.DUMMYFUNCTION("""COMPUTED_VALUE"""),"2012")</x:f>
      </x:c>
    </x:row>
    <x:row r="376" spans="1:10">
      <x:c r="A376" s="1" t="s">
        <x:v>385</x:v>
      </x:c>
      <x:c r="B376" s="1">
        <x:f>IFERROR(__xludf.DUMMYFUNCTION("""COMPUTED_VALUE"""),"Anna Karènina la revenja és el perdó")</x:f>
      </x:c>
      <x:c r="C376" s="1">
        <x:f>IFERROR(__xludf.DUMMYFUNCTION("""COMPUTED_VALUE"""),"2017")</x:f>
      </x:c>
    </x:row>
    <x:row r="377" spans="1:10">
      <x:c r="A377" s="1" t="s">
        <x:v>386</x:v>
      </x:c>
      <x:c r="B377" s="1">
        <x:f>IFERROR(__xludf.DUMMYFUNCTION("""COMPUTED_VALUE"""),"Annabelle")</x:f>
      </x:c>
      <x:c r="C377" s="1">
        <x:f>IFERROR(__xludf.DUMMYFUNCTION("""COMPUTED_VALUE"""),"2014")</x:f>
      </x:c>
    </x:row>
    <x:row r="378" spans="1:10">
      <x:c r="A378" s="1" t="s">
        <x:v>387</x:v>
      </x:c>
      <x:c r="B378" s="1">
        <x:f>IFERROR(__xludf.DUMMYFUNCTION("""COMPUTED_VALUE"""),"Annabelle: Creation")</x:f>
      </x:c>
      <x:c r="C378" s="1">
        <x:f>IFERROR(__xludf.DUMMYFUNCTION("""COMPUTED_VALUE"""),"2017")</x:f>
      </x:c>
    </x:row>
    <x:row r="379" spans="1:10">
      <x:c r="A379" s="1" t="s">
        <x:v>388</x:v>
      </x:c>
      <x:c r="B379" s="1">
        <x:f>IFERROR(__xludf.DUMMYFUNCTION("""COMPUTED_VALUE"""),"Annette")</x:f>
      </x:c>
      <x:c r="C379" s="1">
        <x:f>IFERROR(__xludf.DUMMYFUNCTION("""COMPUTED_VALUE"""),"2021")</x:f>
      </x:c>
    </x:row>
    <x:row r="380" spans="1:10">
      <x:c r="A380" s="1" t="s">
        <x:v>389</x:v>
      </x:c>
      <x:c r="B380" s="1">
        <x:f>IFERROR(__xludf.DUMMYFUNCTION("""COMPUTED_VALUE"""),"Anníbal l'home, el mite, el misteri")</x:f>
      </x:c>
      <x:c r="C380" s="1">
        <x:f>IFERROR(__xludf.DUMMYFUNCTION("""COMPUTED_VALUE"""),"2006")</x:f>
      </x:c>
    </x:row>
    <x:row r="381" spans="1:10">
      <x:c r="A381" s="1" t="s">
        <x:v>390</x:v>
      </x:c>
      <x:c r="B381" s="1">
        <x:f>IFERROR(__xludf.DUMMYFUNCTION("""COMPUTED_VALUE"""),"Anníbal, l’home, el mite, el misteri")</x:f>
      </x:c>
      <x:c r="C381" s="1">
        <x:f>IFERROR(__xludf.DUMMYFUNCTION("""COMPUTED_VALUE"""),"2006")</x:f>
      </x:c>
    </x:row>
    <x:row r="382" spans="1:10">
      <x:c r="A382" s="1" t="s">
        <x:v>391</x:v>
      </x:c>
      <x:c r="B382" s="1">
        <x:f>IFERROR(__xludf.DUMMYFUNCTION("""COMPUTED_VALUE"""),"Annie")</x:f>
      </x:c>
      <x:c r="C382" s="1">
        <x:f>IFERROR(__xludf.DUMMYFUNCTION("""COMPUTED_VALUE"""),"2014")</x:f>
      </x:c>
    </x:row>
    <x:row r="383" spans="1:10">
      <x:c r="A383" s="1" t="s">
        <x:v>392</x:v>
      </x:c>
      <x:c r="B383" s="1">
        <x:f>IFERROR(__xludf.DUMMYFUNCTION("""COMPUTED_VALUE"""),"Annie Hall")</x:f>
      </x:c>
      <x:c r="C383" s="1">
        <x:f>IFERROR(__xludf.DUMMYFUNCTION("""COMPUTED_VALUE"""),"1977")</x:f>
      </x:c>
    </x:row>
    <x:row r="384" spans="1:10">
      <x:c r="A384" s="1" t="s">
        <x:v>393</x:v>
      </x:c>
      <x:c r="B384" s="1">
        <x:f>IFERROR(__xludf.DUMMYFUNCTION("""COMPUTED_VALUE"""),"Annika Bengtzon - El llop roig")</x:f>
      </x:c>
      <x:c r="C384" s="1">
        <x:f>IFERROR(__xludf.DUMMYFUNCTION("""COMPUTED_VALUE"""),"2012")</x:f>
      </x:c>
    </x:row>
    <x:row r="385" spans="1:10">
      <x:c r="A385" s="1" t="s">
        <x:v>394</x:v>
      </x:c>
      <x:c r="B385" s="1">
        <x:f>IFERROR(__xludf.DUMMYFUNCTION("""COMPUTED_VALUE"""),"Annika Bengtzon - El testament de Nobel")</x:f>
      </x:c>
      <x:c r="C385" s="1">
        <x:f>IFERROR(__xludf.DUMMYFUNCTION("""COMPUTED_VALUE"""),"2012")</x:f>
      </x:c>
    </x:row>
    <x:row r="386" spans="1:10">
      <x:c r="A386" s="1" t="s">
        <x:v>395</x:v>
      </x:c>
      <x:c r="B386" s="1">
        <x:f>IFERROR(__xludf.DUMMYFUNCTION("""COMPUTED_VALUE"""),"Annika Bengtzon - Estudio Se*")</x:f>
      </x:c>
      <x:c r="C386" s="1">
        <x:f>IFERROR(__xludf.DUMMYFUNCTION("""COMPUTED_VALUE"""),"2012")</x:f>
      </x:c>
    </x:row>
    <x:row r="387" spans="1:10">
      <x:c r="A387" s="1" t="s">
        <x:v>396</x:v>
      </x:c>
      <x:c r="B387" s="1">
        <x:f>IFERROR(__xludf.DUMMYFUNCTION("""COMPUTED_VALUE"""),"Annika Bengtzon - Per a tota la vida")</x:f>
      </x:c>
      <x:c r="C387" s="1">
        <x:f>IFERROR(__xludf.DUMMYFUNCTION("""COMPUTED_VALUE"""),"2012")</x:f>
      </x:c>
    </x:row>
    <x:row r="388" spans="1:10">
      <x:c r="A388" s="1" t="s">
        <x:v>397</x:v>
      </x:c>
      <x:c r="B388" s="1">
        <x:f>IFERROR(__xludf.DUMMYFUNCTION("""COMPUTED_VALUE"""),"Annika Bengtzon - Prime time")</x:f>
      </x:c>
      <x:c r="C388" s="1">
        <x:f>IFERROR(__xludf.DUMMYFUNCTION("""COMPUTED_VALUE"""),"2012")</x:f>
      </x:c>
    </x:row>
    <x:row r="389" spans="1:10">
      <x:c r="A389" s="1" t="s">
        <x:v>398</x:v>
      </x:c>
      <x:c r="B389" s="1">
        <x:f>IFERROR(__xludf.DUMMYFUNCTION("""COMPUTED_VALUE"""),"Annika Bengtzon - Un lloc al sol")</x:f>
      </x:c>
      <x:c r="C389" s="1">
        <x:f>IFERROR(__xludf.DUMMYFUNCTION("""COMPUTED_VALUE"""),"2012")</x:f>
      </x:c>
    </x:row>
    <x:row r="390" spans="1:10">
      <x:c r="A390" s="1" t="s">
        <x:v>399</x:v>
      </x:c>
      <x:c r="B390" s="1">
        <x:f>IFERROR(__xludf.DUMMYFUNCTION("""COMPUTED_VALUE"""),"Anomalous")</x:f>
      </x:c>
      <x:c r="C390" s="1">
        <x:f>IFERROR(__xludf.DUMMYFUNCTION("""COMPUTED_VALUE"""),"2016")</x:f>
      </x:c>
    </x:row>
    <x:row r="391" spans="1:10">
      <x:c r="A391" s="1" t="s">
        <x:v>400</x:v>
      </x:c>
      <x:c r="B391" s="1">
        <x:f>IFERROR(__xludf.DUMMYFUNCTION("""COMPUTED_VALUE"""),"Anonymous")</x:f>
      </x:c>
      <x:c r="C391" s="1">
        <x:f>IFERROR(__xludf.DUMMYFUNCTION("""COMPUTED_VALUE"""),"2011")</x:f>
      </x:c>
    </x:row>
    <x:row r="392" spans="1:10">
      <x:c r="A392" s="1" t="s">
        <x:v>401</x:v>
      </x:c>
      <x:c r="B392" s="1">
        <x:f>IFERROR(__xludf.DUMMYFUNCTION("""COMPUTED_VALUE"""),"Another WolfCop")</x:f>
      </x:c>
      <x:c r="C392" s="1">
        <x:f>IFERROR(__xludf.DUMMYFUNCTION("""COMPUTED_VALUE"""),"2017")</x:f>
      </x:c>
    </x:row>
    <x:row r="393" spans="1:10">
      <x:c r="A393" s="1" t="s">
        <x:v>402</x:v>
      </x:c>
      <x:c r="B393" s="1">
        <x:f>IFERROR(__xludf.DUMMYFUNCTION("""COMPUTED_VALUE"""),"Another Year")</x:f>
      </x:c>
      <x:c r="C393" s="1">
        <x:f>IFERROR(__xludf.DUMMYFUNCTION("""COMPUTED_VALUE"""),"2010")</x:f>
      </x:c>
    </x:row>
    <x:row r="394" spans="1:10">
      <x:c r="A394" s="1" t="s">
        <x:v>403</x:v>
      </x:c>
      <x:c r="B394" s="1">
        <x:f>IFERROR(__xludf.DUMMYFUNCTION("""COMPUTED_VALUE"""),"Ànsia de viure")</x:f>
      </x:c>
      <x:c r="C394" s="1">
        <x:f>IFERROR(__xludf.DUMMYFUNCTION("""COMPUTED_VALUE"""),"2017")</x:f>
      </x:c>
    </x:row>
    <x:row r="395" spans="1:10">
      <x:c r="A395" s="1" t="s">
        <x:v>404</x:v>
      </x:c>
      <x:c r="B395" s="1">
        <x:f>IFERROR(__xludf.DUMMYFUNCTION("""COMPUTED_VALUE"""),"Ant Bully, benvingut al formiguer")</x:f>
      </x:c>
      <x:c r="C395" s="1">
        <x:f>IFERROR(__xludf.DUMMYFUNCTION("""COMPUTED_VALUE"""),"2006")</x:f>
      </x:c>
    </x:row>
    <x:row r="396" spans="1:10">
      <x:c r="A396" s="1" t="s">
        <x:v>405</x:v>
      </x:c>
      <x:c r="B396" s="1">
        <x:f>IFERROR(__xludf.DUMMYFUNCTION("""COMPUTED_VALUE"""),"Antaviana")</x:f>
      </x:c>
      <x:c r="C396" s="1">
        <x:f>IFERROR(__xludf.DUMMYFUNCTION("""COMPUTED_VALUE"""),"1978")</x:f>
      </x:c>
    </x:row>
    <x:row r="397" spans="1:10">
      <x:c r="A397" s="1" t="s">
        <x:v>406</x:v>
      </x:c>
      <x:c r="B397" s="1">
        <x:f>IFERROR(__xludf.DUMMYFUNCTION("""COMPUTED_VALUE"""),"Antaviana")</x:f>
      </x:c>
      <x:c r="C397" s="1">
        <x:f>IFERROR(__xludf.DUMMYFUNCTION("""COMPUTED_VALUE"""),"1983")</x:f>
      </x:c>
    </x:row>
    <x:row r="398" spans="1:10">
      <x:c r="A398" s="1" t="s">
        <x:v>407</x:v>
      </x:c>
      <x:c r="B398" s="1">
        <x:f>IFERROR(__xludf.DUMMYFUNCTION("""COMPUTED_VALUE"""),"Antboy")</x:f>
      </x:c>
      <x:c r="C398" s="1">
        <x:f>IFERROR(__xludf.DUMMYFUNCTION("""COMPUTED_VALUE"""),"2013")</x:f>
      </x:c>
    </x:row>
    <x:row r="399" spans="1:10">
      <x:c r="A399" s="1" t="s">
        <x:v>408</x:v>
      </x:c>
      <x:c r="B399" s="1">
        <x:f>IFERROR(__xludf.DUMMYFUNCTION("""COMPUTED_VALUE"""),"Antebellum")</x:f>
      </x:c>
      <x:c r="C399" s="1">
        <x:f>IFERROR(__xludf.DUMMYFUNCTION("""COMPUTED_VALUE"""),"2020")</x:f>
      </x:c>
    </x:row>
    <x:row r="400" spans="1:10">
      <x:c r="A400" s="1" t="s">
        <x:v>409</x:v>
      </x:c>
      <x:c r="B400" s="1">
        <x:f>IFERROR(__xludf.DUMMYFUNCTION("""COMPUTED_VALUE"""),"Anthony Zimmer")</x:f>
      </x:c>
      <x:c r="C400" s="1">
        <x:f>IFERROR(__xludf.DUMMYFUNCTION("""COMPUTED_VALUE"""),"2005")</x:f>
      </x:c>
    </x:row>
    <x:row r="401" spans="1:10">
      <x:c r="A401" s="1" t="s">
        <x:v>410</x:v>
      </x:c>
      <x:c r="B401" s="1">
        <x:f>IFERROR(__xludf.DUMMYFUNCTION("""COMPUTED_VALUE"""),"Anticòs")</x:f>
      </x:c>
      <x:c r="C401" s="1">
        <x:f>IFERROR(__xludf.DUMMYFUNCTION("""COMPUTED_VALUE"""),"2002")</x:f>
      </x:c>
    </x:row>
    <x:row r="402" spans="1:10">
      <x:c r="A402" s="1" t="s">
        <x:v>411</x:v>
      </x:c>
      <x:c r="B402" s="1">
        <x:f>IFERROR(__xludf.DUMMYFUNCTION("""COMPUTED_VALUE"""),"Antònia Font - Gran Teatre Del Liceu - The New Royal Philarmonic Cuatro Quesos Orchestra")</x:f>
      </x:c>
      <x:c r="C402" s="1">
        <x:f>IFERROR(__xludf.DUMMYFUNCTION("""COMPUTED_VALUE"""),"2008")</x:f>
      </x:c>
    </x:row>
    <x:row r="403" spans="1:10">
      <x:c r="A403" s="1" t="s">
        <x:v>412</x:v>
      </x:c>
      <x:c r="B403" s="1">
        <x:f>IFERROR(__xludf.DUMMYFUNCTION("""COMPUTED_VALUE"""),"Antonia llàgrimes al paradís")</x:f>
      </x:c>
      <x:c r="C403" s="1">
        <x:f>IFERROR(__xludf.DUMMYFUNCTION("""COMPUTED_VALUE"""),"2003")</x:f>
      </x:c>
    </x:row>
    <x:row r="404" spans="1:10">
      <x:c r="A404" s="1" t="s">
        <x:v>413</x:v>
      </x:c>
      <x:c r="B404" s="1">
        <x:f>IFERROR(__xludf.DUMMYFUNCTION("""COMPUTED_VALUE"""),"Antonia: entre l’amor i el poder")</x:f>
      </x:c>
      <x:c r="C404" s="1">
        <x:f>IFERROR(__xludf.DUMMYFUNCTION("""COMPUTED_VALUE"""),"2001")</x:f>
      </x:c>
    </x:row>
    <x:row r="405" spans="1:10">
      <x:c r="A405" s="1" t="s">
        <x:v>414</x:v>
      </x:c>
      <x:c r="B405" s="1">
        <x:f>IFERROR(__xludf.DUMMYFUNCTION("""COMPUTED_VALUE"""),"Any de Gràcia")</x:f>
      </x:c>
      <x:c r="C405" s="1">
        <x:f>IFERROR(__xludf.DUMMYFUNCTION("""COMPUTED_VALUE"""),"2011")</x:f>
      </x:c>
    </x:row>
    <x:row r="406" spans="1:10">
      <x:c r="A406" s="1" t="s">
        <x:v>415</x:v>
      </x:c>
      <x:c r="B406" s="1">
        <x:f>IFERROR(__xludf.DUMMYFUNCTION("""COMPUTED_VALUE"""),"Any u")</x:f>
      </x:c>
      <x:c r="C406" s="1">
        <x:f>IFERROR(__xludf.DUMMYFUNCTION("""COMPUTED_VALUE"""),"2009")</x:f>
      </x:c>
    </x:row>
    <x:row r="407" spans="1:10">
      <x:c r="A407" s="1" t="s">
        <x:v>416</x:v>
      </x:c>
      <x:c r="B407" s="1">
        <x:f>IFERROR(__xludf.DUMMYFUNCTION("""COMPUTED_VALUE"""),"Anzu, gat fantasma")</x:f>
      </x:c>
      <x:c r="C407" s="1">
        <x:f>IFERROR(__xludf.DUMMYFUNCTION("""COMPUTED_VALUE"""),"2024")</x:f>
      </x:c>
    </x:row>
    <x:row r="408" spans="1:10">
      <x:c r="A408" s="1" t="s">
        <x:v>417</x:v>
      </x:c>
      <x:c r="B408" s="1">
        <x:f>IFERROR(__xludf.DUMMYFUNCTION("""COMPUTED_VALUE"""),"AP-7, al límit")</x:f>
      </x:c>
      <x:c r="C408" s="1">
        <x:f>IFERROR(__xludf.DUMMYFUNCTION("""COMPUTED_VALUE"""),"2026")</x:f>
      </x:c>
    </x:row>
    <x:row r="409" spans="1:10">
      <x:c r="A409" s="1" t="s">
        <x:v>418</x:v>
      </x:c>
      <x:c r="B409" s="1">
        <x:f>IFERROR(__xludf.DUMMYFUNCTION("""COMPUTED_VALUE"""),"Apareguts")</x:f>
      </x:c>
      <x:c r="C409" s="1">
        <x:f>IFERROR(__xludf.DUMMYFUNCTION("""COMPUTED_VALUE"""),"2007")</x:f>
      </x:c>
    </x:row>
    <x:row r="410" spans="1:10">
      <x:c r="A410" s="1" t="s">
        <x:v>419</x:v>
      </x:c>
      <x:c r="B410" s="1">
        <x:f>IFERROR(__xludf.DUMMYFUNCTION("""COMPUTED_VALUE"""),"Apartament per a tres")</x:f>
      </x:c>
      <x:c r="C410" s="1">
        <x:f>IFERROR(__xludf.DUMMYFUNCTION("""COMPUTED_VALUE"""),"1966")</x:f>
      </x:c>
    </x:row>
    <x:row r="411" spans="1:10">
      <x:c r="A411" s="1" t="s">
        <x:v>420</x:v>
      </x:c>
      <x:c r="B411" s="1">
        <x:f>IFERROR(__xludf.DUMMYFUNCTION("""COMPUTED_VALUE"""),"Apatxe")</x:f>
      </x:c>
      <x:c r="C411" s="1">
        <x:f>IFERROR(__xludf.DUMMYFUNCTION("""COMPUTED_VALUE"""),"1954")</x:f>
      </x:c>
    </x:row>
    <x:row r="412" spans="1:10">
      <x:c r="A412" s="1" t="s">
        <x:v>421</x:v>
      </x:c>
      <x:c r="B412" s="1">
        <x:f>IFERROR(__xludf.DUMMYFUNCTION("""COMPUTED_VALUE"""),"Apocalypse Now Redux")</x:f>
      </x:c>
      <x:c r="C412" s="1">
        <x:f>IFERROR(__xludf.DUMMYFUNCTION("""COMPUTED_VALUE"""),"1979")</x:f>
      </x:c>
    </x:row>
    <x:row r="413" spans="1:10">
      <x:c r="A413" s="1" t="s">
        <x:v>422</x:v>
      </x:c>
      <x:c r="B413" s="1">
        <x:f>IFERROR(__xludf.DUMMYFUNCTION("""COMPUTED_VALUE"""),"Apocalypto [VOSC]")</x:f>
      </x:c>
      <x:c r="C413" s="1">
        <x:f>IFERROR(__xludf.DUMMYFUNCTION("""COMPUTED_VALUE"""),"2006")</x:f>
      </x:c>
    </x:row>
    <x:row r="414" spans="1:10">
      <x:c r="A414" s="1" t="s">
        <x:v>423</x:v>
      </x:c>
      <x:c r="B414" s="1">
        <x:f>IFERROR(__xludf.DUMMYFUNCTION("""COMPUTED_VALUE"""),"Apol·lo 13")</x:f>
      </x:c>
      <x:c r="C414" s="1">
        <x:f>IFERROR(__xludf.DUMMYFUNCTION("""COMPUTED_VALUE"""),"1995")</x:f>
      </x:c>
    </x:row>
    <x:row r="415" spans="1:10">
      <x:c r="A415" s="1" t="s">
        <x:v>424</x:v>
      </x:c>
      <x:c r="B415" s="1">
        <x:f>IFERROR(__xludf.DUMMYFUNCTION("""COMPUTED_VALUE"""),"Apol·lo 18")</x:f>
      </x:c>
      <x:c r="C415" s="1">
        <x:f>IFERROR(__xludf.DUMMYFUNCTION("""COMPUTED_VALUE"""),"2011")</x:f>
      </x:c>
    </x:row>
    <x:row r="416" spans="1:10">
      <x:c r="A416" s="1" t="s">
        <x:v>425</x:v>
      </x:c>
      <x:c r="B416" s="1">
        <x:f>IFERROR(__xludf.DUMMYFUNCTION("""COMPUTED_VALUE"""),"Apollo, les missions a la Lluna")</x:f>
      </x:c>
      <x:c r="C416" s="1">
        <x:f>IFERROR(__xludf.DUMMYFUNCTION("""COMPUTED_VALUE"""),"2019")</x:f>
      </x:c>
    </x:row>
    <x:row r="417" spans="1:10">
      <x:c r="A417" s="1" t="s">
        <x:v>426</x:v>
      </x:c>
      <x:c r="B417" s="1">
        <x:f>IFERROR(__xludf.DUMMYFUNCTION("""COMPUTED_VALUE"""),"Appaloosa")</x:f>
      </x:c>
      <x:c r="C417" s="1">
        <x:f>IFERROR(__xludf.DUMMYFUNCTION("""COMPUTED_VALUE"""),"2008")</x:f>
      </x:c>
    </x:row>
    <x:row r="418" spans="1:10">
      <x:c r="A418" s="1" t="s">
        <x:v>427</x:v>
      </x:c>
      <x:c r="B418" s="1">
        <x:f>IFERROR(__xludf.DUMMYFUNCTION("""COMPUTED_VALUE"""),"Aprenent a conduir")</x:f>
      </x:c>
      <x:c r="C418" s="1">
        <x:f>IFERROR(__xludf.DUMMYFUNCTION("""COMPUTED_VALUE"""),"2015")</x:f>
      </x:c>
    </x:row>
    <x:row r="419" spans="1:10">
      <x:c r="A419" s="1" t="s">
        <x:v>428</x:v>
      </x:c>
      <x:c r="B419" s="1">
        <x:f>IFERROR(__xludf.DUMMYFUNCTION("""COMPUTED_VALUE"""),"Aprenent de cavaller")</x:f>
      </x:c>
      <x:c r="C419" s="1">
        <x:f>IFERROR(__xludf.DUMMYFUNCTION("""COMPUTED_VALUE"""),"2007")</x:f>
      </x:c>
    </x:row>
    <x:row r="420" spans="1:10">
      <x:c r="A420" s="1" t="s">
        <x:v>429</x:v>
      </x:c>
      <x:c r="B420" s="1">
        <x:f>IFERROR(__xludf.DUMMYFUNCTION("""COMPUTED_VALUE"""),"Aprenent de gigoló")</x:f>
      </x:c>
      <x:c r="C420" s="1">
        <x:f>IFERROR(__xludf.DUMMYFUNCTION("""COMPUTED_VALUE"""),"2013")</x:f>
      </x:c>
    </x:row>
    <x:row r="421" spans="1:10">
      <x:c r="A421" s="1" t="s">
        <x:v>430</x:v>
      </x:c>
      <x:c r="B421" s="1">
        <x:f>IFERROR(__xludf.DUMMYFUNCTION("""COMPUTED_VALUE"""),"Aquell Nadal")</x:f>
      </x:c>
      <x:c r="C421" s="1">
        <x:f>IFERROR(__xludf.DUMMYFUNCTION("""COMPUTED_VALUE"""),"2024")</x:f>
      </x:c>
    </x:row>
    <x:row r="422" spans="1:10">
      <x:c r="A422" s="1" t="s">
        <x:v>431</x:v>
      </x:c>
      <x:c r="B422" s="1">
        <x:f>IFERROR(__xludf.DUMMYFUNCTION("""COMPUTED_VALUE"""),"Aquella època de l'any")</x:f>
      </x:c>
      <x:c r="C422" s="1">
        <x:f>IFERROR(__xludf.DUMMYFUNCTION("""COMPUTED_VALUE"""),"2018")</x:f>
      </x:c>
    </x:row>
    <x:row r="423" spans="1:10">
      <x:c r="A423" s="1" t="s">
        <x:v>432</x:v>
      </x:c>
      <x:c r="B423" s="1">
        <x:f>IFERROR(__xludf.DUMMYFUNCTION("""COMPUTED_VALUE"""),"Aquells dies feliços")</x:f>
      </x:c>
      <x:c r="C423" s="1">
        <x:f>IFERROR(__xludf.DUMMYFUNCTION("""COMPUTED_VALUE"""),"2006")</x:f>
      </x:c>
    </x:row>
    <x:row r="424" spans="1:10">
      <x:c r="A424" s="1" t="s">
        <x:v>433</x:v>
      </x:c>
      <x:c r="B424" s="1">
        <x:f>IFERROR(__xludf.DUMMYFUNCTION("""COMPUTED_VALUE"""),"Aquest any, cent: Wembley'92")</x:f>
      </x:c>
      <x:c r="C424" s="1">
        <x:f>IFERROR(__xludf.DUMMYFUNCTION("""COMPUTED_VALUE"""),"1999")</x:f>
      </x:c>
    </x:row>
    <x:row r="425" spans="1:10">
      <x:c r="A425" s="1" t="s">
        <x:v>434</x:v>
      </x:c>
      <x:c r="B425" s="1">
        <x:f>IFERROR(__xludf.DUMMYFUNCTION("""COMPUTED_VALUE"""),"Aquesta nit")</x:f>
      </x:c>
      <x:c r="C425" s="1">
        <x:f>IFERROR(__xludf.DUMMYFUNCTION("""COMPUTED_VALUE"""),"2010")</x:f>
      </x:c>
    </x:row>
    <x:row r="426" spans="1:10">
      <x:c r="A426" s="1" t="s">
        <x:v>435</x:v>
      </x:c>
      <x:c r="B426" s="1">
        <x:f>IFERROR(__xludf.DUMMYFUNCTION("""COMPUTED_VALUE"""),"Aquesta nit o mai")</x:f>
      </x:c>
      <x:c r="C426" s="1">
        <x:f>IFERROR(__xludf.DUMMYFUNCTION("""COMPUTED_VALUE"""),"1992")</x:f>
      </x:c>
    </x:row>
    <x:row r="427" spans="1:10">
      <x:c r="A427" s="1" t="s">
        <x:v>436</x:v>
      </x:c>
      <x:c r="B427" s="1">
        <x:f>IFERROR(__xludf.DUMMYFUNCTION("""COMPUTED_VALUE"""),"Ara")</x:f>
      </x:c>
      <x:c r="C427" s="1">
        <x:f>IFERROR(__xludf.DUMMYFUNCTION("""COMPUTED_VALUE"""),"2018")</x:f>
      </x:c>
    </x:row>
    <x:row r="428" spans="1:10">
      <x:c r="A428" s="1" t="s">
        <x:v>437</x:v>
      </x:c>
      <x:c r="B428" s="1">
        <x:f>IFERROR(__xludf.DUMMYFUNCTION("""COMPUTED_VALUE"""),"Ara els pares són ells")</x:f>
      </x:c>
      <x:c r="C428" s="1">
        <x:f>IFERROR(__xludf.DUMMYFUNCTION("""COMPUTED_VALUE"""),"2010")</x:f>
      </x:c>
    </x:row>
    <x:row r="429" spans="1:10">
      <x:c r="A429" s="1" t="s">
        <x:v>438</x:v>
      </x:c>
      <x:c r="B429" s="1">
        <x:f>IFERROR(__xludf.DUMMYFUNCTION("""COMPUTED_VALUE"""),"Ara em veus")</x:f>
      </x:c>
      <x:c r="C429" s="1">
        <x:f>IFERROR(__xludf.DUMMYFUNCTION("""COMPUTED_VALUE"""),"2013")</x:f>
      </x:c>
    </x:row>
    <x:row r="430" spans="1:10">
      <x:c r="A430" s="1" t="s">
        <x:v>439</x:v>
      </x:c>
      <x:c r="B430" s="1">
        <x:f>IFERROR(__xludf.DUMMYFUNCTION("""COMPUTED_VALUE"""),"Ara em veus 2")</x:f>
      </x:c>
      <x:c r="C430" s="1">
        <x:f>IFERROR(__xludf.DUMMYFUNCTION("""COMPUTED_VALUE"""),"2016")</x:f>
      </x:c>
    </x:row>
    <x:row r="431" spans="1:10">
      <x:c r="A431" s="1" t="s">
        <x:v>440</x:v>
      </x:c>
      <x:c r="B431" s="1">
        <x:f>IFERROR(__xludf.DUMMYFUNCTION("""COMPUTED_VALUE"""),"Ara és diferent")</x:f>
      </x:c>
      <x:c r="C431" s="1">
        <x:f>IFERROR(__xludf.DUMMYFUNCTION("""COMPUTED_VALUE"""),"1985")</x:f>
      </x:c>
    </x:row>
    <x:row r="432" spans="1:10">
      <x:c r="A432" s="1" t="s">
        <x:v>441</x:v>
      </x:c>
      <x:c r="B432" s="1">
        <x:f>IFERROR(__xludf.DUMMYFUNCTION("""COMPUTED_VALUE"""),"Ara o mai")</x:f>
      </x:c>
      <x:c r="C432" s="1">
        <x:f>IFERROR(__xludf.DUMMYFUNCTION("""COMPUTED_VALUE"""),"2015")</x:f>
      </x:c>
    </x:row>
    <x:row r="433" spans="1:10">
      <x:c r="A433" s="1" t="s">
        <x:v>442</x:v>
      </x:c>
      <x:c r="B433" s="1">
        <x:f>IFERROR(__xludf.DUMMYFUNCTION("""COMPUTED_VALUE"""),"Aràbia")</x:f>
      </x:c>
      <x:c r="C433" s="1">
        <x:f>IFERROR(__xludf.DUMMYFUNCTION("""COMPUTED_VALUE"""),"2009")</x:f>
      </x:c>
    </x:row>
    <x:row r="434" spans="1:10">
      <x:c r="A434" s="1" t="s">
        <x:v>443</x:v>
      </x:c>
      <x:c r="B434" s="1">
        <x:f>IFERROR(__xludf.DUMMYFUNCTION("""COMPUTED_VALUE"""),"Arac Attack")</x:f>
      </x:c>
      <x:c r="C434" s="1">
        <x:f>IFERROR(__xludf.DUMMYFUNCTION("""COMPUTED_VALUE"""),"2002")</x:f>
      </x:c>
    </x:row>
    <x:row r="435" spans="1:10">
      <x:c r="A435" s="1" t="s">
        <x:v>444</x:v>
      </x:c>
      <x:c r="B435" s="1">
        <x:f>IFERROR(__xludf.DUMMYFUNCTION("""COMPUTED_VALUE"""),"Arachnid")</x:f>
      </x:c>
      <x:c r="C435" s="1">
        <x:f>IFERROR(__xludf.DUMMYFUNCTION("""COMPUTED_VALUE"""),"2001")</x:f>
      </x:c>
    </x:row>
    <x:row r="436" spans="1:10">
      <x:c r="A436" s="1" t="s">
        <x:v>445</x:v>
      </x:c>
      <x:c r="B436" s="1">
        <x:f>IFERROR(__xludf.DUMMYFUNCTION("""COMPUTED_VALUE"""),"Aranya sagrada")</x:f>
      </x:c>
      <x:c r="C436" s="1">
        <x:f>IFERROR(__xludf.DUMMYFUNCTION("""COMPUTED_VALUE"""),"2022")</x:f>
      </x:c>
    </x:row>
    <x:row r="437" spans="1:10">
      <x:c r="A437" s="1" t="s">
        <x:v>446</x:v>
      </x:c>
      <x:c r="B437" s="1">
        <x:f>IFERROR(__xludf.DUMMYFUNCTION("""COMPUTED_VALUE"""),"Aranyes")</x:f>
      </x:c>
      <x:c r="C437" s="1">
        <x:f>IFERROR(__xludf.DUMMYFUNCTION("""COMPUTED_VALUE"""),"2000")</x:f>
      </x:c>
    </x:row>
    <x:row r="438" spans="1:10">
      <x:c r="A438" s="1" t="s">
        <x:v>447</x:v>
      </x:c>
      <x:c r="B438" s="1">
        <x:f>IFERROR(__xludf.DUMMYFUNCTION("""COMPUTED_VALUE"""),"Ardara")</x:f>
      </x:c>
      <x:c r="C438" s="1">
        <x:f>IFERROR(__xludf.DUMMYFUNCTION("""COMPUTED_VALUE"""),"2019")</x:f>
      </x:c>
    </x:row>
    <x:row r="439" spans="1:10">
      <x:c r="A439" s="1" t="s">
        <x:v>448</x:v>
      </x:c>
      <x:c r="B439" s="1">
        <x:f>IFERROR(__xludf.DUMMYFUNCTION("""COMPUTED_VALUE"""),"Área de descanso")</x:f>
      </x:c>
      <x:c r="C439" s="1">
        <x:f>IFERROR(__xludf.DUMMYFUNCTION("""COMPUTED_VALUE"""),"2011")</x:f>
      </x:c>
    </x:row>
    <x:row r="440" spans="1:10">
      <x:c r="A440" s="1" t="s">
        <x:v>449</x:v>
      </x:c>
      <x:c r="B440" s="1">
        <x:f>IFERROR(__xludf.DUMMYFUNCTION("""COMPUTED_VALUE"""),"Arena a les butxaques")</x:f>
      </x:c>
      <x:c r="C440" s="1">
        <x:f>IFERROR(__xludf.DUMMYFUNCTION("""COMPUTED_VALUE"""),"2006")</x:f>
      </x:c>
    </x:row>
    <x:row r="441" spans="1:10">
      <x:c r="A441" s="1" t="s">
        <x:v>450</x:v>
      </x:c>
      <x:c r="B441" s="1">
        <x:f>IFERROR(__xludf.DUMMYFUNCTION("""COMPUTED_VALUE"""),"Argo")</x:f>
      </x:c>
      <x:c r="C441" s="1">
        <x:f>IFERROR(__xludf.DUMMYFUNCTION("""COMPUTED_VALUE"""),"2012")</x:f>
      </x:c>
    </x:row>
    <x:row r="442" spans="1:10">
      <x:c r="A442" s="1" t="s">
        <x:v>451</x:v>
      </x:c>
      <x:c r="B442" s="1">
        <x:f>IFERROR(__xludf.DUMMYFUNCTION("""COMPUTED_VALUE"""),"Arma Fatal")</x:f>
      </x:c>
      <x:c r="C442" s="1">
        <x:f>IFERROR(__xludf.DUMMYFUNCTION("""COMPUTED_VALUE"""),"2007")</x:f>
      </x:c>
    </x:row>
    <x:row r="443" spans="1:10">
      <x:c r="A443" s="1" t="s">
        <x:v>452</x:v>
      </x:c>
      <x:c r="B443" s="1">
        <x:f>IFERROR(__xludf.DUMMYFUNCTION("""COMPUTED_VALUE"""),"Arma letal I")</x:f>
      </x:c>
      <x:c r="C443" s="1">
        <x:f>IFERROR(__xludf.DUMMYFUNCTION("""COMPUTED_VALUE"""),"1987")</x:f>
      </x:c>
    </x:row>
    <x:row r="444" spans="1:10">
      <x:c r="A444" s="1" t="s">
        <x:v>453</x:v>
      </x:c>
      <x:c r="B444" s="1">
        <x:f>IFERROR(__xludf.DUMMYFUNCTION("""COMPUTED_VALUE"""),"Arma letal II")</x:f>
      </x:c>
      <x:c r="C444" s="1">
        <x:f>IFERROR(__xludf.DUMMYFUNCTION("""COMPUTED_VALUE"""),"1989")</x:f>
      </x:c>
    </x:row>
    <x:row r="445" spans="1:10">
      <x:c r="A445" s="1" t="s">
        <x:v>454</x:v>
      </x:c>
      <x:c r="B445" s="1">
        <x:f>IFERROR(__xludf.DUMMYFUNCTION("""COMPUTED_VALUE"""),"Arma letal III")</x:f>
      </x:c>
      <x:c r="C445" s="1">
        <x:f>IFERROR(__xludf.DUMMYFUNCTION("""COMPUTED_VALUE"""),"1991")</x:f>
      </x:c>
    </x:row>
    <x:row r="446" spans="1:10">
      <x:c r="A446" s="1" t="s">
        <x:v>455</x:v>
      </x:c>
      <x:c r="B446" s="1">
        <x:f>IFERROR(__xludf.DUMMYFUNCTION("""COMPUTED_VALUE"""),"Arma letal IV")</x:f>
      </x:c>
      <x:c r="C446" s="1">
        <x:f>IFERROR(__xludf.DUMMYFUNCTION("""COMPUTED_VALUE"""),"1998")</x:f>
      </x:c>
    </x:row>
    <x:row r="447" spans="1:10">
      <x:c r="A447" s="1" t="s">
        <x:v>456</x:v>
      </x:c>
      <x:c r="B447" s="1">
        <x:f>IFERROR(__xludf.DUMMYFUNCTION("""COMPUTED_VALUE"""),"Armadillo")</x:f>
      </x:c>
      <x:c r="C447" s="1">
        <x:f>IFERROR(__xludf.DUMMYFUNCTION("""COMPUTED_VALUE"""),"2010")</x:f>
      </x:c>
    </x:row>
    <x:row r="448" spans="1:10">
      <x:c r="A448" s="1" t="s">
        <x:v>457</x:v>
      </x:c>
      <x:c r="B448" s="1">
        <x:f>IFERROR(__xludf.DUMMYFUNCTION("""COMPUTED_VALUE"""),"Armaguedon")</x:f>
      </x:c>
      <x:c r="C448" s="1">
        <x:f>IFERROR(__xludf.DUMMYFUNCTION("""COMPUTED_VALUE"""),"1983")</x:f>
      </x:c>
    </x:row>
    <x:row r="449" spans="1:10">
      <x:c r="A449" s="1" t="s">
        <x:v>458</x:v>
      </x:c>
      <x:c r="B449" s="1">
        <x:f>IFERROR(__xludf.DUMMYFUNCTION("""COMPUTED_VALUE"""),"Armats i perillosos")</x:f>
      </x:c>
      <x:c r="C449" s="1">
        <x:f>IFERROR(__xludf.DUMMYFUNCTION("""COMPUTED_VALUE"""),"1986")</x:f>
      </x:c>
    </x:row>
    <x:row r="450" spans="1:10">
      <x:c r="A450" s="1" t="s">
        <x:v>459</x:v>
      </x:c>
      <x:c r="B450" s="1">
        <x:f>IFERROR(__xludf.DUMMYFUNCTION("""COMPUTED_VALUE"""),"Armènia, història d'un genocidi")</x:f>
      </x:c>
      <x:c r="C450" s="1">
        <x:f>IFERROR(__xludf.DUMMYFUNCTION("""COMPUTED_VALUE"""),"2014")</x:f>
      </x:c>
    </x:row>
    <x:row r="451" spans="1:10">
      <x:c r="A451" s="1" t="s">
        <x:v>460</x:v>
      </x:c>
      <x:c r="B451" s="1">
        <x:f>IFERROR(__xludf.DUMMYFUNCTION("""COMPUTED_VALUE"""),"Aro Tolbukhin, dins la ment de l'assassí")</x:f>
      </x:c>
      <x:c r="C451" s="1">
        <x:f>IFERROR(__xludf.DUMMYFUNCTION("""COMPUTED_VALUE"""),"2002")</x:f>
      </x:c>
    </x:row>
    <x:row r="452" spans="1:10">
      <x:c r="A452" s="1" t="s">
        <x:v>461</x:v>
      </x:c>
      <x:c r="B452" s="1">
        <x:f>IFERROR(__xludf.DUMMYFUNCTION("""COMPUTED_VALUE"""),"Arriba de nit")</x:f>
      </x:c>
      <x:c r="C452" s="1">
        <x:f>IFERROR(__xludf.DUMMYFUNCTION("""COMPUTED_VALUE"""),"2017")</x:f>
      </x:c>
    </x:row>
    <x:row r="453" spans="1:10">
      <x:c r="A453" s="1" t="s">
        <x:v>462</x:v>
      </x:c>
      <x:c r="B453" s="1">
        <x:f>IFERROR(__xludf.DUMMYFUNCTION("""COMPUTED_VALUE"""),"Arriba un genet")</x:f>
      </x:c>
      <x:c r="C453" s="1">
        <x:f>IFERROR(__xludf.DUMMYFUNCTION("""COMPUTED_VALUE"""),"1978")</x:f>
      </x:c>
    </x:row>
    <x:row r="454" spans="1:10">
      <x:c r="A454" s="1" t="s">
        <x:v>463</x:v>
      </x:c>
      <x:c r="B454" s="1">
        <x:f>IFERROR(__xludf.DUMMYFUNCTION("""COMPUTED_VALUE"""),"Arrietty i el món dels remenuts")</x:f>
      </x:c>
      <x:c r="C454" s="1">
        <x:f>IFERROR(__xludf.DUMMYFUNCTION("""COMPUTED_VALUE"""),"2010")</x:f>
      </x:c>
    </x:row>
    <x:row r="455" spans="1:10">
      <x:c r="A455" s="1" t="s">
        <x:v>464</x:v>
      </x:c>
      <x:c r="B455" s="1">
        <x:f>IFERROR(__xludf.DUMMYFUNCTION("""COMPUTED_VALUE"""),"Arropiero, el vagabund de la mort")</x:f>
      </x:c>
      <x:c r="C455" s="1">
        <x:f>IFERROR(__xludf.DUMMYFUNCTION("""COMPUTED_VALUE"""),"2008")</x:f>
      </x:c>
    </x:row>
    <x:row r="456" spans="1:10">
      <x:c r="A456" s="1" t="s">
        <x:v>465</x:v>
      </x:c>
      <x:c r="B456" s="1">
        <x:f>IFERROR(__xludf.DUMMYFUNCTION("""COMPUTED_VALUE"""),"Arrossega'm a l'infern")</x:f>
      </x:c>
      <x:c r="C456" s="1">
        <x:f>IFERROR(__xludf.DUMMYFUNCTION("""COMPUTED_VALUE"""),"2009")</x:f>
      </x:c>
    </x:row>
    <x:row r="457" spans="1:10">
      <x:c r="A457" s="1" t="s">
        <x:v>466</x:v>
      </x:c>
      <x:c r="B457" s="1">
        <x:f>IFERROR(__xludf.DUMMYFUNCTION("""COMPUTED_VALUE"""),"Arrugues")</x:f>
      </x:c>
      <x:c r="C457" s="1">
        <x:f>IFERROR(__xludf.DUMMYFUNCTION("""COMPUTED_VALUE"""),"2011")</x:f>
      </x:c>
    </x:row>
    <x:row r="458" spans="1:10">
      <x:c r="A458" s="1" t="s">
        <x:v>467</x:v>
      </x:c>
      <x:c r="B458" s="1">
        <x:f>IFERROR(__xludf.DUMMYFUNCTION("""COMPUTED_VALUE"""),"Art Heist")</x:f>
      </x:c>
      <x:c r="C458" s="1">
        <x:f>IFERROR(__xludf.DUMMYFUNCTION("""COMPUTED_VALUE"""),"2004")</x:f>
      </x:c>
    </x:row>
    <x:row r="459" spans="1:10">
      <x:c r="A459" s="1" t="s">
        <x:v>468</x:v>
      </x:c>
      <x:c r="B459" s="1">
        <x:f>IFERROR(__xludf.DUMMYFUNCTION("""COMPUTED_VALUE"""),"Arthur 3: La guerra dels mons")</x:f>
      </x:c>
      <x:c r="C459" s="1">
        <x:f>IFERROR(__xludf.DUMMYFUNCTION("""COMPUTED_VALUE"""),"2010")</x:f>
      </x:c>
    </x:row>
    <x:row r="460" spans="1:10">
      <x:c r="A460" s="1" t="s">
        <x:v>469</x:v>
      </x:c>
      <x:c r="B460" s="1">
        <x:f>IFERROR(__xludf.DUMMYFUNCTION("""COMPUTED_VALUE"""),"Arthur Christmas: operació regal")</x:f>
      </x:c>
      <x:c r="C460" s="1">
        <x:f>IFERROR(__xludf.DUMMYFUNCTION("""COMPUTED_VALUE"""),"2011")</x:f>
      </x:c>
    </x:row>
    <x:row r="461" spans="1:10">
      <x:c r="A461" s="1" t="s">
        <x:v>470</x:v>
      </x:c>
      <x:c r="B461" s="1">
        <x:f>IFERROR(__xludf.DUMMYFUNCTION("""COMPUTED_VALUE"""),"Arthur i la venjança d'en Maltazard")</x:f>
      </x:c>
      <x:c r="C461" s="1">
        <x:f>IFERROR(__xludf.DUMMYFUNCTION("""COMPUTED_VALUE"""),"2009")</x:f>
      </x:c>
    </x:row>
    <x:row r="462" spans="1:10">
      <x:c r="A462" s="1" t="s">
        <x:v>471</x:v>
      </x:c>
      <x:c r="B462" s="1">
        <x:f>IFERROR(__xludf.DUMMYFUNCTION("""COMPUTED_VALUE"""),"Arthur Rambo")</x:f>
      </x:c>
      <x:c r="C462" s="1">
        <x:f>IFERROR(__xludf.DUMMYFUNCTION("""COMPUTED_VALUE"""),"2021")</x:f>
      </x:c>
    </x:row>
    <x:row r="463" spans="1:10">
      <x:c r="A463" s="1" t="s">
        <x:v>472</x:v>
      </x:c>
      <x:c r="B463" s="1">
        <x:f>IFERROR(__xludf.DUMMYFUNCTION("""COMPUTED_VALUE"""),"Arthur, el solter d'or")</x:f>
      </x:c>
      <x:c r="C463" s="1">
        <x:f>IFERROR(__xludf.DUMMYFUNCTION("""COMPUTED_VALUE"""),"1981")</x:f>
      </x:c>
    </x:row>
    <x:row r="464" spans="1:10">
      <x:c r="A464" s="1" t="s">
        <x:v>473</x:v>
      </x:c>
      <x:c r="B464" s="1">
        <x:f>IFERROR(__xludf.DUMMYFUNCTION("""COMPUTED_VALUE"""),"Àrtic")</x:f>
      </x:c>
      <x:c r="C464" s="1">
        <x:f>IFERROR(__xludf.DUMMYFUNCTION("""COMPUTED_VALUE"""),"2018")</x:f>
      </x:c>
    </x:row>
    <x:row r="465" spans="1:10">
      <x:c r="A465" s="1" t="s">
        <x:v>474</x:v>
      </x:c>
      <x:c r="B465" s="1">
        <x:f>IFERROR(__xludf.DUMMYFUNCTION("""COMPUTED_VALUE"""),"Artur i l'algorisme")</x:f>
      </x:c>
      <x:c r="C465" s="1">
        <x:f>IFERROR(__xludf.DUMMYFUNCTION("""COMPUTED_VALUE"""),"2021")</x:f>
      </x:c>
    </x:row>
    <x:row r="466" spans="1:10">
      <x:c r="A466" s="1" t="s">
        <x:v>475</x:v>
      </x:c>
      <x:c r="B466" s="1">
        <x:f>IFERROR(__xludf.DUMMYFUNCTION("""COMPUTED_VALUE"""),"Arzak Rhapsody [VOSC]")</x:f>
      </x:c>
      <x:c r="C466" s="1">
        <x:f>IFERROR(__xludf.DUMMYFUNCTION("""COMPUTED_VALUE"""),"2003")</x:f>
      </x:c>
    </x:row>
    <x:row r="467" spans="1:10">
      <x:c r="A467" s="1" t="s">
        <x:v>476</x:v>
      </x:c>
      <x:c r="B467" s="1">
        <x:f>IFERROR(__xludf.DUMMYFUNCTION("""COMPUTED_VALUE"""),"Assalt a la comissaria del districte 13")</x:f>
      </x:c>
      <x:c r="C467" s="1">
        <x:f>IFERROR(__xludf.DUMMYFUNCTION("""COMPUTED_VALUE"""),"1976")</x:f>
      </x:c>
    </x:row>
    <x:row r="468" spans="1:10">
      <x:c r="A468" s="1" t="s">
        <x:v>477</x:v>
      </x:c>
      <x:c r="B468" s="1">
        <x:f>IFERROR(__xludf.DUMMYFUNCTION("""COMPUTED_VALUE"""),"Assalt al poder")</x:f>
      </x:c>
      <x:c r="C468" s="1">
        <x:f>IFERROR(__xludf.DUMMYFUNCTION("""COMPUTED_VALUE"""),"2013")</x:f>
      </x:c>
    </x:row>
    <x:row r="469" spans="1:10">
      <x:c r="A469" s="1" t="s">
        <x:v>478</x:v>
      </x:c>
      <x:c r="B469" s="1">
        <x:f>IFERROR(__xludf.DUMMYFUNCTION("""COMPUTED_VALUE"""),"Assalt al tren Pelham 1.2.3.")</x:f>
      </x:c>
      <x:c r="C469" s="1">
        <x:f>IFERROR(__xludf.DUMMYFUNCTION("""COMPUTED_VALUE"""),"2009")</x:f>
      </x:c>
    </x:row>
    <x:row r="470" spans="1:10">
      <x:c r="A470" s="1" t="s">
        <x:v>479</x:v>
      </x:c>
      <x:c r="B470" s="1">
        <x:f>IFERROR(__xludf.DUMMYFUNCTION("""COMPUTED_VALUE"""),"Assange, el preu de la veritat")</x:f>
      </x:c>
      <x:c r="C470" s="1">
        <x:f>IFERROR(__xludf.DUMMYFUNCTION("""COMPUTED_VALUE"""),"2021")</x:f>
      </x:c>
    </x:row>
    <x:row r="471" spans="1:10">
      <x:c r="A471" s="1" t="s">
        <x:v>480</x:v>
      </x:c>
      <x:c r="B471" s="1">
        <x:f>IFERROR(__xludf.DUMMYFUNCTION("""COMPUTED_VALUE"""),"Assassin's Creed")</x:f>
      </x:c>
      <x:c r="C471" s="1">
        <x:f>IFERROR(__xludf.DUMMYFUNCTION("""COMPUTED_VALUE"""),"2016")</x:f>
      </x:c>
    </x:row>
    <x:row r="472" spans="1:10">
      <x:c r="A472" s="1" t="s">
        <x:v>481</x:v>
      </x:c>
      <x:c r="B472" s="1">
        <x:f>IFERROR(__xludf.DUMMYFUNCTION("""COMPUTED_VALUE"""),"Assassinat 1,2,3")</x:f>
      </x:c>
      <x:c r="C472" s="1">
        <x:f>IFERROR(__xludf.DUMMYFUNCTION("""COMPUTED_VALUE"""),"2002")</x:f>
      </x:c>
    </x:row>
    <x:row r="473" spans="1:10">
      <x:c r="A473" s="1" t="s">
        <x:v>482</x:v>
      </x:c>
      <x:c r="B473" s="1">
        <x:f>IFERROR(__xludf.DUMMYFUNCTION("""COMPUTED_VALUE"""),"Assassinat a Biòt")</x:f>
      </x:c>
      <x:c r="C473" s="1">
        <x:f>IFERROR(__xludf.DUMMYFUNCTION("""COMPUTED_VALUE"""),"2021")</x:f>
      </x:c>
    </x:row>
    <x:row r="474" spans="1:10">
      <x:c r="A474" s="1" t="s">
        <x:v>483</x:v>
      </x:c>
      <x:c r="B474" s="1">
        <x:f>IFERROR(__xludf.DUMMYFUNCTION("""COMPUTED_VALUE"""),"Assassinat a Dinard")</x:f>
      </x:c>
      <x:c r="C474" s="1">
        <x:f>IFERROR(__xludf.DUMMYFUNCTION("""COMPUTED_VALUE"""),"2023")</x:f>
      </x:c>
    </x:row>
    <x:row r="475" spans="1:10">
      <x:c r="A475" s="1" t="s">
        <x:v>484</x:v>
      </x:c>
      <x:c r="B475" s="1">
        <x:f>IFERROR(__xludf.DUMMYFUNCTION("""COMPUTED_VALUE"""),"Assassinat a l'Alta Provença")</x:f>
      </x:c>
      <x:c r="C475" s="1">
        <x:f>IFERROR(__xludf.DUMMYFUNCTION("""COMPUTED_VALUE"""),"2021")</x:f>
      </x:c>
    </x:row>
    <x:row r="476" spans="1:10">
      <x:c r="A476" s="1" t="s">
        <x:v>485</x:v>
      </x:c>
      <x:c r="B476" s="1">
        <x:f>IFERROR(__xludf.DUMMYFUNCTION("""COMPUTED_VALUE"""),"Assassinat a l'Orient Express")</x:f>
      </x:c>
      <x:c r="C476" s="1">
        <x:f>IFERROR(__xludf.DUMMYFUNCTION("""COMPUTED_VALUE"""),"1974")</x:f>
      </x:c>
    </x:row>
    <x:row r="477" spans="1:10">
      <x:c r="A477" s="1" t="s">
        <x:v>486</x:v>
      </x:c>
      <x:c r="B477" s="1">
        <x:f>IFERROR(__xludf.DUMMYFUNCTION("""COMPUTED_VALUE"""),"Assassinat a la Casa Blanca")</x:f>
      </x:c>
      <x:c r="C477" s="1">
        <x:f>IFERROR(__xludf.DUMMYFUNCTION("""COMPUTED_VALUE"""),"1997")</x:f>
      </x:c>
    </x:row>
    <x:row r="478" spans="1:10">
      <x:c r="A478" s="1" t="s">
        <x:v>487</x:v>
      </x:c>
      <x:c r="B478" s="1">
        <x:f>IFERROR(__xludf.DUMMYFUNCTION("""COMPUTED_VALUE"""),"Assassinat a Le Mans")</x:f>
      </x:c>
      <x:c r="C478" s="1">
        <x:f>IFERROR(__xludf.DUMMYFUNCTION("""COMPUTED_VALUE"""),"2023")</x:f>
      </x:c>
    </x:row>
    <x:row r="479" spans="1:10">
      <x:c r="A479" s="1" t="s">
        <x:v>488</x:v>
      </x:c>
      <x:c r="B479" s="1">
        <x:f>IFERROR(__xludf.DUMMYFUNCTION("""COMPUTED_VALUE"""),"Assassinat a Losera")</x:f>
      </x:c>
      <x:c r="C479" s="1">
        <x:f>IFERROR(__xludf.DUMMYFUNCTION("""COMPUTED_VALUE"""),"2014")</x:f>
      </x:c>
    </x:row>
    <x:row r="480" spans="1:10">
      <x:c r="A480" s="1" t="s">
        <x:v>489</x:v>
      </x:c>
      <x:c r="B480" s="1">
        <x:f>IFERROR(__xludf.DUMMYFUNCTION("""COMPUTED_VALUE"""),"Assassinat a Luberon")</x:f>
      </x:c>
      <x:c r="C480" s="1">
        <x:f>IFERROR(__xludf.DUMMYFUNCTION("""COMPUTED_VALUE"""),"2018")</x:f>
      </x:c>
    </x:row>
    <x:row r="481" spans="1:10">
      <x:c r="A481" s="1" t="s">
        <x:v>490</x:v>
      </x:c>
      <x:c r="B481" s="1">
        <x:f>IFERROR(__xludf.DUMMYFUNCTION("""COMPUTED_VALUE"""),"Assassinat a Ramatuelle")</x:f>
      </x:c>
      <x:c r="C481" s="1">
        <x:f>IFERROR(__xludf.DUMMYFUNCTION("""COMPUTED_VALUE"""),"2022")</x:f>
      </x:c>
    </x:row>
    <x:row r="482" spans="1:10">
      <x:c r="A482" s="1" t="s">
        <x:v>491</x:v>
      </x:c>
      <x:c r="B482" s="1">
        <x:f>IFERROR(__xludf.DUMMYFUNCTION("""COMPUTED_VALUE"""),"Assassinat a Yellowstone")</x:f>
      </x:c>
      <x:c r="C482" s="1">
        <x:f>IFERROR(__xludf.DUMMYFUNCTION("""COMPUTED_VALUE"""),"2022")</x:f>
      </x:c>
    </x:row>
    <x:row r="483" spans="1:10">
      <x:c r="A483" s="1" t="s">
        <x:v>492</x:v>
      </x:c>
      <x:c r="B483" s="1">
        <x:f>IFERROR(__xludf.DUMMYFUNCTION("""COMPUTED_VALUE"""),"Assassinat al Larzac")</x:f>
      </x:c>
      <x:c r="C483" s="1">
        <x:f>IFERROR(__xludf.DUMMYFUNCTION("""COMPUTED_VALUE"""),"2020")</x:f>
      </x:c>
    </x:row>
    <x:row r="484" spans="1:10">
      <x:c r="A484" s="1" t="s">
        <x:v>493</x:v>
      </x:c>
      <x:c r="B484" s="1">
        <x:f>IFERROR(__xludf.DUMMYFUNCTION("""COMPUTED_VALUE"""),"Assassinat al pantà")</x:f>
      </x:c>
      <x:c r="C484" s="1">
        <x:f>IFERROR(__xludf.DUMMYFUNCTION("""COMPUTED_VALUE"""),"2019")</x:f>
      </x:c>
    </x:row>
    <x:row r="485" spans="1:10">
      <x:c r="A485" s="1" t="s">
        <x:v>494</x:v>
      </x:c>
      <x:c r="B485" s="1">
        <x:f>IFERROR(__xludf.DUMMYFUNCTION("""COMPUTED_VALUE"""),"Assassinat en 8 mil·límetres")</x:f>
      </x:c>
      <x:c r="C485" s="1">
        <x:f>IFERROR(__xludf.DUMMYFUNCTION("""COMPUTED_VALUE"""),"1999")</x:f>
      </x:c>
    </x:row>
    <x:row r="486" spans="1:10">
      <x:c r="A486" s="1" t="s">
        <x:v>495</x:v>
      </x:c>
      <x:c r="B486" s="1">
        <x:f>IFERROR(__xludf.DUMMYFUNCTION("""COMPUTED_VALUE"""),"Assassinat entre amics")</x:f>
      </x:c>
      <x:c r="C486" s="1">
        <x:f>IFERROR(__xludf.DUMMYFUNCTION("""COMPUTED_VALUE"""),"2001")</x:f>
      </x:c>
    </x:row>
    <x:row r="487" spans="1:10">
      <x:c r="A487" s="1" t="s">
        <x:v>496</x:v>
      </x:c>
      <x:c r="B487" s="1">
        <x:f>IFERROR(__xludf.DUMMYFUNCTION("""COMPUTED_VALUE"""),"Assassinat just")</x:f>
      </x:c>
      <x:c r="C487" s="1">
        <x:f>IFERROR(__xludf.DUMMYFUNCTION("""COMPUTED_VALUE"""),"2008")</x:f>
      </x:c>
    </x:row>
    <x:row r="488" spans="1:10">
      <x:c r="A488" s="1" t="s">
        <x:v>497</x:v>
      </x:c>
      <x:c r="B488" s="1">
        <x:f>IFERROR(__xludf.DUMMYFUNCTION("""COMPUTED_VALUE"""),"Assassinats a Albi")</x:f>
      </x:c>
      <x:c r="C488" s="1">
        <x:f>IFERROR(__xludf.DUMMYFUNCTION("""COMPUTED_VALUE"""),"2020")</x:f>
      </x:c>
    </x:row>
    <x:row r="489" spans="1:10">
      <x:c r="A489" s="1" t="s">
        <x:v>498</x:v>
      </x:c>
      <x:c r="B489" s="1">
        <x:f>IFERROR(__xludf.DUMMYFUNCTION("""COMPUTED_VALUE"""),"Assassinats a Amboise")</x:f>
      </x:c>
      <x:c r="C489" s="1">
        <x:f>IFERROR(__xludf.DUMMYFUNCTION("""COMPUTED_VALUE"""),"2022")</x:f>
      </x:c>
    </x:row>
    <x:row r="490" spans="1:10">
      <x:c r="A490" s="1" t="s">
        <x:v>499</x:v>
      </x:c>
      <x:c r="B490" s="1">
        <x:f>IFERROR(__xludf.DUMMYFUNCTION("""COMPUTED_VALUE"""),"Assassinats a Amiens")</x:f>
      </x:c>
      <x:c r="C490" s="1">
        <x:f>IFERROR(__xludf.DUMMYFUNCTION("""COMPUTED_VALUE"""),"2022")</x:f>
      </x:c>
    </x:row>
    <x:row r="491" spans="1:10">
      <x:c r="A491" s="1" t="s">
        <x:v>500</x:v>
      </x:c>
      <x:c r="B491" s="1">
        <x:f>IFERROR(__xludf.DUMMYFUNCTION("""COMPUTED_VALUE"""),"Assassinats a Avinyó")</x:f>
      </x:c>
      <x:c r="C491" s="1">
        <x:f>IFERROR(__xludf.DUMMYFUNCTION("""COMPUTED_VALUE"""),"2016")</x:f>
      </x:c>
    </x:row>
    <x:row r="492" spans="1:10">
      <x:c r="A492" s="1" t="s">
        <x:v>501</x:v>
      </x:c>
      <x:c r="B492" s="1">
        <x:f>IFERROR(__xludf.DUMMYFUNCTION("""COMPUTED_VALUE"""),"Assassinats a Bayeux")</x:f>
      </x:c>
      <x:c r="C492" s="1">
        <x:f>IFERROR(__xludf.DUMMYFUNCTION("""COMPUTED_VALUE"""),"2023")</x:f>
      </x:c>
    </x:row>
    <x:row r="493" spans="1:10">
      <x:c r="A493" s="1" t="s">
        <x:v>502</x:v>
      </x:c>
      <x:c r="B493" s="1">
        <x:f>IFERROR(__xludf.DUMMYFUNCTION("""COMPUTED_VALUE"""),"Assassinats a Bearn")</x:f>
      </x:c>
      <x:c r="C493" s="1">
        <x:f>IFERROR(__xludf.DUMMYFUNCTION("""COMPUTED_VALUE"""),"2023")</x:f>
      </x:c>
    </x:row>
    <x:row r="494" spans="1:10">
      <x:c r="A494" s="1" t="s">
        <x:v>503</x:v>
      </x:c>
      <x:c r="B494" s="1">
        <x:f>IFERROR(__xludf.DUMMYFUNCTION("""COMPUTED_VALUE"""),"Assassinats a Berry")</x:f>
      </x:c>
      <x:c r="C494" s="1">
        <x:f>IFERROR(__xludf.DUMMYFUNCTION("""COMPUTED_VALUE"""),"2021")</x:f>
      </x:c>
    </x:row>
    <x:row r="495" spans="1:10">
      <x:c r="A495" s="1" t="s">
        <x:v>504</x:v>
      </x:c>
      <x:c r="B495" s="1">
        <x:f>IFERROR(__xludf.DUMMYFUNCTION("""COMPUTED_VALUE"""),"Assassinats a Caiena")</x:f>
      </x:c>
      <x:c r="C495" s="1">
        <x:f>IFERROR(__xludf.DUMMYFUNCTION("""COMPUTED_VALUE"""),"2020")</x:f>
      </x:c>
    </x:row>
    <x:row r="496" spans="1:10">
      <x:c r="A496" s="1" t="s">
        <x:v>505</x:v>
      </x:c>
      <x:c r="B496" s="1">
        <x:f>IFERROR(__xludf.DUMMYFUNCTION("""COMPUTED_VALUE"""),"Assassinats a Chantilly")</x:f>
      </x:c>
      <x:c r="C496" s="1">
        <x:f>IFERROR(__xludf.DUMMYFUNCTION("""COMPUTED_VALUE"""),"2023")</x:f>
      </x:c>
    </x:row>
    <x:row r="497" spans="1:10">
      <x:c r="A497" s="1" t="s">
        <x:v>506</x:v>
      </x:c>
      <x:c r="B497" s="1">
        <x:f>IFERROR(__xludf.DUMMYFUNCTION("""COMPUTED_VALUE"""),"Assassinats a Cornualla")</x:f>
      </x:c>
      <x:c r="C497" s="1">
        <x:f>IFERROR(__xludf.DUMMYFUNCTION("""COMPUTED_VALUE"""),"2018")</x:f>
      </x:c>
    </x:row>
    <x:row r="498" spans="1:10">
      <x:c r="A498" s="1" t="s">
        <x:v>507</x:v>
      </x:c>
      <x:c r="B498" s="1">
        <x:f>IFERROR(__xludf.DUMMYFUNCTION("""COMPUTED_VALUE"""),"Assassinats a Font-Romeu")</x:f>
      </x:c>
      <x:c r="C498" s="1">
        <x:f>IFERROR(__xludf.DUMMYFUNCTION("""COMPUTED_VALUE"""),"2023")</x:f>
      </x:c>
    </x:row>
    <x:row r="499" spans="1:10">
      <x:c r="A499" s="1" t="s">
        <x:v>508</x:v>
      </x:c>
      <x:c r="B499" s="1">
        <x:f>IFERROR(__xludf.DUMMYFUNCTION("""COMPUTED_VALUE"""),"Assassinats a Guadalupe")</x:f>
      </x:c>
      <x:c r="C499" s="1">
        <x:f>IFERROR(__xludf.DUMMYFUNCTION("""COMPUTED_VALUE"""),"2023")</x:f>
      </x:c>
    </x:row>
    <x:row r="500" spans="1:10">
      <x:c r="A500" s="1" t="s">
        <x:v>509</x:v>
      </x:c>
      <x:c r="B500" s="1">
        <x:f>IFERROR(__xludf.DUMMYFUNCTION("""COMPUTED_VALUE"""),"Assassinats a Kermadec")</x:f>
      </x:c>
      <x:c r="C500" s="1">
        <x:f>IFERROR(__xludf.DUMMYFUNCTION("""COMPUTED_VALUE"""),"2022")</x:f>
      </x:c>
    </x:row>
    <x:row r="501" spans="1:10">
      <x:c r="A501" s="1" t="s">
        <x:v>510</x:v>
      </x:c>
      <x:c r="B501" s="1">
        <x:f>IFERROR(__xludf.DUMMYFUNCTION("""COMPUTED_VALUE"""),"Assassinats a l'abadia de Rouen")</x:f>
      </x:c>
      <x:c r="C501" s="1">
        <x:f>IFERROR(__xludf.DUMMYFUNCTION("""COMPUTED_VALUE"""),"2014")</x:f>
      </x:c>
    </x:row>
    <x:row r="502" spans="1:10">
      <x:c r="A502" s="1" t="s">
        <x:v>511</x:v>
      </x:c>
      <x:c r="B502" s="1">
        <x:f>IFERROR(__xludf.DUMMYFUNCTION("""COMPUTED_VALUE"""),"Assassinats a l'alta societat")</x:f>
      </x:c>
      <x:c r="C502" s="1">
        <x:f>IFERROR(__xludf.DUMMYFUNCTION("""COMPUTED_VALUE"""),"2006")</x:f>
      </x:c>
    </x:row>
    <x:row r="503" spans="1:10">
      <x:c r="A503" s="1" t="s">
        <x:v>512</x:v>
      </x:c>
      <x:c r="B503" s="1">
        <x:f>IFERROR(__xludf.DUMMYFUNCTION("""COMPUTED_VALUE"""),"Assassinats a l'illa")</x:f>
      </x:c>
      <x:c r="C503" s="1">
        <x:f>IFERROR(__xludf.DUMMYFUNCTION("""COMPUTED_VALUE"""),"2015")</x:f>
      </x:c>
    </x:row>
    <x:row r="504" spans="1:10">
      <x:c r="A504" s="1" t="s">
        <x:v>513</x:v>
      </x:c>
      <x:c r="B504" s="1">
        <x:f>IFERROR(__xludf.DUMMYFUNCTION("""COMPUTED_VALUE"""),"Assassinats a la Bretanya")</x:f>
      </x:c>
      <x:c r="C504" s="1">
        <x:f>IFERROR(__xludf.DUMMYFUNCTION("""COMPUTED_VALUE"""),"2020")</x:f>
      </x:c>
    </x:row>
    <x:row r="505" spans="1:10">
      <x:c r="A505" s="1" t="s">
        <x:v>514</x:v>
      </x:c>
      <x:c r="B505" s="1">
        <x:f>IFERROR(__xludf.DUMMYFUNCTION("""COMPUTED_VALUE"""),"Assassinats a la Corresa")</x:f>
      </x:c>
      <x:c r="C505" s="1">
        <x:f>IFERROR(__xludf.DUMMYFUNCTION("""COMPUTED_VALUE"""),"2019")</x:f>
      </x:c>
    </x:row>
    <x:row r="506" spans="1:10">
      <x:c r="A506" s="1" t="s">
        <x:v>515</x:v>
      </x:c>
      <x:c r="B506" s="1">
        <x:f>IFERROR(__xludf.DUMMYFUNCTION("""COMPUTED_VALUE"""),"Assassinats a les illes de Lerins")</x:f>
      </x:c>
      <x:c r="C506" s="1">
        <x:f>IFERROR(__xludf.DUMMYFUNCTION("""COMPUTED_VALUE"""),"2023")</x:f>
      </x:c>
    </x:row>
    <x:row r="507" spans="1:10">
      <x:c r="A507" s="1" t="s">
        <x:v>516</x:v>
      </x:c>
      <x:c r="B507" s="1">
        <x:f>IFERROR(__xludf.DUMMYFUNCTION("""COMPUTED_VALUE"""),"Assassinats a les illes del Frieu")</x:f>
      </x:c>
      <x:c r="C507" s="1">
        <x:f>IFERROR(__xludf.DUMMYFUNCTION("""COMPUTED_VALUE"""),"2021")</x:f>
      </x:c>
    </x:row>
    <x:row r="508" spans="1:10">
      <x:c r="A508" s="1" t="s">
        <x:v>517</x:v>
      </x:c>
      <x:c r="B508" s="1">
        <x:f>IFERROR(__xludf.DUMMYFUNCTION("""COMPUTED_VALUE"""),"Assassinats a les Petites Antilles")</x:f>
      </x:c>
      <x:c r="C508" s="1">
        <x:f>IFERROR(__xludf.DUMMYFUNCTION("""COMPUTED_VALUE"""),"2021")</x:f>
      </x:c>
    </x:row>
    <x:row r="509" spans="1:10">
      <x:c r="A509" s="1" t="s">
        <x:v>518</x:v>
      </x:c>
      <x:c r="B509" s="1">
        <x:f>IFERROR(__xludf.DUMMYFUNCTION("""COMPUTED_VALUE"""),"Assassinats a Martigues")</x:f>
      </x:c>
      <x:c r="C509" s="1">
        <x:f>IFERROR(__xludf.DUMMYFUNCTION("""COMPUTED_VALUE"""),"2016")</x:f>
      </x:c>
    </x:row>
    <x:row r="510" spans="1:10">
      <x:c r="A510" s="1" t="s">
        <x:v>519</x:v>
      </x:c>
      <x:c r="B510" s="1">
        <x:f>IFERROR(__xludf.DUMMYFUNCTION("""COMPUTED_VALUE"""),"Assassinats a Mauçana")</x:f>
      </x:c>
      <x:c r="C510" s="1">
        <x:f>IFERROR(__xludf.DUMMYFUNCTION("""COMPUTED_VALUE"""),"2017")</x:f>
      </x:c>
    </x:row>
    <x:row r="511" spans="1:10">
      <x:c r="A511" s="1" t="s">
        <x:v>520</x:v>
      </x:c>
      <x:c r="B511" s="1">
        <x:f>IFERROR(__xludf.DUMMYFUNCTION("""COMPUTED_VALUE"""),"Assassinats a Mulhouse")</x:f>
      </x:c>
      <x:c r="C511" s="1">
        <x:f>IFERROR(__xludf.DUMMYFUNCTION("""COMPUTED_VALUE"""),"2021")</x:f>
      </x:c>
    </x:row>
    <x:row r="512" spans="1:10">
      <x:c r="A512" s="1" t="s">
        <x:v>521</x:v>
      </x:c>
      <x:c r="B512" s="1">
        <x:f>IFERROR(__xludf.DUMMYFUNCTION("""COMPUTED_VALUE"""),"Assassinats a Pont L'Évêque")</x:f>
      </x:c>
      <x:c r="C512" s="1">
        <x:f>IFERROR(__xludf.DUMMYFUNCTION("""COMPUTED_VALUE"""),"2020")</x:f>
      </x:c>
    </x:row>
    <x:row r="513" spans="1:10">
      <x:c r="A513" s="1" t="s">
        <x:v>522</x:v>
      </x:c>
      <x:c r="B513" s="1">
        <x:f>IFERROR(__xludf.DUMMYFUNCTION("""COMPUTED_VALUE"""),"Assassinats a Pont-Aven")</x:f>
      </x:c>
      <x:c r="C513" s="1">
        <x:f>IFERROR(__xludf.DUMMYFUNCTION("""COMPUTED_VALUE"""),"2022")</x:f>
      </x:c>
    </x:row>
    <x:row r="514" spans="1:10">
      <x:c r="A514" s="1" t="s">
        <x:v>523</x:v>
      </x:c>
      <x:c r="B514" s="1">
        <x:f>IFERROR(__xludf.DUMMYFUNCTION("""COMPUTED_VALUE"""),"Assassinats a Porquerolles")</x:f>
      </x:c>
      <x:c r="C514" s="1">
        <x:f>IFERROR(__xludf.DUMMYFUNCTION("""COMPUTED_VALUE"""),"2022")</x:f>
      </x:c>
    </x:row>
    <x:row r="515" spans="1:10">
      <x:c r="A515" s="1" t="s">
        <x:v>524</x:v>
      </x:c>
      <x:c r="B515" s="1">
        <x:f>IFERROR(__xludf.DUMMYFUNCTION("""COMPUTED_VALUE"""),"Assassinats al Cantal")</x:f>
      </x:c>
      <x:c r="C515" s="1">
        <x:f>IFERROR(__xludf.DUMMYFUNCTION("""COMPUTED_VALUE"""),"2023")</x:f>
      </x:c>
    </x:row>
    <x:row r="516" spans="1:10">
      <x:c r="A516" s="1" t="s">
        <x:v>525</x:v>
      </x:c>
      <x:c r="B516" s="1">
        <x:f>IFERROR(__xludf.DUMMYFUNCTION("""COMPUTED_VALUE"""),"Assassinats al Mont-Saint-Michel")</x:f>
      </x:c>
      <x:c r="C516" s="1">
        <x:f>IFERROR(__xludf.DUMMYFUNCTION("""COMPUTED_VALUE"""),"2013")</x:f>
      </x:c>
    </x:row>
    <x:row r="517" spans="1:10">
      <x:c r="A517" s="1" t="s">
        <x:v>526</x:v>
      </x:c>
      <x:c r="B517" s="1">
        <x:f>IFERROR(__xludf.DUMMYFUNCTION("""COMPUTED_VALUE"""),"Assassins")</x:f>
      </x:c>
      <x:c r="C517" s="1">
        <x:f>IFERROR(__xludf.DUMMYFUNCTION("""COMPUTED_VALUE"""),"1995")</x:f>
      </x:c>
    </x:row>
    <x:row r="518" spans="1:10">
      <x:c r="A518" s="1" t="s">
        <x:v>527</x:v>
      </x:c>
      <x:c r="B518" s="1">
        <x:f>IFERROR(__xludf.DUMMYFUNCTION("""COMPUTED_VALUE"""),"Assassins")</x:f>
      </x:c>
      <x:c r="C518" s="1">
        <x:f>IFERROR(__xludf.DUMMYFUNCTION("""COMPUTED_VALUE"""),"2015")</x:f>
      </x:c>
    </x:row>
    <x:row r="519" spans="1:10">
      <x:c r="A519" s="1" t="s">
        <x:v>528</x:v>
      </x:c>
      <x:c r="B519" s="1">
        <x:f>IFERROR(__xludf.DUMMYFUNCTION("""COMPUTED_VALUE"""),"Assassins d'elit")</x:f>
      </x:c>
      <x:c r="C519" s="1">
        <x:f>IFERROR(__xludf.DUMMYFUNCTION("""COMPUTED_VALUE"""),"2011")</x:f>
      </x:c>
    </x:row>
    <x:row r="520" spans="1:10">
      <x:c r="A520" s="1" t="s">
        <x:v>529</x:v>
      </x:c>
      <x:c r="B520" s="1">
        <x:f>IFERROR(__xludf.DUMMYFUNCTION("""COMPUTED_VALUE"""),"Assetjament")</x:f>
      </x:c>
      <x:c r="C520" s="1">
        <x:f>IFERROR(__xludf.DUMMYFUNCTION("""COMPUTED_VALUE"""),"1994")</x:f>
      </x:c>
    </x:row>
    <x:row r="521" spans="1:10">
      <x:c r="A521" s="1" t="s">
        <x:v>530</x:v>
      </x:c>
      <x:c r="B521" s="1">
        <x:f>IFERROR(__xludf.DUMMYFUNCTION("""COMPUTED_VALUE"""),"Assetjament a l'exèrcit: Trencant el silenci")</x:f>
      </x:c>
      <x:c r="C521" s="1">
        <x:f>IFERROR(__xludf.DUMMYFUNCTION("""COMPUTED_VALUE"""),"2022")</x:f>
      </x:c>
    </x:row>
    <x:row r="522" spans="1:10">
      <x:c r="A522" s="1" t="s">
        <x:v>531</x:v>
      </x:c>
      <x:c r="B522" s="1">
        <x:f>IFERROR(__xludf.DUMMYFUNCTION("""COMPUTED_VALUE"""),"Assumptes de família")</x:f>
      </x:c>
      <x:c r="C522" s="1">
        <x:f>IFERROR(__xludf.DUMMYFUNCTION("""COMPUTED_VALUE"""),"2009")</x:f>
      </x:c>
    </x:row>
    <x:row r="523" spans="1:10">
      <x:c r="A523" s="1" t="s">
        <x:v>532</x:v>
      </x:c>
      <x:c r="B523" s="1">
        <x:f>IFERROR(__xludf.DUMMYFUNCTION("""COMPUTED_VALUE"""),"Assumptes privats en llocs públics")</x:f>
      </x:c>
      <x:c r="C523" s="1">
        <x:f>IFERROR(__xludf.DUMMYFUNCTION("""COMPUTED_VALUE"""),"2006")</x:f>
      </x:c>
    </x:row>
    <x:row r="524" spans="1:10">
      <x:c r="A524" s="1" t="s">
        <x:v>533</x:v>
      </x:c>
      <x:c r="B524" s="1">
        <x:f>IFERROR(__xludf.DUMMYFUNCTION("""COMPUTED_VALUE"""),"Astèrix a Amèrica")</x:f>
      </x:c>
      <x:c r="C524" s="1">
        <x:f>IFERROR(__xludf.DUMMYFUNCTION("""COMPUTED_VALUE"""),"1994")</x:f>
      </x:c>
    </x:row>
    <x:row r="525" spans="1:10">
      <x:c r="A525" s="1" t="s">
        <x:v>534</x:v>
      </x:c>
      <x:c r="B525" s="1">
        <x:f>IFERROR(__xludf.DUMMYFUNCTION("""COMPUTED_VALUE"""),"Astèrix a Bretanya")</x:f>
      </x:c>
      <x:c r="C525" s="1">
        <x:f>IFERROR(__xludf.DUMMYFUNCTION("""COMPUTED_VALUE"""),"1986")</x:f>
      </x:c>
    </x:row>
    <x:row r="526" spans="1:10">
      <x:c r="A526" s="1" t="s">
        <x:v>535</x:v>
      </x:c>
      <x:c r="B526" s="1">
        <x:f>IFERROR(__xludf.DUMMYFUNCTION("""COMPUTED_VALUE"""),"Astèrix als Jocs Olímpics")</x:f>
      </x:c>
      <x:c r="C526" s="1">
        <x:f>IFERROR(__xludf.DUMMYFUNCTION("""COMPUTED_VALUE"""),"2008")</x:f>
      </x:c>
    </x:row>
    <x:row r="527" spans="1:10">
      <x:c r="A527" s="1" t="s">
        <x:v>536</x:v>
      </x:c>
      <x:c r="B527" s="1">
        <x:f>IFERROR(__xludf.DUMMYFUNCTION("""COMPUTED_VALUE"""),"Astèrix el Gal")</x:f>
      </x:c>
      <x:c r="C527" s="1">
        <x:f>IFERROR(__xludf.DUMMYFUNCTION("""COMPUTED_VALUE"""),"1967")</x:f>
      </x:c>
    </x:row>
    <x:row r="528" spans="1:10">
      <x:c r="A528" s="1" t="s">
        <x:v>537</x:v>
      </x:c>
      <x:c r="B528" s="1">
        <x:f>IFERROR(__xludf.DUMMYFUNCTION("""COMPUTED_VALUE"""),"Astèrix i Cleopatra")</x:f>
      </x:c>
      <x:c r="C528" s="1">
        <x:f>IFERROR(__xludf.DUMMYFUNCTION("""COMPUTED_VALUE"""),"1968")</x:f>
      </x:c>
    </x:row>
    <x:row r="529" spans="1:10">
      <x:c r="A529" s="1" t="s">
        <x:v>538</x:v>
      </x:c>
      <x:c r="B529" s="1">
        <x:f>IFERROR(__xludf.DUMMYFUNCTION("""COMPUTED_VALUE"""),"Astèrix i el cop de Menhir")</x:f>
      </x:c>
      <x:c r="C529" s="1">
        <x:f>IFERROR(__xludf.DUMMYFUNCTION("""COMPUTED_VALUE"""),"1989")</x:f>
      </x:c>
    </x:row>
    <x:row r="530" spans="1:10">
      <x:c r="A530" s="1" t="s">
        <x:v>539</x:v>
      </x:c>
      <x:c r="B530" s="1">
        <x:f>IFERROR(__xludf.DUMMYFUNCTION("""COMPUTED_VALUE"""),"Astèrix i els víkings")</x:f>
      </x:c>
      <x:c r="C530" s="1">
        <x:f>IFERROR(__xludf.DUMMYFUNCTION("""COMPUTED_VALUE"""),"2006")</x:f>
      </x:c>
    </x:row>
    <x:row r="531" spans="1:10">
      <x:c r="A531" s="1" t="s">
        <x:v>540</x:v>
      </x:c>
      <x:c r="B531" s="1">
        <x:f>IFERROR(__xludf.DUMMYFUNCTION("""COMPUTED_VALUE"""),"Astèrix i la sorpresa del Cèsar")</x:f>
      </x:c>
      <x:c r="C531" s="1">
        <x:f>IFERROR(__xludf.DUMMYFUNCTION("""COMPUTED_VALUE"""),"1985")</x:f>
      </x:c>
    </x:row>
    <x:row r="532" spans="1:10">
      <x:c r="A532" s="1" t="s">
        <x:v>541</x:v>
      </x:c>
      <x:c r="B532" s="1">
        <x:f>IFERROR(__xludf.DUMMYFUNCTION("""COMPUTED_VALUE"""),"Asterix i Obelix, al servei de Sa Majestat")</x:f>
      </x:c>
      <x:c r="C532" s="1">
        <x:f>IFERROR(__xludf.DUMMYFUNCTION("""COMPUTED_VALUE"""),"2012")</x:f>
      </x:c>
    </x:row>
    <x:row r="533" spans="1:10">
      <x:c r="A533" s="1" t="s">
        <x:v>542</x:v>
      </x:c>
      <x:c r="B533" s="1">
        <x:f>IFERROR(__xludf.DUMMYFUNCTION("""COMPUTED_VALUE"""),"Astèrix. La residència dels déus")</x:f>
      </x:c>
      <x:c r="C533" s="1">
        <x:f>IFERROR(__xludf.DUMMYFUNCTION("""COMPUTED_VALUE"""),"2014")</x:f>
      </x:c>
    </x:row>
    <x:row r="534" spans="1:10">
      <x:c r="A534" s="1" t="s">
        <x:v>543</x:v>
      </x:c>
      <x:c r="B534" s="1">
        <x:f>IFERROR(__xludf.DUMMYFUNCTION("""COMPUTED_VALUE"""),"Astro Boy")</x:f>
      </x:c>
      <x:c r="C534" s="1">
        <x:f>IFERROR(__xludf.DUMMYFUNCTION("""COMPUTED_VALUE"""),"2009")</x:f>
      </x:c>
    </x:row>
    <x:row r="535" spans="1:10">
      <x:c r="A535" s="1" t="s">
        <x:v>544</x:v>
      </x:c>
      <x:c r="B535" s="1">
        <x:f>IFERROR(__xludf.DUMMYFUNCTION("""COMPUTED_VALUE"""),"Astrònoms de la prehistòria")</x:f>
      </x:c>
      <x:c r="C535" s="1">
        <x:f>IFERROR(__xludf.DUMMYFUNCTION("""COMPUTED_VALUE"""),"2009")</x:f>
      </x:c>
    </x:row>
    <x:row r="536" spans="1:10">
      <x:c r="A536" s="1" t="s">
        <x:v>545</x:v>
      </x:c>
      <x:c r="B536" s="1">
        <x:f>IFERROR(__xludf.DUMMYFUNCTION("""COMPUTED_VALUE"""),"Àtic sense ascensor")</x:f>
      </x:c>
      <x:c r="C536" s="1">
        <x:f>IFERROR(__xludf.DUMMYFUNCTION("""COMPUTED_VALUE"""),"2014")</x:f>
      </x:c>
    </x:row>
    <x:row r="537" spans="1:10">
      <x:c r="A537" s="1" t="s">
        <x:v>546</x:v>
      </x:c>
      <x:c r="B537" s="1">
        <x:f>IFERROR(__xludf.DUMMYFUNCTION("""COMPUTED_VALUE"""),"Atlantis: L'Imperi Perdut")</x:f>
      </x:c>
      <x:c r="C537" s="1">
        <x:f>IFERROR(__xludf.DUMMYFUNCTION("""COMPUTED_VALUE"""),"2001")</x:f>
      </x:c>
    </x:row>
    <x:row r="538" spans="1:10">
      <x:c r="A538" s="1" t="s">
        <x:v>547</x:v>
      </x:c>
      <x:c r="B538" s="1">
        <x:f>IFERROR(__xludf.DUMMYFUNCTION("""COMPUTED_VALUE"""),"Atmosfera zero")</x:f>
      </x:c>
      <x:c r="C538" s="1">
        <x:f>IFERROR(__xludf.DUMMYFUNCTION("""COMPUTED_VALUE"""),"1981")</x:f>
      </x:c>
    </x:row>
    <x:row r="539" spans="1:10">
      <x:c r="A539" s="1" t="s">
        <x:v>548</x:v>
      </x:c>
      <x:c r="B539" s="1">
        <x:f>IFERROR(__xludf.DUMMYFUNCTION("""COMPUTED_VALUE"""),"Atolladero")</x:f>
      </x:c>
      <x:c r="C539" s="1">
        <x:f>IFERROR(__xludf.DUMMYFUNCTION("""COMPUTED_VALUE"""),"1995")</x:f>
      </x:c>
    </x:row>
    <x:row r="540" spans="1:10">
      <x:c r="A540" s="1" t="s">
        <x:v>549</x:v>
      </x:c>
      <x:c r="B540" s="1">
        <x:f>IFERROR(__xludf.DUMMYFUNCTION("""COMPUTED_VALUE"""),"Atracament en 7 minuts")</x:f>
      </x:c>
      <x:c r="C540" s="1">
        <x:f>IFERROR(__xludf.DUMMYFUNCTION("""COMPUTED_VALUE"""),"2014")</x:f>
      </x:c>
    </x:row>
    <x:row r="541" spans="1:10">
      <x:c r="A541" s="1" t="s">
        <x:v>550</x:v>
      </x:c>
      <x:c r="B541" s="1">
        <x:f>IFERROR(__xludf.DUMMYFUNCTION("""COMPUTED_VALUE"""),"Atracament per duplicat")</x:f>
      </x:c>
      <x:c r="C541" s="1">
        <x:f>IFERROR(__xludf.DUMMYFUNCTION("""COMPUTED_VALUE"""),"2011")</x:f>
      </x:c>
    </x:row>
    <x:row r="542" spans="1:10">
      <x:c r="A542" s="1" t="s">
        <x:v>551</x:v>
      </x:c>
      <x:c r="B542" s="1">
        <x:f>IFERROR(__xludf.DUMMYFUNCTION("""COMPUTED_VALUE"""),"Atracament Perfecte")</x:f>
      </x:c>
      <x:c r="C542" s="1">
        <x:f>IFERROR(__xludf.DUMMYFUNCTION("""COMPUTED_VALUE"""),"1956")</x:f>
      </x:c>
    </x:row>
    <x:row r="543" spans="1:10">
      <x:c r="A543" s="1" t="s">
        <x:v>552</x:v>
      </x:c>
      <x:c r="B543" s="1">
        <x:f>IFERROR(__xludf.DUMMYFUNCTION("""COMPUTED_VALUE"""),"Atracció mortal")</x:f>
      </x:c>
      <x:c r="C543" s="1">
        <x:f>IFERROR(__xludf.DUMMYFUNCTION("""COMPUTED_VALUE"""),"2015")</x:f>
      </x:c>
    </x:row>
    <x:row r="544" spans="1:10">
      <x:c r="A544" s="1" t="s">
        <x:v>553</x:v>
      </x:c>
      <x:c r="B544" s="1">
        <x:f>IFERROR(__xludf.DUMMYFUNCTION("""COMPUTED_VALUE"""),"Atrapa la bandera")</x:f>
      </x:c>
      <x:c r="C544" s="1">
        <x:f>IFERROR(__xludf.DUMMYFUNCTION("""COMPUTED_VALUE"""),"2015")</x:f>
      </x:c>
    </x:row>
    <x:row r="545" spans="1:10">
      <x:c r="A545" s="1" t="s">
        <x:v>554</x:v>
      </x:c>
      <x:c r="B545" s="1">
        <x:f>IFERROR(__xludf.DUMMYFUNCTION("""COMPUTED_VALUE"""),"Atrapada")</x:f>
      </x:c>
      <x:c r="C545" s="1">
        <x:f>IFERROR(__xludf.DUMMYFUNCTION("""COMPUTED_VALUE"""),"2002")</x:f>
      </x:c>
    </x:row>
    <x:row r="546" spans="1:10">
      <x:c r="A546" s="1" t="s">
        <x:v>555</x:v>
      </x:c>
      <x:c r="B546" s="1">
        <x:f>IFERROR(__xludf.DUMMYFUNCTION("""COMPUTED_VALUE"""),"Atrapada")</x:f>
      </x:c>
      <x:c r="C546" s="1">
        <x:f>IFERROR(__xludf.DUMMYFUNCTION("""COMPUTED_VALUE"""),"2015")</x:f>
      </x:c>
    </x:row>
    <x:row r="547" spans="1:10">
      <x:c r="A547" s="1" t="s">
        <x:v>556</x:v>
      </x:c>
      <x:c r="B547" s="1">
        <x:f>IFERROR(__xludf.DUMMYFUNCTION("""COMPUTED_VALUE"""),"Atrapada a la xarxa")</x:f>
      </x:c>
      <x:c r="C547" s="1">
        <x:f>IFERROR(__xludf.DUMMYFUNCTION("""COMPUTED_VALUE"""),"2015")</x:f>
      </x:c>
    </x:row>
    <x:row r="548" spans="1:10">
      <x:c r="A548" s="1" t="s">
        <x:v>557</x:v>
      </x:c>
      <x:c r="B548" s="1">
        <x:f>IFERROR(__xludf.DUMMYFUNCTION("""COMPUTED_VALUE"""),"Atrapada en la foscor")</x:f>
      </x:c>
      <x:c r="C548" s="1">
        <x:f>IFERROR(__xludf.DUMMYFUNCTION("""COMPUTED_VALUE"""),"2013")</x:f>
      </x:c>
    </x:row>
    <x:row r="549" spans="1:10">
      <x:c r="A549" s="1" t="s">
        <x:v>558</x:v>
      </x:c>
      <x:c r="B549" s="1">
        <x:f>IFERROR(__xludf.DUMMYFUNCTION("""COMPUTED_VALUE"""),"Atrapat")</x:f>
      </x:c>
      <x:c r="C549" s="1">
        <x:f>IFERROR(__xludf.DUMMYFUNCTION("""COMPUTED_VALUE"""),"2021")</x:f>
      </x:c>
    </x:row>
    <x:row r="550" spans="1:10">
      <x:c r="A550" s="1" t="s">
        <x:v>559</x:v>
      </x:c>
      <x:c r="B550" s="1">
        <x:f>IFERROR(__xludf.DUMMYFUNCTION("""COMPUTED_VALUE"""),"Atrapat al túnel")</x:f>
      </x:c>
      <x:c r="C550" s="1">
        <x:f>IFERROR(__xludf.DUMMYFUNCTION("""COMPUTED_VALUE"""),"2016")</x:f>
      </x:c>
    </x:row>
    <x:row r="551" spans="1:10">
      <x:c r="A551" s="1" t="s">
        <x:v>560</x:v>
      </x:c>
      <x:c r="B551" s="1">
        <x:f>IFERROR(__xludf.DUMMYFUNCTION("""COMPUTED_VALUE"""),"Atrapat en el temps")</x:f>
      </x:c>
      <x:c r="C551" s="1">
        <x:f>IFERROR(__xludf.DUMMYFUNCTION("""COMPUTED_VALUE"""),"1993")</x:f>
      </x:c>
    </x:row>
    <x:row r="552" spans="1:10">
      <x:c r="A552" s="1" t="s">
        <x:v>561</x:v>
      </x:c>
      <x:c r="B552" s="1">
        <x:f>IFERROR(__xludf.DUMMYFUNCTION("""COMPUTED_VALUE"""),"Atrapat pel futur")</x:f>
      </x:c>
      <x:c r="C552" s="1">
        <x:f>IFERROR(__xludf.DUMMYFUNCTION("""COMPUTED_VALUE"""),"2001")</x:f>
      </x:c>
    </x:row>
    <x:row r="553" spans="1:10">
      <x:c r="A553" s="1" t="s">
        <x:v>562</x:v>
      </x:c>
      <x:c r="B553" s="1">
        <x:f>IFERROR(__xludf.DUMMYFUNCTION("""COMPUTED_VALUE"""),"Atrapat pel passat")</x:f>
      </x:c>
      <x:c r="C553" s="1">
        <x:f>IFERROR(__xludf.DUMMYFUNCTION("""COMPUTED_VALUE"""),"1993")</x:f>
      </x:c>
    </x:row>
    <x:row r="554" spans="1:10">
      <x:c r="A554" s="1" t="s">
        <x:v>563</x:v>
      </x:c>
      <x:c r="B554" s="1">
        <x:f>IFERROR(__xludf.DUMMYFUNCTION("""COMPUTED_VALUE"""),"Atrapat. Tres dies al fons de l'Atlàntic")</x:f>
      </x:c>
      <x:c r="C554" s="1">
        <x:f>IFERROR(__xludf.DUMMYFUNCTION("""COMPUTED_VALUE"""),"2023")</x:f>
      </x:c>
    </x:row>
    <x:row r="555" spans="1:10">
      <x:c r="A555" s="1" t="s">
        <x:v>564</x:v>
      </x:c>
      <x:c r="B555" s="1">
        <x:f>IFERROR(__xludf.DUMMYFUNCTION("""COMPUTED_VALUE"""),"Atrapats")</x:f>
      </x:c>
      <x:c r="C555" s="1">
        <x:f>IFERROR(__xludf.DUMMYFUNCTION("""COMPUTED_VALUE"""),"2011")</x:f>
      </x:c>
    </x:row>
    <x:row r="556" spans="1:10">
      <x:c r="A556" s="1" t="s">
        <x:v>565</x:v>
      </x:c>
      <x:c r="B556" s="1">
        <x:f>IFERROR(__xludf.DUMMYFUNCTION("""COMPUTED_VALUE"""),"Atrapats a l'Afganistan")</x:f>
      </x:c>
      <x:c r="C556" s="1">
        <x:f>IFERROR(__xludf.DUMMYFUNCTION("""COMPUTED_VALUE"""),"2008")</x:f>
      </x:c>
    </x:row>
    <x:row r="557" spans="1:10">
      <x:c r="A557" s="1" t="s">
        <x:v>566</x:v>
      </x:c>
      <x:c r="B557" s="1">
        <x:f>IFERROR(__xludf.DUMMYFUNCTION("""COMPUTED_VALUE"""),"Atrapats a Txernòbil")</x:f>
      </x:c>
      <x:c r="C557" s="1">
        <x:f>IFERROR(__xludf.DUMMYFUNCTION("""COMPUTED_VALUE"""),"2012")</x:f>
      </x:c>
    </x:row>
    <x:row r="558" spans="1:10">
      <x:c r="A558" s="1" t="s">
        <x:v>567</x:v>
      </x:c>
      <x:c r="B558" s="1">
        <x:f>IFERROR(__xludf.DUMMYFUNCTION("""COMPUTED_VALUE"""),"Atrapats sense sortida")</x:f>
      </x:c>
      <x:c r="C558" s="1">
        <x:f>IFERROR(__xludf.DUMMYFUNCTION("""COMPUTED_VALUE"""),"1986")</x:f>
      </x:c>
    </x:row>
    <x:row r="559" spans="1:10">
      <x:c r="A559" s="1" t="s">
        <x:v>568</x:v>
      </x:c>
      <x:c r="B559" s="1">
        <x:f>IFERROR(__xludf.DUMMYFUNCTION("""COMPUTED_VALUE"""),"Aurora")</x:f>
      </x:c>
      <x:c r="C559" s="1">
        <x:f>IFERROR(__xludf.DUMMYFUNCTION("""COMPUTED_VALUE"""),"1927")</x:f>
      </x:c>
    </x:row>
    <x:row r="560" spans="1:10">
      <x:c r="A560" s="1" t="s">
        <x:v>569</x:v>
      </x:c>
      <x:c r="B560" s="1">
        <x:f>IFERROR(__xludf.DUMMYFUNCTION("""COMPUTED_VALUE"""),"Aurora boreal")</x:f>
      </x:c>
      <x:c r="C560" s="1">
        <x:f>IFERROR(__xludf.DUMMYFUNCTION("""COMPUTED_VALUE"""),"2007")</x:f>
      </x:c>
    </x:row>
    <x:row r="561" spans="1:10">
      <x:c r="A561" s="1" t="s">
        <x:v>570</x:v>
      </x:c>
      <x:c r="B561" s="1">
        <x:f>IFERROR(__xludf.DUMMYFUNCTION("""COMPUTED_VALUE"""),"Austràlia")</x:f>
      </x:c>
      <x:c r="C561" s="1">
        <x:f>IFERROR(__xludf.DUMMYFUNCTION("""COMPUTED_VALUE"""),"2008")</x:f>
      </x:c>
    </x:row>
    <x:row r="562" spans="1:10">
      <x:c r="A562" s="1" t="s">
        <x:v>571</x:v>
      </x:c>
      <x:c r="B562" s="1">
        <x:f>IFERROR(__xludf.DUMMYFUNCTION("""COMPUTED_VALUE"""),"Autòmat")</x:f>
      </x:c>
      <x:c r="C562" s="1">
        <x:f>IFERROR(__xludf.DUMMYFUNCTION("""COMPUTED_VALUE"""),"2014")</x:f>
      </x:c>
    </x:row>
    <x:row r="563" spans="1:10">
      <x:c r="A563" s="1" t="s">
        <x:v>572</x:v>
      </x:c>
      <x:c r="B563" s="1">
        <x:f>IFERROR(__xludf.DUMMYFUNCTION("""COMPUTED_VALUE"""),"Autòpsia a un alienígena")</x:f>
      </x:c>
      <x:c r="C563" s="1">
        <x:f>IFERROR(__xludf.DUMMYFUNCTION("""COMPUTED_VALUE"""),"2006")</x:f>
      </x:c>
    </x:row>
    <x:row r="564" spans="1:10">
      <x:c r="A564" s="1" t="s">
        <x:v>573</x:v>
      </x:c>
      <x:c r="B564" s="1">
        <x:f>IFERROR(__xludf.DUMMYFUNCTION("""COMPUTED_VALUE"""),"Ava")</x:f>
      </x:c>
      <x:c r="C564" s="1">
        <x:f>IFERROR(__xludf.DUMMYFUNCTION("""COMPUTED_VALUE"""),"2020")</x:f>
      </x:c>
    </x:row>
    <x:row r="565" spans="1:10">
      <x:c r="A565" s="1" t="s">
        <x:v>574</x:v>
      </x:c>
      <x:c r="B565" s="1">
        <x:f>IFERROR(__xludf.DUMMYFUNCTION("""COMPUTED_VALUE"""),"Avalon")</x:f>
      </x:c>
      <x:c r="C565" s="1">
        <x:f>IFERROR(__xludf.DUMMYFUNCTION("""COMPUTED_VALUE"""),"1990")</x:f>
      </x:c>
    </x:row>
    <x:row r="566" spans="1:10">
      <x:c r="A566" s="1" t="s">
        <x:v>575</x:v>
      </x:c>
      <x:c r="B566" s="1">
        <x:f>IFERROR(__xludf.DUMMYFUNCTION("""COMPUTED_VALUE"""),"Avatar [VOSC]")</x:f>
      </x:c>
      <x:c r="C566" s="1">
        <x:f>IFERROR(__xludf.DUMMYFUNCTION("""COMPUTED_VALUE"""),"2009")</x:f>
      </x:c>
    </x:row>
    <x:row r="567" spans="1:10">
      <x:c r="A567" s="1" t="s">
        <x:v>576</x:v>
      </x:c>
      <x:c r="B567" s="1">
        <x:f>IFERROR(__xludf.DUMMYFUNCTION("""COMPUTED_VALUE"""),"Avatar: El sentit de l'aigua")</x:f>
      </x:c>
      <x:c r="C567" s="1">
        <x:f>IFERROR(__xludf.DUMMYFUNCTION("""COMPUTED_VALUE"""),"2022")</x:f>
      </x:c>
    </x:row>
    <x:row r="568" spans="1:10">
      <x:c r="A568" s="1" t="s">
        <x:v>577</x:v>
      </x:c>
      <x:c r="B568" s="1">
        <x:f>IFERROR(__xludf.DUMMYFUNCTION("""COMPUTED_VALUE"""),"Avatar: Foc i cendra")</x:f>
      </x:c>
      <x:c r="C568" s="1">
        <x:f>IFERROR(__xludf.DUMMYFUNCTION("""COMPUTED_VALUE"""),"2025")</x:f>
      </x:c>
    </x:row>
    <x:row r="569" spans="1:10">
      <x:c r="A569" s="1" t="s">
        <x:v>578</x:v>
      </x:c>
      <x:c r="B569" s="1">
        <x:f>IFERROR(__xludf.DUMMYFUNCTION("""COMPUTED_VALUE"""),"AveMaria")</x:f>
      </x:c>
      <x:c r="C569" s="1">
        <x:f>IFERROR(__xludf.DUMMYFUNCTION("""COMPUTED_VALUE"""),"2022")</x:f>
      </x:c>
    </x:row>
    <x:row r="570" spans="1:10">
      <x:c r="A570" s="1" t="s">
        <x:v>579</x:v>
      </x:c>
      <x:c r="B570" s="1">
        <x:f>IFERROR(__xludf.DUMMYFUNCTION("""COMPUTED_VALUE"""),"Aventura al riu Yukon")</x:f>
      </x:c>
      <x:c r="C570" s="1">
        <x:f>IFERROR(__xludf.DUMMYFUNCTION("""COMPUTED_VALUE"""),"2007")</x:f>
      </x:c>
    </x:row>
    <x:row r="571" spans="1:10">
      <x:c r="A571" s="1" t="s">
        <x:v>580</x:v>
      </x:c>
      <x:c r="B571" s="1">
        <x:f>IFERROR(__xludf.DUMMYFUNCTION("""COMPUTED_VALUE"""),"Aventura!")</x:f>
      </x:c>
      <x:c r="C571" s="1">
        <x:f>IFERROR(__xludf.DUMMYFUNCTION("""COMPUTED_VALUE"""),"2020")</x:f>
      </x:c>
    </x:row>
    <x:row r="572" spans="1:10">
      <x:c r="A572" s="1" t="s">
        <x:v>581</x:v>
      </x:c>
      <x:c r="B572" s="1">
        <x:f>IFERROR(__xludf.DUMMYFUNCTION("""COMPUTED_VALUE"""),"Avi, et trauré d'aquí!")</x:f>
      </x:c>
      <x:c r="C572" s="1">
        <x:f>IFERROR(__xludf.DUMMYFUNCTION("""COMPUTED_VALUE"""),"2013")</x:f>
      </x:c>
    </x:row>
    <x:row r="573" spans="1:10">
      <x:c r="A573" s="1" t="s">
        <x:v>582</x:v>
      </x:c>
      <x:c r="B573" s="1">
        <x:f>IFERROR(__xludf.DUMMYFUNCTION("""COMPUTED_VALUE"""),"Avions I")</x:f>
      </x:c>
      <x:c r="C573" s="1">
        <x:f>IFERROR(__xludf.DUMMYFUNCTION("""COMPUTED_VALUE"""),"2013")</x:f>
      </x:c>
    </x:row>
    <x:row r="574" spans="1:10">
      <x:c r="A574" s="1" t="s">
        <x:v>583</x:v>
      </x:c>
      <x:c r="B574" s="1">
        <x:f>IFERROR(__xludf.DUMMYFUNCTION("""COMPUTED_VALUE"""),"Avions II Equip de rescat")</x:f>
      </x:c>
      <x:c r="C574" s="1">
        <x:f>IFERROR(__xludf.DUMMYFUNCTION("""COMPUTED_VALUE"""),"2014")</x:f>
      </x:c>
    </x:row>
    <x:row r="575" spans="1:10">
      <x:c r="A575" s="1" t="s">
        <x:v>584</x:v>
      </x:c>
      <x:c r="B575" s="1">
        <x:f>IFERROR(__xludf.DUMMYFUNCTION("""COMPUTED_VALUE"""),"Avril")</x:f>
      </x:c>
      <x:c r="C575" s="1">
        <x:f>IFERROR(__xludf.DUMMYFUNCTION("""COMPUTED_VALUE"""),"2006")</x:f>
      </x:c>
    </x:row>
    <x:row r="576" spans="1:10">
      <x:c r="A576" s="1" t="s">
        <x:v>585</x:v>
      </x:c>
      <x:c r="B576" s="1">
        <x:f>IFERROR(__xludf.DUMMYFUNCTION("""COMPUTED_VALUE"""),"Avui: 50 anys en portada")</x:f>
      </x:c>
      <x:c r="C576" s="1">
        <x:f>IFERROR(__xludf.DUMMYFUNCTION("""COMPUTED_VALUE"""),"2026")</x:f>
      </x:c>
    </x:row>
    <x:row r="577" spans="1:10">
      <x:c r="A577" s="1" t="s">
        <x:v>586</x:v>
      </x:c>
      <x:c r="B577" s="1">
        <x:f>IFERROR(__xludf.DUMMYFUNCTION("""COMPUTED_VALUE"""),"Awareness")</x:f>
      </x:c>
      <x:c r="C577" s="1">
        <x:f>IFERROR(__xludf.DUMMYFUNCTION("""COMPUTED_VALUE"""),"2023")</x:f>
      </x:c>
    </x:row>
    <x:row r="578" spans="1:10">
      <x:c r="A578" s="1" t="s">
        <x:v>587</x:v>
      </x:c>
      <x:c r="B578" s="1">
        <x:f>IFERROR(__xludf.DUMMYFUNCTION("""COMPUTED_VALUE"""),"Axel: el petit gran heroi")</x:f>
      </x:c>
      <x:c r="C578" s="1">
        <x:f>IFERROR(__xludf.DUMMYFUNCTION("""COMPUTED_VALUE"""),"2014")</x:f>
      </x:c>
    </x:row>
    <x:row r="579" spans="1:10">
      <x:c r="A579" s="1" t="s">
        <x:v>588</x:v>
      </x:c>
      <x:c r="B579" s="1">
        <x:f>IFERROR(__xludf.DUMMYFUNCTION("""COMPUTED_VALUE"""),"Aydinlar")</x:f>
      </x:c>
      <x:c r="C579" s="1">
        <x:f>IFERROR(__xludf.DUMMYFUNCTION("""COMPUTED_VALUE"""),"2020")</x:f>
      </x:c>
    </x:row>
    <x:row r="580" spans="1:10">
      <x:c r="A580" s="1" t="s">
        <x:v>589</x:v>
      </x:c>
      <x:c r="B580" s="1">
        <x:f>IFERROR(__xludf.DUMMYFUNCTION("""COMPUTED_VALUE"""),"Azaña")</x:f>
      </x:c>
      <x:c r="C580" s="1">
        <x:f>IFERROR(__xludf.DUMMYFUNCTION("""COMPUTED_VALUE"""),"2008")</x:f>
      </x:c>
    </x:row>
    <x:row r="581" spans="1:10">
      <x:c r="A581" s="1" t="s">
        <x:v>590</x:v>
      </x:c>
      <x:c r="B581" s="1">
        <x:f>IFERROR(__xludf.DUMMYFUNCTION("""COMPUTED_VALUE"""),"Azrael")</x:f>
      </x:c>
      <x:c r="C581" s="1">
        <x:f>IFERROR(__xludf.DUMMYFUNCTION("""COMPUTED_VALUE"""),"2024")</x:f>
      </x:c>
    </x:row>
    <x:row r="582" spans="1:10">
      <x:c r="A582" s="1" t="s">
        <x:v>591</x:v>
      </x:c>
      <x:c r="B582" s="1">
        <x:f>IFERROR(__xludf.DUMMYFUNCTION("""COMPUTED_VALUE"""),"Azur i Asmar")</x:f>
      </x:c>
      <x:c r="C582" s="1">
        <x:f>IFERROR(__xludf.DUMMYFUNCTION("""COMPUTED_VALUE"""),"2006")</x:f>
      </x:c>
    </x:row>
    <x:row r="583" spans="1:10">
      <x:c r="A583" s="1" t="s">
        <x:v>592</x:v>
      </x:c>
      <x:c r="B583" s="1">
        <x:f>IFERROR(__xludf.DUMMYFUNCTION("""COMPUTED_VALUE"""),"B9")</x:f>
      </x:c>
      <x:c r="C583" s="1">
        <x:f>IFERROR(__xludf.DUMMYFUNCTION("""COMPUTED_VALUE"""),"2026")</x:f>
      </x:c>
    </x:row>
    <x:row r="584" spans="1:10">
      <x:c r="A584" s="1" t="s">
        <x:v>593</x:v>
      </x:c>
      <x:c r="B584" s="1">
        <x:f>IFERROR(__xludf.DUMMYFUNCTION("""COMPUTED_VALUE"""),"Baaria")</x:f>
      </x:c>
      <x:c r="C584" s="1">
        <x:f>IFERROR(__xludf.DUMMYFUNCTION("""COMPUTED_VALUE"""),"2009")</x:f>
      </x:c>
    </x:row>
    <x:row r="585" spans="1:10">
      <x:c r="A585" s="1" t="s">
        <x:v>594</x:v>
      </x:c>
      <x:c r="B585" s="1">
        <x:f>IFERROR(__xludf.DUMMYFUNCTION("""COMPUTED_VALUE"""),"Babaouo")</x:f>
      </x:c>
      <x:c r="C585" s="1">
        <x:f>IFERROR(__xludf.DUMMYFUNCTION("""COMPUTED_VALUE"""),"2000")</x:f>
      </x:c>
    </x:row>
    <x:row r="586" spans="1:10">
      <x:c r="A586" s="1" t="s">
        <x:v>595</x:v>
      </x:c>
      <x:c r="B586" s="1">
        <x:f>IFERROR(__xludf.DUMMYFUNCTION("""COMPUTED_VALUE"""),"Babe, el porquet a la ciutat")</x:f>
      </x:c>
      <x:c r="C586" s="1">
        <x:f>IFERROR(__xludf.DUMMYFUNCTION("""COMPUTED_VALUE"""),"1998")</x:f>
      </x:c>
    </x:row>
    <x:row r="587" spans="1:10">
      <x:c r="A587" s="1" t="s">
        <x:v>596</x:v>
      </x:c>
      <x:c r="B587" s="1">
        <x:f>IFERROR(__xludf.DUMMYFUNCTION("""COMPUTED_VALUE"""),"Babe, el porquet valent")</x:f>
      </x:c>
      <x:c r="C587" s="1">
        <x:f>IFERROR(__xludf.DUMMYFUNCTION("""COMPUTED_VALUE"""),"1995")</x:f>
      </x:c>
    </x:row>
    <x:row r="588" spans="1:10">
      <x:c r="A588" s="1" t="s">
        <x:v>597</x:v>
      </x:c>
      <x:c r="B588" s="1">
        <x:f>IFERROR(__xludf.DUMMYFUNCTION("""COMPUTED_VALUE"""),"Baby Assassins")</x:f>
      </x:c>
      <x:c r="C588" s="1">
        <x:f>IFERROR(__xludf.DUMMYFUNCTION("""COMPUTED_VALUE"""),"2021")</x:f>
      </x:c>
    </x:row>
    <x:row r="589" spans="1:10">
      <x:c r="A589" s="1" t="s">
        <x:v>598</x:v>
      </x:c>
      <x:c r="B589" s="1">
        <x:f>IFERROR(__xludf.DUMMYFUNCTION("""COMPUTED_VALUE"""),"Babylon A.D.")</x:f>
      </x:c>
      <x:c r="C589" s="1">
        <x:f>IFERROR(__xludf.DUMMYFUNCTION("""COMPUTED_VALUE"""),"2008")</x:f>
      </x:c>
    </x:row>
    <x:row r="590" spans="1:10">
      <x:c r="A590" s="1" t="s">
        <x:v>599</x:v>
      </x:c>
      <x:c r="B590" s="1">
        <x:f>IFERROR(__xludf.DUMMYFUNCTION("""COMPUTED_VALUE"""),"Bach - La Passió segons Sant Joan")</x:f>
      </x:c>
      <x:c r="C590" s="1">
        <x:f>IFERROR(__xludf.DUMMYFUNCTION("""COMPUTED_VALUE"""),"2002")</x:f>
      </x:c>
    </x:row>
    <x:row r="591" spans="1:10">
      <x:c r="A591" s="1" t="s">
        <x:v>600</x:v>
      </x:c>
      <x:c r="B591" s="1">
        <x:f>IFERROR(__xludf.DUMMYFUNCTION("""COMPUTED_VALUE"""),"Bach i mil·lenari de Montserrat")</x:f>
      </x:c>
      <x:c r="C591" s="1">
        <x:f>IFERROR(__xludf.DUMMYFUNCTION("""COMPUTED_VALUE"""),"2025")</x:f>
      </x:c>
    </x:row>
    <x:row r="592" spans="1:10">
      <x:c r="A592" s="1" t="s">
        <x:v>601</x:v>
      </x:c>
      <x:c r="B592" s="1">
        <x:f>IFERROR(__xludf.DUMMYFUNCTION("""COMPUTED_VALUE"""),"Bad Santa")</x:f>
      </x:c>
      <x:c r="C592" s="1">
        <x:f>IFERROR(__xludf.DUMMYFUNCTION("""COMPUTED_VALUE"""),"2003")</x:f>
      </x:c>
    </x:row>
    <x:row r="593" spans="1:10">
      <x:c r="A593" s="1" t="s">
        <x:v>602</x:v>
      </x:c>
      <x:c r="B593" s="1">
        <x:f>IFERROR(__xludf.DUMMYFUNCTION("""COMPUTED_VALUE"""),"Bad Teacher")</x:f>
      </x:c>
      <x:c r="C593" s="1">
        <x:f>IFERROR(__xludf.DUMMYFUNCTION("""COMPUTED_VALUE"""),"2011")</x:f>
      </x:c>
    </x:row>
    <x:row r="594" spans="1:10">
      <x:c r="A594" s="1" t="s">
        <x:v>603</x:v>
      </x:c>
      <x:c r="B594" s="1">
        <x:f>IFERROR(__xludf.DUMMYFUNCTION("""COMPUTED_VALUE"""),"Bala de fogueig")</x:f>
      </x:c>
      <x:c r="C594" s="1">
        <x:f>IFERROR(__xludf.DUMMYFUNCTION("""COMPUTED_VALUE"""),"2010")</x:f>
      </x:c>
    </x:row>
    <x:row r="595" spans="1:10">
      <x:c r="A595" s="1" t="s">
        <x:v>604</x:v>
      </x:c>
      <x:c r="B595" s="1">
        <x:f>IFERROR(__xludf.DUMMYFUNCTION("""COMPUTED_VALUE"""),"Balandrau, infern glaçat")</x:f>
      </x:c>
      <x:c r="C595" s="1">
        <x:f>IFERROR(__xludf.DUMMYFUNCTION("""COMPUTED_VALUE"""),"2021")</x:f>
      </x:c>
    </x:row>
    <x:row r="596" spans="1:10">
      <x:c r="A596" s="1" t="s">
        <x:v>605</x:v>
      </x:c>
      <x:c r="B596" s="1">
        <x:f>IFERROR(__xludf.DUMMYFUNCTION("""COMPUTED_VALUE"""),"Balansiya")</x:f>
      </x:c>
      <x:c r="C596" s="1">
        <x:f>IFERROR(__xludf.DUMMYFUNCTION("""COMPUTED_VALUE"""),"2024")</x:f>
      </x:c>
    </x:row>
    <x:row r="597" spans="1:10">
      <x:c r="A597" s="1" t="s">
        <x:v>606</x:v>
      </x:c>
      <x:c r="B597" s="1">
        <x:f>IFERROR(__xludf.DUMMYFUNCTION("""COMPUTED_VALUE"""),"Bales sobre Broadway")</x:f>
      </x:c>
      <x:c r="C597" s="1">
        <x:f>IFERROR(__xludf.DUMMYFUNCTION("""COMPUTED_VALUE"""),"1994")</x:f>
      </x:c>
    </x:row>
    <x:row r="598" spans="1:10">
      <x:c r="A598" s="1" t="s">
        <x:v>607</x:v>
      </x:c>
      <x:c r="B598" s="1">
        <x:f>IFERROR(__xludf.DUMMYFUNCTION("""COMPUTED_VALUE"""),"Ballant amb llops")</x:f>
      </x:c>
      <x:c r="C598" s="1">
        <x:f>IFERROR(__xludf.DUMMYFUNCTION("""COMPUTED_VALUE"""),"1990")</x:f>
      </x:c>
    </x:row>
    <x:row r="599" spans="1:10">
      <x:c r="A599" s="1" t="s">
        <x:v>608</x:v>
      </x:c>
      <x:c r="B599" s="1">
        <x:f>IFERROR(__xludf.DUMMYFUNCTION("""COMPUTED_VALUE"""),"Ballant la vida")</x:f>
      </x:c>
      <x:c r="C599" s="1">
        <x:f>IFERROR(__xludf.DUMMYFUNCTION("""COMPUTED_VALUE"""),"2017")</x:f>
      </x:c>
    </x:row>
    <x:row r="600" spans="1:10">
      <x:c r="A600" s="1" t="s">
        <x:v>609</x:v>
      </x:c>
      <x:c r="B600" s="1">
        <x:f>IFERROR(__xludf.DUMMYFUNCTION("""COMPUTED_VALUE"""),"Ballem?")</x:f>
      </x:c>
      <x:c r="C600" s="1">
        <x:f>IFERROR(__xludf.DUMMYFUNCTION("""COMPUTED_VALUE"""),"2004")</x:f>
      </x:c>
    </x:row>
    <x:row r="601" spans="1:10">
      <x:c r="A601" s="1" t="s">
        <x:v>610</x:v>
      </x:c>
      <x:c r="B601" s="1">
        <x:f>IFERROR(__xludf.DUMMYFUNCTION("""COMPUTED_VALUE"""),"Ballerina")</x:f>
      </x:c>
      <x:c r="C601" s="1">
        <x:f>IFERROR(__xludf.DUMMYFUNCTION("""COMPUTED_VALUE"""),"2016")</x:f>
      </x:c>
    </x:row>
    <x:row r="602" spans="1:10">
      <x:c r="A602" s="1" t="s">
        <x:v>611</x:v>
      </x:c>
      <x:c r="B602" s="1">
        <x:f>IFERROR(__xludf.DUMMYFUNCTION("""COMPUTED_VALUE"""),"Balto: La llegenda del gos esquimal")</x:f>
      </x:c>
      <x:c r="C602" s="1">
        <x:f>IFERROR(__xludf.DUMMYFUNCTION("""COMPUTED_VALUE"""),"1995")</x:f>
      </x:c>
    </x:row>
    <x:row r="603" spans="1:10">
      <x:c r="A603" s="1" t="s">
        <x:v>612</x:v>
      </x:c>
      <x:c r="B603" s="1">
        <x:f>IFERROR(__xludf.DUMMYFUNCTION("""COMPUTED_VALUE"""),"Bambi, una vida al bosc")</x:f>
      </x:c>
      <x:c r="C603" s="1">
        <x:f>IFERROR(__xludf.DUMMYFUNCTION("""COMPUTED_VALUE"""),"2024")</x:f>
      </x:c>
    </x:row>
    <x:row r="604" spans="1:10">
      <x:c r="A604" s="1" t="s">
        <x:v>613</x:v>
      </x:c>
      <x:c r="B604" s="1">
        <x:f>IFERROR(__xludf.DUMMYFUNCTION("""COMPUTED_VALUE"""),"Bambi: La venjança")</x:f>
      </x:c>
      <x:c r="C604" s="1">
        <x:f>IFERROR(__xludf.DUMMYFUNCTION("""COMPUTED_VALUE"""),"2025")</x:f>
      </x:c>
    </x:row>
    <x:row r="605" spans="1:10">
      <x:c r="A605" s="1" t="s">
        <x:v>614</x:v>
      </x:c>
      <x:c r="B605" s="1">
        <x:f>IFERROR(__xludf.DUMMYFUNCTION("""COMPUTED_VALUE"""),"Banda a part [VOSC]")</x:f>
      </x:c>
      <x:c r="C605" s="1">
        <x:f>IFERROR(__xludf.DUMMYFUNCTION("""COMPUTED_VALUE"""),"1964")</x:f>
      </x:c>
    </x:row>
    <x:row r="606" spans="1:10">
      <x:c r="A606" s="1" t="s">
        <x:v>615</x:v>
      </x:c>
      <x:c r="B606" s="1">
        <x:f>IFERROR(__xludf.DUMMYFUNCTION("""COMPUTED_VALUE"""),"Bandar Band [VOSC]")</x:f>
      </x:c>
      <x:c r="C606" s="1">
        <x:f>IFERROR(__xludf.DUMMYFUNCTION("""COMPUTED_VALUE"""),"2020")</x:f>
      </x:c>
    </x:row>
    <x:row r="607" spans="1:10">
      <x:c r="A607" s="1" t="s">
        <x:v>616</x:v>
      </x:c>
      <x:c r="B607" s="1">
        <x:f>IFERROR(__xludf.DUMMYFUNCTION("""COMPUTED_VALUE"""),"Banderes dels nostres pares")</x:f>
      </x:c>
      <x:c r="C607" s="1">
        <x:f>IFERROR(__xludf.DUMMYFUNCTION("""COMPUTED_VALUE"""),"2006")</x:f>
      </x:c>
    </x:row>
    <x:row r="608" spans="1:10">
      <x:c r="A608" s="1" t="s">
        <x:v>617</x:v>
      </x:c>
      <x:c r="B608" s="1">
        <x:f>IFERROR(__xludf.DUMMYFUNCTION("""COMPUTED_VALUE"""),"Bandides")</x:f>
      </x:c>
      <x:c r="C608" s="1">
        <x:f>IFERROR(__xludf.DUMMYFUNCTION("""COMPUTED_VALUE"""),"2006")</x:f>
      </x:c>
    </x:row>
    <x:row r="609" spans="1:10">
      <x:c r="A609" s="1" t="s">
        <x:v>618</x:v>
      </x:c>
      <x:c r="B609" s="1">
        <x:f>IFERROR(__xludf.DUMMYFUNCTION("""COMPUTED_VALUE"""),"Bandido")</x:f>
      </x:c>
      <x:c r="C609" s="1">
        <x:f>IFERROR(__xludf.DUMMYFUNCTION("""COMPUTED_VALUE"""),"1956")</x:f>
      </x:c>
    </x:row>
    <x:row r="610" spans="1:10">
      <x:c r="A610" s="1" t="s">
        <x:v>619</x:v>
      </x:c>
      <x:c r="B610" s="1">
        <x:f>IFERROR(__xludf.DUMMYFUNCTION("""COMPUTED_VALUE"""),"Bangkok Dangerous")</x:f>
      </x:c>
      <x:c r="C610" s="1">
        <x:f>IFERROR(__xludf.DUMMYFUNCTION("""COMPUTED_VALUE"""),"2008")</x:f>
      </x:c>
    </x:row>
    <x:row r="611" spans="1:10">
      <x:c r="A611" s="1" t="s">
        <x:v>620</x:v>
      </x:c>
      <x:c r="B611" s="1">
        <x:f>IFERROR(__xludf.DUMMYFUNCTION("""COMPUTED_VALUE"""),"Banksy, el més buscat")</x:f>
      </x:c>
      <x:c r="C611" s="1">
        <x:f>IFERROR(__xludf.DUMMYFUNCTION("""COMPUTED_VALUE"""),"2020")</x:f>
      </x:c>
    </x:row>
    <x:row r="612" spans="1:10">
      <x:c r="A612" s="1" t="s">
        <x:v>621</x:v>
      </x:c>
      <x:c r="B612" s="1">
        <x:f>IFERROR(__xludf.DUMMYFUNCTION("""COMPUTED_VALUE"""),"Bar-cel-ona")</x:f>
      </x:c>
      <x:c r="C612" s="1">
        <x:f>IFERROR(__xludf.DUMMYFUNCTION("""COMPUTED_VALUE"""),"1987")</x:f>
      </x:c>
    </x:row>
    <x:row r="613" spans="1:10">
      <x:c r="A613" s="1" t="s">
        <x:v>622</x:v>
      </x:c>
      <x:c r="B613" s="1">
        <x:f>IFERROR(__xludf.DUMMYFUNCTION("""COMPUTED_VALUE"""),"Baraka")</x:f>
      </x:c>
      <x:c r="C613" s="1">
        <x:f>IFERROR(__xludf.DUMMYFUNCTION("""COMPUTED_VALUE"""),"1992")</x:f>
      </x:c>
    </x:row>
    <x:row r="614" spans="1:10">
      <x:c r="A614" s="1" t="s">
        <x:v>623</x:v>
      </x:c>
      <x:c r="B614" s="1">
        <x:f>IFERROR(__xludf.DUMMYFUNCTION("""COMPUTED_VALUE"""),"Barbablava")</x:f>
      </x:c>
      <x:c r="C614" s="1">
        <x:f>IFERROR(__xludf.DUMMYFUNCTION("""COMPUTED_VALUE"""),"1944")</x:f>
      </x:c>
    </x:row>
    <x:row r="615" spans="1:10">
      <x:c r="A615" s="1" t="s">
        <x:v>624</x:v>
      </x:c>
      <x:c r="B615" s="1">
        <x:f>IFERROR(__xludf.DUMMYFUNCTION("""COMPUTED_VALUE"""),"Barbacoa d'amics")</x:f>
      </x:c>
      <x:c r="C615" s="1">
        <x:f>IFERROR(__xludf.DUMMYFUNCTION("""COMPUTED_VALUE"""),"2014")</x:f>
      </x:c>
    </x:row>
    <x:row r="616" spans="1:10">
      <x:c r="A616" s="1" t="s">
        <x:v>625</x:v>
      </x:c>
      <x:c r="B616" s="1">
        <x:f>IFERROR(__xludf.DUMMYFUNCTION("""COMPUTED_VALUE"""),"Barbara")</x:f>
      </x:c>
      <x:c r="C616" s="1">
        <x:f>IFERROR(__xludf.DUMMYFUNCTION("""COMPUTED_VALUE"""),"2012")</x:f>
      </x:c>
    </x:row>
    <x:row r="617" spans="1:10">
      <x:c r="A617" s="1" t="s">
        <x:v>626</x:v>
      </x:c>
      <x:c r="B617" s="1">
        <x:f>IFERROR(__xludf.DUMMYFUNCTION("""COMPUTED_VALUE"""),"Barbie")</x:f>
      </x:c>
      <x:c r="C617" s="1">
        <x:f>IFERROR(__xludf.DUMMYFUNCTION("""COMPUTED_VALUE"""),"2023")</x:f>
      </x:c>
    </x:row>
    <x:row r="618" spans="1:10">
      <x:c r="A618" s="1" t="s">
        <x:v>627</x:v>
      </x:c>
      <x:c r="B618" s="1">
        <x:f>IFERROR(__xludf.DUMMYFUNCTION("""COMPUTED_VALUE"""),"Barcelona")</x:f>
      </x:c>
      <x:c r="C618" s="1">
        <x:f>IFERROR(__xludf.DUMMYFUNCTION("""COMPUTED_VALUE"""),"2013")</x:f>
      </x:c>
    </x:row>
    <x:row r="619" spans="1:10">
      <x:c r="A619" s="1" t="s">
        <x:v>628</x:v>
      </x:c>
      <x:c r="B619" s="1">
        <x:f>IFERROR(__xludf.DUMMYFUNCTION("""COMPUTED_VALUE"""),"Barcelona [un mapa]")</x:f>
      </x:c>
      <x:c r="C619" s="1">
        <x:f>IFERROR(__xludf.DUMMYFUNCTION("""COMPUTED_VALUE"""),"2007")</x:f>
      </x:c>
    </x:row>
    <x:row r="620" spans="1:10">
      <x:c r="A620" s="1" t="s">
        <x:v>629</x:v>
      </x:c>
      <x:c r="B620" s="1">
        <x:f>IFERROR(__xludf.DUMMYFUNCTION("""COMPUTED_VALUE"""),"Barcelona 1714")</x:f>
      </x:c>
      <x:c r="C620" s="1">
        <x:f>IFERROR(__xludf.DUMMYFUNCTION("""COMPUTED_VALUE"""),"2019")</x:f>
      </x:c>
    </x:row>
    <x:row r="621" spans="1:10">
      <x:c r="A621" s="1" t="s">
        <x:v>630</x:v>
      </x:c>
      <x:c r="B621" s="1">
        <x:f>IFERROR(__xludf.DUMMYFUNCTION("""COMPUTED_VALUE"""),"Barcelona Connection")</x:f>
      </x:c>
      <x:c r="C621" s="1">
        <x:f>IFERROR(__xludf.DUMMYFUNCTION("""COMPUTED_VALUE"""),"1988")</x:f>
      </x:c>
    </x:row>
    <x:row r="622" spans="1:10">
      <x:c r="A622" s="1" t="s">
        <x:v>631</x:v>
      </x:c>
      <x:c r="B622" s="1">
        <x:f>IFERROR(__xludf.DUMMYFUNCTION("""COMPUTED_VALUE"""),"Barcelona sud")</x:f>
      </x:c>
      <x:c r="C622" s="1">
        <x:f>IFERROR(__xludf.DUMMYFUNCTION("""COMPUTED_VALUE"""),"1981")</x:f>
      </x:c>
    </x:row>
    <x:row r="623" spans="1:10">
      <x:c r="A623" s="1" t="s">
        <x:v>632</x:v>
      </x:c>
      <x:c r="B623" s="1">
        <x:f>IFERROR(__xludf.DUMMYFUNCTION("""COMPUTED_VALUE"""),"Barcelona, Abans que el temps ho esborri")</x:f>
      </x:c>
      <x:c r="C623" s="1">
        <x:f>IFERROR(__xludf.DUMMYFUNCTION("""COMPUTED_VALUE"""),"2010")</x:f>
      </x:c>
    </x:row>
    <x:row r="624" spans="1:10">
      <x:c r="A624" s="1" t="s">
        <x:v>633</x:v>
      </x:c>
      <x:c r="B624" s="1">
        <x:f>IFERROR(__xludf.DUMMYFUNCTION("""COMPUTED_VALUE"""),"Barcelona, Any 39: Arriba Franco")</x:f>
      </x:c>
      <x:c r="C624" s="1">
        <x:f>IFERROR(__xludf.DUMMYFUNCTION("""COMPUTED_VALUE"""),"2014")</x:f>
      </x:c>
    </x:row>
    <x:row r="625" spans="1:10">
      <x:c r="A625" s="1" t="s">
        <x:v>634</x:v>
      </x:c>
      <x:c r="B625" s="1">
        <x:f>IFERROR(__xludf.DUMMYFUNCTION("""COMPUTED_VALUE"""),"Barcelona, la rosa de foc")</x:f>
      </x:c>
      <x:c r="C625" s="1">
        <x:f>IFERROR(__xludf.DUMMYFUNCTION("""COMPUTED_VALUE"""),"2014")</x:f>
      </x:c>
    </x:row>
    <x:row r="626" spans="1:10">
      <x:c r="A626" s="1" t="s">
        <x:v>635</x:v>
      </x:c>
      <x:c r="B626" s="1">
        <x:f>IFERROR(__xludf.DUMMYFUNCTION("""COMPUTED_VALUE"""),"Barcelona, nit d'estiu")</x:f>
      </x:c>
      <x:c r="C626" s="1">
        <x:f>IFERROR(__xludf.DUMMYFUNCTION("""COMPUTED_VALUE"""),"2013")</x:f>
      </x:c>
    </x:row>
    <x:row r="627" spans="1:10">
      <x:c r="A627" s="1" t="s">
        <x:v>636</x:v>
      </x:c>
      <x:c r="B627" s="1">
        <x:f>IFERROR(__xludf.DUMMYFUNCTION("""COMPUTED_VALUE"""),"Barcelona, nit d'hivern")</x:f>
      </x:c>
      <x:c r="C627" s="1">
        <x:f>IFERROR(__xludf.DUMMYFUNCTION("""COMPUTED_VALUE"""),"2015")</x:f>
      </x:c>
    </x:row>
    <x:row r="628" spans="1:10">
      <x:c r="A628" s="1" t="s">
        <x:v>637</x:v>
      </x:c>
      <x:c r="B628" s="1">
        <x:f>IFERROR(__xludf.DUMMYFUNCTION("""COMPUTED_VALUE"""),"Barra lliure")</x:f>
      </x:c>
      <x:c r="C628" s="1">
        <x:f>IFERROR(__xludf.DUMMYFUNCTION("""COMPUTED_VALUE"""),"2019")</x:f>
      </x:c>
    </x:row>
    <x:row r="629" spans="1:10">
      <x:c r="A629" s="1" t="s">
        <x:v>638</x:v>
      </x:c>
      <x:c r="B629" s="1">
        <x:f>IFERROR(__xludf.DUMMYFUNCTION("""COMPUTED_VALUE"""),"Barrabàs")</x:f>
      </x:c>
      <x:c r="C629" s="1">
        <x:f>IFERROR(__xludf.DUMMYFUNCTION("""COMPUTED_VALUE"""),"1962")</x:f>
      </x:c>
    </x:row>
    <x:row r="630" spans="1:10">
      <x:c r="A630" s="1" t="s">
        <x:v>639</x:v>
      </x:c>
      <x:c r="B630" s="1">
        <x:f>IFERROR(__xludf.DUMMYFUNCTION("""COMPUTED_VALUE"""),"Barrufets")</x:f>
      </x:c>
      <x:c r="C630" s="1">
        <x:f>IFERROR(__xludf.DUMMYFUNCTION("""COMPUTED_VALUE"""),"2025")</x:f>
      </x:c>
    </x:row>
    <x:row r="631" spans="1:10">
      <x:c r="A631" s="1" t="s">
        <x:v>640</x:v>
      </x:c>
      <x:c r="B631" s="1">
        <x:f>IFERROR(__xludf.DUMMYFUNCTION("""COMPUTED_VALUE"""),"Barry Lyndon [VOSC]")</x:f>
      </x:c>
      <x:c r="C631" s="1">
        <x:f>IFERROR(__xludf.DUMMYFUNCTION("""COMPUTED_VALUE"""),"1975")</x:f>
      </x:c>
    </x:row>
    <x:row r="632" spans="1:10">
      <x:c r="A632" s="1" t="s">
        <x:v>641</x:v>
      </x:c>
      <x:c r="B632" s="1">
        <x:f>IFERROR(__xludf.DUMMYFUNCTION("""COMPUTED_VALUE"""),"Barton Fink")</x:f>
      </x:c>
      <x:c r="C632" s="1">
        <x:f>IFERROR(__xludf.DUMMYFUNCTION("""COMPUTED_VALUE"""),"1991")</x:f>
      </x:c>
    </x:row>
    <x:row r="633" spans="1:10">
      <x:c r="A633" s="1" t="s">
        <x:v>642</x:v>
      </x:c>
      <x:c r="B633" s="1">
        <x:f>IFERROR(__xludf.DUMMYFUNCTION("""COMPUTED_VALUE"""),"Basada en fets reals")</x:f>
      </x:c>
      <x:c r="C633" s="1">
        <x:f>IFERROR(__xludf.DUMMYFUNCTION("""COMPUTED_VALUE"""),"2017")</x:f>
      </x:c>
    </x:row>
    <x:row r="634" spans="1:10">
      <x:c r="A634" s="1" t="s">
        <x:v>643</x:v>
      </x:c>
      <x:c r="B634" s="1">
        <x:f>IFERROR(__xludf.DUMMYFUNCTION("""COMPUTED_VALUE"""),"Basia")</x:f>
      </x:c>
      <x:c r="C634" s="1">
        <x:f>IFERROR(__xludf.DUMMYFUNCTION("""COMPUTED_VALUE"""),"2018")</x:f>
      </x:c>
    </x:row>
    <x:row r="635" spans="1:10">
      <x:c r="A635" s="1" t="s">
        <x:v>644</x:v>
      </x:c>
      <x:c r="B635" s="1">
        <x:f>IFERROR(__xludf.DUMMYFUNCTION("""COMPUTED_VALUE"""),"Basic")</x:f>
      </x:c>
      <x:c r="C635" s="1">
        <x:f>IFERROR(__xludf.DUMMYFUNCTION("""COMPUTED_VALUE"""),"2003")</x:f>
      </x:c>
    </x:row>
    <x:row r="636" spans="1:10">
      <x:c r="A636" s="1" t="s">
        <x:v>645</x:v>
      </x:c>
      <x:c r="B636" s="1">
        <x:f>IFERROR(__xludf.DUMMYFUNCTION("""COMPUTED_VALUE"""),"Bàsil,el ratolí detectiu")</x:f>
      </x:c>
      <x:c r="C636" s="1">
        <x:f>IFERROR(__xludf.DUMMYFUNCTION("""COMPUTED_VALUE"""),"1986")</x:f>
      </x:c>
    </x:row>
    <x:row r="637" spans="1:10">
      <x:c r="A637" s="1" t="s">
        <x:v>646</x:v>
      </x:c>
      <x:c r="B637" s="1">
        <x:f>IFERROR(__xludf.DUMMYFUNCTION("""COMPUTED_VALUE"""),"Batalla a l'espai exterior")</x:f>
      </x:c>
      <x:c r="C637" s="1">
        <x:f>IFERROR(__xludf.DUMMYFUNCTION("""COMPUTED_VALUE"""),"1959")</x:f>
      </x:c>
    </x:row>
    <x:row r="638" spans="1:10">
      <x:c r="A638" s="1" t="s">
        <x:v>647</x:v>
      </x:c>
      <x:c r="B638" s="1">
        <x:f>IFERROR(__xludf.DUMMYFUNCTION("""COMPUTED_VALUE"""),"Batalla a Seattle")</x:f>
      </x:c>
      <x:c r="C638" s="1">
        <x:f>IFERROR(__xludf.DUMMYFUNCTION("""COMPUTED_VALUE"""),"2007")</x:f>
      </x:c>
    </x:row>
    <x:row r="639" spans="1:10">
      <x:c r="A639" s="1" t="s">
        <x:v>648</x:v>
      </x:c>
      <x:c r="B639" s="1">
        <x:f>IFERROR(__xludf.DUMMYFUNCTION("""COMPUTED_VALUE"""),"Batalla de reines")</x:f>
      </x:c>
      <x:c r="C639" s="1">
        <x:f>IFERROR(__xludf.DUMMYFUNCTION("""COMPUTED_VALUE"""),"1985")</x:f>
      </x:c>
    </x:row>
    <x:row r="640" spans="1:10">
      <x:c r="A640" s="1" t="s">
        <x:v>649</x:v>
      </x:c>
      <x:c r="B640" s="1">
        <x:f>IFERROR(__xludf.DUMMYFUNCTION("""COMPUTED_VALUE"""),"Batalles mutants. L'heroïna fantasma")</x:f>
      </x:c>
      <x:c r="C640" s="1">
        <x:f>IFERROR(__xludf.DUMMYFUNCTION("""COMPUTED_VALUE"""),"2022")</x:f>
      </x:c>
    </x:row>
    <x:row r="641" spans="1:10">
      <x:c r="A641" s="1" t="s">
        <x:v>650</x:v>
      </x:c>
      <x:c r="B641" s="1">
        <x:f>IFERROR(__xludf.DUMMYFUNCTION("""COMPUTED_VALUE"""),"Batman")</x:f>
      </x:c>
      <x:c r="C641" s="1">
        <x:f>IFERROR(__xludf.DUMMYFUNCTION("""COMPUTED_VALUE"""),"1989")</x:f>
      </x:c>
    </x:row>
    <x:row r="642" spans="1:10">
      <x:c r="A642" s="1" t="s">
        <x:v>651</x:v>
      </x:c>
      <x:c r="B642" s="1">
        <x:f>IFERROR(__xludf.DUMMYFUNCTION("""COMPUTED_VALUE"""),"Batman Begins")</x:f>
      </x:c>
      <x:c r="C642" s="1">
        <x:f>IFERROR(__xludf.DUMMYFUNCTION("""COMPUTED_VALUE"""),"2005")</x:f>
      </x:c>
    </x:row>
    <x:row r="643" spans="1:10">
      <x:c r="A643" s="1" t="s">
        <x:v>652</x:v>
      </x:c>
      <x:c r="B643" s="1">
        <x:f>IFERROR(__xludf.DUMMYFUNCTION("""COMPUTED_VALUE"""),"Batman contra Superman: l'alba de la justícia")</x:f>
      </x:c>
      <x:c r="C643" s="1">
        <x:f>IFERROR(__xludf.DUMMYFUNCTION("""COMPUTED_VALUE"""),"2016")</x:f>
      </x:c>
    </x:row>
    <x:row r="644" spans="1:10">
      <x:c r="A644" s="1" t="s">
        <x:v>653</x:v>
      </x:c>
      <x:c r="B644" s="1">
        <x:f>IFERROR(__xludf.DUMMYFUNCTION("""COMPUTED_VALUE"""),"Batman forever")</x:f>
      </x:c>
      <x:c r="C644" s="1">
        <x:f>IFERROR(__xludf.DUMMYFUNCTION("""COMPUTED_VALUE"""),"1995")</x:f>
      </x:c>
    </x:row>
    <x:row r="645" spans="1:10">
      <x:c r="A645" s="1" t="s">
        <x:v>654</x:v>
      </x:c>
      <x:c r="B645" s="1">
        <x:f>IFERROR(__xludf.DUMMYFUNCTION("""COMPUTED_VALUE"""),"Batman i Robin")</x:f>
      </x:c>
      <x:c r="C645" s="1">
        <x:f>IFERROR(__xludf.DUMMYFUNCTION("""COMPUTED_VALUE"""),"1997")</x:f>
      </x:c>
    </x:row>
    <x:row r="646" spans="1:10">
      <x:c r="A646" s="1" t="s">
        <x:v>655</x:v>
      </x:c>
      <x:c r="B646" s="1">
        <x:f>IFERROR(__xludf.DUMMYFUNCTION("""COMPUTED_VALUE"""),"Batman. La LEGO pel·lícula")</x:f>
      </x:c>
      <x:c r="C646" s="1">
        <x:f>IFERROR(__xludf.DUMMYFUNCTION("""COMPUTED_VALUE"""),"2017")</x:f>
      </x:c>
    </x:row>
    <x:row r="647" spans="1:10">
      <x:c r="A647" s="1" t="s">
        <x:v>656</x:v>
      </x:c>
      <x:c r="B647" s="1">
        <x:f>IFERROR(__xludf.DUMMYFUNCTION("""COMPUTED_VALUE"""),"Battleship")</x:f>
      </x:c>
      <x:c r="C647" s="1">
        <x:f>IFERROR(__xludf.DUMMYFUNCTION("""COMPUTED_VALUE"""),"2012")</x:f>
      </x:c>
    </x:row>
    <x:row r="648" spans="1:10">
      <x:c r="A648" s="1" t="s">
        <x:v>657</x:v>
      </x:c>
      <x:c r="B648" s="1">
        <x:f>IFERROR(__xludf.DUMMYFUNCTION("""COMPUTED_VALUE"""),"BCN Knockout! [VOSC]")</x:f>
      </x:c>
      <x:c r="C648" s="1">
        <x:f>IFERROR(__xludf.DUMMYFUNCTION("""COMPUTED_VALUE"""),"2013")</x:f>
      </x:c>
    </x:row>
    <x:row r="649" spans="1:10">
      <x:c r="A649" s="1" t="s">
        <x:v>658</x:v>
      </x:c>
      <x:c r="B649" s="1">
        <x:f>IFERROR(__xludf.DUMMYFUNCTION("""COMPUTED_VALUE"""),"Be Happy!")</x:f>
      </x:c>
      <x:c r="C649" s="1">
        <x:f>IFERROR(__xludf.DUMMYFUNCTION("""COMPUTED_VALUE"""),"2019")</x:f>
      </x:c>
    </x:row>
    <x:row r="650" spans="1:10">
      <x:c r="A650" s="1" t="s">
        <x:v>659</x:v>
      </x:c>
      <x:c r="B650" s="1">
        <x:f>IFERROR(__xludf.DUMMYFUNCTION("""COMPUTED_VALUE"""),"Beach House")</x:f>
      </x:c>
      <x:c r="C650" s="1">
        <x:f>IFERROR(__xludf.DUMMYFUNCTION("""COMPUTED_VALUE"""),"2023")</x:f>
      </x:c>
    </x:row>
    <x:row r="651" spans="1:10">
      <x:c r="A651" s="1" t="s">
        <x:v>660</x:v>
      </x:c>
      <x:c r="B651" s="1">
        <x:f>IFERROR(__xludf.DUMMYFUNCTION("""COMPUTED_VALUE"""),"Bean")</x:f>
      </x:c>
      <x:c r="C651" s="1">
        <x:f>IFERROR(__xludf.DUMMYFUNCTION("""COMPUTED_VALUE"""),"1997")</x:f>
      </x:c>
    </x:row>
    <x:row r="652" spans="1:10">
      <x:c r="A652" s="1" t="s">
        <x:v>661</x:v>
      </x:c>
      <x:c r="B652" s="1">
        <x:f>IFERROR(__xludf.DUMMYFUNCTION("""COMPUTED_VALUE"""),"Bearn o La sala de les nines")</x:f>
      </x:c>
      <x:c r="C652" s="1">
        <x:f>IFERROR(__xludf.DUMMYFUNCTION("""COMPUTED_VALUE"""),"1983")</x:f>
      </x:c>
    </x:row>
    <x:row r="653" spans="1:10">
      <x:c r="A653" s="1" t="s">
        <x:v>662</x:v>
      </x:c>
      <x:c r="B653" s="1">
        <x:f>IFERROR(__xludf.DUMMYFUNCTION("""COMPUTED_VALUE"""),"Beatriz Barcelona")</x:f>
      </x:c>
      <x:c r="C653" s="1">
        <x:f>IFERROR(__xludf.DUMMYFUNCTION("""COMPUTED_VALUE"""),"2006")</x:f>
      </x:c>
    </x:row>
    <x:row r="654" spans="1:10">
      <x:c r="A654" s="1" t="s">
        <x:v>663</x:v>
      </x:c>
      <x:c r="B654" s="1">
        <x:f>IFERROR(__xludf.DUMMYFUNCTION("""COMPUTED_VALUE"""),"Beautiful Boxer")</x:f>
      </x:c>
      <x:c r="C654" s="1">
        <x:f>IFERROR(__xludf.DUMMYFUNCTION("""COMPUTED_VALUE"""),"2004")</x:f>
      </x:c>
    </x:row>
    <x:row r="655" spans="1:10">
      <x:c r="A655" s="1" t="s">
        <x:v>664</x:v>
      </x:c>
      <x:c r="B655" s="1">
        <x:f>IFERROR(__xludf.DUMMYFUNCTION("""COMPUTED_VALUE"""),"Beautiful boy: Sempre seràs el meu fill")</x:f>
      </x:c>
      <x:c r="C655" s="1">
        <x:f>IFERROR(__xludf.DUMMYFUNCTION("""COMPUTED_VALUE"""),"2018")</x:f>
      </x:c>
    </x:row>
    <x:row r="656" spans="1:10">
      <x:c r="A656" s="1" t="s">
        <x:v>665</x:v>
      </x:c>
      <x:c r="B656" s="1">
        <x:f>IFERROR(__xludf.DUMMYFUNCTION("""COMPUTED_VALUE"""),"Beautiful girls")</x:f>
      </x:c>
      <x:c r="C656" s="1">
        <x:f>IFERROR(__xludf.DUMMYFUNCTION("""COMPUTED_VALUE"""),"1996")</x:f>
      </x:c>
    </x:row>
    <x:row r="657" spans="1:10">
      <x:c r="A657" s="1" t="s">
        <x:v>666</x:v>
      </x:c>
      <x:c r="B657" s="1">
        <x:f>IFERROR(__xludf.DUMMYFUNCTION("""COMPUTED_VALUE"""),"Becket")</x:f>
      </x:c>
      <x:c r="C657" s="1">
        <x:f>IFERROR(__xludf.DUMMYFUNCTION("""COMPUTED_VALUE"""),"1964")</x:f>
      </x:c>
    </x:row>
    <x:row r="658" spans="1:10">
      <x:c r="A658" s="1" t="s">
        <x:v>667</x:v>
      </x:c>
      <x:c r="B658" s="1">
        <x:f>IFERROR(__xludf.DUMMYFUNCTION("""COMPUTED_VALUE"""),"Bee Movie")</x:f>
      </x:c>
      <x:c r="C658" s="1">
        <x:f>IFERROR(__xludf.DUMMYFUNCTION("""COMPUTED_VALUE"""),"2007")</x:f>
      </x:c>
    </x:row>
    <x:row r="659" spans="1:10">
      <x:c r="A659" s="1" t="s">
        <x:v>668</x:v>
      </x:c>
      <x:c r="B659" s="1">
        <x:f>IFERROR(__xludf.DUMMYFUNCTION("""COMPUTED_VALUE"""),"Beekeeper: El protector")</x:f>
      </x:c>
      <x:c r="C659" s="1">
        <x:f>IFERROR(__xludf.DUMMYFUNCTION("""COMPUTED_VALUE"""),"2024")</x:f>
      </x:c>
    </x:row>
    <x:row r="660" spans="1:10">
      <x:c r="A660" s="1" t="s">
        <x:v>669</x:v>
      </x:c>
      <x:c r="B660" s="1">
        <x:f>IFERROR(__xludf.DUMMYFUNCTION("""COMPUTED_VALUE"""),"Beethoven - Simfonies 7 i 8")</x:f>
      </x:c>
      <x:c r="C660" s="1">
        <x:f>IFERROR(__xludf.DUMMYFUNCTION("""COMPUTED_VALUE"""),"2017")</x:f>
      </x:c>
    </x:row>
    <x:row r="661" spans="1:10">
      <x:c r="A661" s="1" t="s">
        <x:v>670</x:v>
      </x:c>
      <x:c r="B661" s="1">
        <x:f>IFERROR(__xludf.DUMMYFUNCTION("""COMPUTED_VALUE"""),"Beetlejuice")</x:f>
      </x:c>
      <x:c r="C661" s="1">
        <x:f>IFERROR(__xludf.DUMMYFUNCTION("""COMPUTED_VALUE"""),"1988")</x:f>
      </x:c>
    </x:row>
    <x:row r="662" spans="1:10">
      <x:c r="A662" s="1" t="s">
        <x:v>671</x:v>
      </x:c>
      <x:c r="B662" s="1">
        <x:f>IFERROR(__xludf.DUMMYFUNCTION("""COMPUTED_VALUE"""),"Beetlejuice Beetlejuice")</x:f>
      </x:c>
      <x:c r="C662" s="1">
        <x:f>IFERROR(__xludf.DUMMYFUNCTION("""COMPUTED_VALUE"""),"2024")</x:f>
      </x:c>
    </x:row>
    <x:row r="663" spans="1:10">
      <x:c r="A663" s="1" t="s">
        <x:v>672</x:v>
      </x:c>
      <x:c r="B663" s="1">
        <x:f>IFERROR(__xludf.DUMMYFUNCTION("""COMPUTED_VALUE"""),"Begin Again")</x:f>
      </x:c>
      <x:c r="C663" s="1">
        <x:f>IFERROR(__xludf.DUMMYFUNCTION("""COMPUTED_VALUE"""),"2013")</x:f>
      </x:c>
    </x:row>
    <x:row r="664" spans="1:10">
      <x:c r="A664" s="1" t="s">
        <x:v>673</x:v>
      </x:c>
      <x:c r="B664" s="1">
        <x:f>IFERROR(__xludf.DUMMYFUNCTION("""COMPUTED_VALUE"""),"Bel Ami, història d'un seductor")</x:f>
      </x:c>
      <x:c r="C664" s="1">
        <x:f>IFERROR(__xludf.DUMMYFUNCTION("""COMPUTED_VALUE"""),"2012")</x:f>
      </x:c>
    </x:row>
    <x:row r="665" spans="1:10">
      <x:c r="A665" s="1" t="s">
        <x:v>674</x:v>
      </x:c>
      <x:c r="B665" s="1">
        <x:f>IFERROR(__xludf.DUMMYFUNCTION("""COMPUTED_VALUE"""),"Bel Canto")</x:f>
      </x:c>
      <x:c r="C665" s="1">
        <x:f>IFERROR(__xludf.DUMMYFUNCTION("""COMPUTED_VALUE"""),"2018")</x:f>
      </x:c>
    </x:row>
    <x:row r="666" spans="1:10">
      <x:c r="A666" s="1" t="s">
        <x:v>675</x:v>
      </x:c>
      <x:c r="B666" s="1">
        <x:f>IFERROR(__xludf.DUMMYFUNCTION("""COMPUTED_VALUE"""),"Bella")</x:f>
      </x:c>
      <x:c r="C666" s="1">
        <x:f>IFERROR(__xludf.DUMMYFUNCTION("""COMPUTED_VALUE"""),"2006")</x:f>
      </x:c>
    </x:row>
    <x:row r="667" spans="1:10">
      <x:c r="A667" s="1" t="s">
        <x:v>676</x:v>
      </x:c>
      <x:c r="B667" s="1">
        <x:f>IFERROR(__xludf.DUMMYFUNCTION("""COMPUTED_VALUE"""),"Bella joventut")</x:f>
      </x:c>
      <x:c r="C667" s="1">
        <x:f>IFERROR(__xludf.DUMMYFUNCTION("""COMPUTED_VALUE"""),"2014")</x:f>
      </x:c>
    </x:row>
    <x:row r="668" spans="1:10">
      <x:c r="A668" s="1" t="s">
        <x:v>677</x:v>
      </x:c>
      <x:c r="B668" s="1">
        <x:f>IFERROR(__xludf.DUMMYFUNCTION("""COMPUTED_VALUE"""),"Belle")</x:f>
      </x:c>
      <x:c r="C668" s="1">
        <x:f>IFERROR(__xludf.DUMMYFUNCTION("""COMPUTED_VALUE"""),"2021")</x:f>
      </x:c>
    </x:row>
    <x:row r="669" spans="1:10">
      <x:c r="A669" s="1" t="s">
        <x:v>678</x:v>
      </x:c>
      <x:c r="B669" s="1">
        <x:f>IFERROR(__xludf.DUMMYFUNCTION("""COMPUTED_VALUE"""),"Bellesa oculta")</x:f>
      </x:c>
      <x:c r="C669" s="1">
        <x:f>IFERROR(__xludf.DUMMYFUNCTION("""COMPUTED_VALUE"""),"2016")</x:f>
      </x:c>
    </x:row>
    <x:row r="670" spans="1:10">
      <x:c r="A670" s="1" t="s">
        <x:v>679</x:v>
      </x:c>
      <x:c r="B670" s="1">
        <x:f>IFERROR(__xludf.DUMMYFUNCTION("""COMPUTED_VALUE"""),"Bellesa prohibida")</x:f>
      </x:c>
      <x:c r="C670" s="1">
        <x:f>IFERROR(__xludf.DUMMYFUNCTION("""COMPUTED_VALUE"""),"2004")</x:f>
      </x:c>
    </x:row>
    <x:row r="671" spans="1:10">
      <x:c r="A671" s="1" t="s">
        <x:v>680</x:v>
      </x:c>
      <x:c r="B671" s="1">
        <x:f>IFERROR(__xludf.DUMMYFUNCTION("""COMPUTED_VALUE"""),"Bellingcat, la veritat en un món de postveritat")</x:f>
      </x:c>
      <x:c r="C671" s="1">
        <x:f>IFERROR(__xludf.DUMMYFUNCTION("""COMPUTED_VALUE"""),"2018")</x:f>
      </x:c>
    </x:row>
    <x:row r="672" spans="1:10">
      <x:c r="A672" s="1" t="s">
        <x:v>681</x:v>
      </x:c>
      <x:c r="B672" s="1">
        <x:f>IFERROR(__xludf.DUMMYFUNCTION("""COMPUTED_VALUE"""),"Ben X")</x:f>
      </x:c>
      <x:c r="C672" s="1">
        <x:f>IFERROR(__xludf.DUMMYFUNCTION("""COMPUTED_VALUE"""),"2007")</x:f>
      </x:c>
    </x:row>
    <x:row r="673" spans="1:10">
      <x:c r="A673" s="1" t="s">
        <x:v>682</x:v>
      </x:c>
      <x:c r="B673" s="1">
        <x:f>IFERROR(__xludf.DUMMYFUNCTION("""COMPUTED_VALUE"""),"Ben-Hur")</x:f>
      </x:c>
      <x:c r="C673" s="1">
        <x:f>IFERROR(__xludf.DUMMYFUNCTION("""COMPUTED_VALUE"""),"1959")</x:f>
      </x:c>
    </x:row>
    <x:row r="674" spans="1:10">
      <x:c r="A674" s="1" t="s">
        <x:v>683</x:v>
      </x:c>
      <x:c r="B674" s="1">
        <x:f>IFERROR(__xludf.DUMMYFUNCTION("""COMPUTED_VALUE"""),"Ben-Hur")</x:f>
      </x:c>
      <x:c r="C674" s="1">
        <x:f>IFERROR(__xludf.DUMMYFUNCTION("""COMPUTED_VALUE"""),"2016")</x:f>
      </x:c>
    </x:row>
    <x:row r="675" spans="1:10">
      <x:c r="A675" s="1" t="s">
        <x:v>684</x:v>
      </x:c>
      <x:c r="B675" s="1">
        <x:f>IFERROR(__xludf.DUMMYFUNCTION("""COMPUTED_VALUE"""),"Benedetta")</x:f>
      </x:c>
      <x:c r="C675" s="1">
        <x:f>IFERROR(__xludf.DUMMYFUNCTION("""COMPUTED_VALUE"""),"2021")</x:f>
      </x:c>
    </x:row>
    <x:row r="676" spans="1:10">
      <x:c r="A676" s="1" t="s">
        <x:v>685</x:v>
      </x:c>
      <x:c r="B676" s="1">
        <x:f>IFERROR(__xludf.DUMMYFUNCTION("""COMPUTED_VALUE"""),"Beneïda disbauxa")</x:f>
      </x:c>
      <x:c r="C676" s="1">
        <x:f>IFERROR(__xludf.DUMMYFUNCTION("""COMPUTED_VALUE"""),"2018")</x:f>
      </x:c>
    </x:row>
    <x:row r="677" spans="1:10">
      <x:c r="A677" s="1" t="s">
        <x:v>686</x:v>
      </x:c>
      <x:c r="B677" s="1">
        <x:f>IFERROR(__xludf.DUMMYFUNCTION("""COMPUTED_VALUE"""),"Benvinguda a Kolleda")</x:f>
      </x:c>
      <x:c r="C677" s="1">
        <x:f>IFERROR(__xludf.DUMMYFUNCTION("""COMPUTED_VALUE"""),"2012")</x:f>
      </x:c>
    </x:row>
    <x:row r="678" spans="1:10">
      <x:c r="A678" s="1" t="s">
        <x:v>687</x:v>
      </x:c>
      <x:c r="B678" s="1">
        <x:f>IFERROR(__xludf.DUMMYFUNCTION("""COMPUTED_VALUE"""),"Benvingudes a Carolina")</x:f>
      </x:c>
      <x:c r="C678" s="1">
        <x:f>IFERROR(__xludf.DUMMYFUNCTION("""COMPUTED_VALUE"""),"2017")</x:f>
      </x:c>
    </x:row>
    <x:row r="679" spans="1:10">
      <x:c r="A679" s="1" t="s">
        <x:v>688</x:v>
      </x:c>
      <x:c r="B679" s="1">
        <x:f>IFERROR(__xludf.DUMMYFUNCTION("""COMPUTED_VALUE"""),"Benvingut a Farewell-Gutmann")</x:f>
      </x:c>
      <x:c r="C679" s="1">
        <x:f>IFERROR(__xludf.DUMMYFUNCTION("""COMPUTED_VALUE"""),"2008")</x:f>
      </x:c>
    </x:row>
    <x:row r="680" spans="1:10">
      <x:c r="A680" s="1" t="s">
        <x:v>689</x:v>
      </x:c>
      <x:c r="B680" s="1">
        <x:f>IFERROR(__xludf.DUMMYFUNCTION("""COMPUTED_VALUE"""),"Benvingut a Mooseport")</x:f>
      </x:c>
      <x:c r="C680" s="1">
        <x:f>IFERROR(__xludf.DUMMYFUNCTION("""COMPUTED_VALUE"""),"2004")</x:f>
      </x:c>
    </x:row>
    <x:row r="681" spans="1:10">
      <x:c r="A681" s="1" t="s">
        <x:v>690</x:v>
      </x:c>
      <x:c r="B681" s="1">
        <x:f>IFERROR(__xludf.DUMMYFUNCTION("""COMPUTED_VALUE"""),"Benvinguts a Normal")</x:f>
      </x:c>
      <x:c r="C681" s="1">
        <x:f>IFERROR(__xludf.DUMMYFUNCTION("""COMPUTED_VALUE"""),"2013")</x:f>
      </x:c>
    </x:row>
    <x:row r="682" spans="1:10">
      <x:c r="A682" s="1" t="s">
        <x:v>691</x:v>
      </x:c>
      <x:c r="B682" s="1">
        <x:f>IFERROR(__xludf.DUMMYFUNCTION("""COMPUTED_VALUE"""),"Benvinguts a Txetxènia")</x:f>
      </x:c>
      <x:c r="C682" s="1">
        <x:f>IFERROR(__xludf.DUMMYFUNCTION("""COMPUTED_VALUE"""),"2020")</x:f>
      </x:c>
    </x:row>
    <x:row r="683" spans="1:10">
      <x:c r="A683" s="1" t="s">
        <x:v>692</x:v>
      </x:c>
      <x:c r="B683" s="1">
        <x:f>IFERROR(__xludf.DUMMYFUNCTION("""COMPUTED_VALUE"""),"Benvinguts a Vil·la Capri")</x:f>
      </x:c>
      <x:c r="C683" s="1">
        <x:f>IFERROR(__xludf.DUMMYFUNCTION("""COMPUTED_VALUE"""),"2017")</x:f>
      </x:c>
    </x:row>
    <x:row r="684" spans="1:10">
      <x:c r="A684" s="1" t="s">
        <x:v>693</x:v>
      </x:c>
      <x:c r="B684" s="1">
        <x:f>IFERROR(__xludf.DUMMYFUNCTION("""COMPUTED_VALUE"""),"Benvinguts a Zombieland")</x:f>
      </x:c>
      <x:c r="C684" s="1">
        <x:f>IFERROR(__xludf.DUMMYFUNCTION("""COMPUTED_VALUE"""),"2009")</x:f>
      </x:c>
    </x:row>
    <x:row r="685" spans="1:10">
      <x:c r="A685" s="1" t="s">
        <x:v>694</x:v>
      </x:c>
      <x:c r="B685" s="1">
        <x:f>IFERROR(__xludf.DUMMYFUNCTION("""COMPUTED_VALUE"""),"Benvinguts al barri")</x:f>
      </x:c>
      <x:c r="C685" s="1">
        <x:f>IFERROR(__xludf.DUMMYFUNCTION("""COMPUTED_VALUE"""),"2019")</x:f>
      </x:c>
    </x:row>
    <x:row r="686" spans="1:10">
      <x:c r="A686" s="1" t="s">
        <x:v>695</x:v>
      </x:c>
      <x:c r="B686" s="1">
        <x:f>IFERROR(__xludf.DUMMYFUNCTION("""COMPUTED_VALUE"""),"Benvinguts al nord")</x:f>
      </x:c>
      <x:c r="C686" s="1">
        <x:f>IFERROR(__xludf.DUMMYFUNCTION("""COMPUTED_VALUE"""),"2008")</x:f>
      </x:c>
    </x:row>
    <x:row r="687" spans="1:10">
      <x:c r="A687" s="1" t="s">
        <x:v>696</x:v>
      </x:c>
      <x:c r="B687" s="1">
        <x:f>IFERROR(__xludf.DUMMYFUNCTION("""COMPUTED_VALUE"""),"Benvinguts al sud")</x:f>
      </x:c>
      <x:c r="C687" s="1">
        <x:f>IFERROR(__xludf.DUMMYFUNCTION("""COMPUTED_VALUE"""),"2010")</x:f>
      </x:c>
    </x:row>
    <x:row r="688" spans="1:10">
      <x:c r="A688" s="1" t="s">
        <x:v>697</x:v>
      </x:c>
      <x:c r="B688" s="1">
        <x:f>IFERROR(__xludf.DUMMYFUNCTION("""COMPUTED_VALUE"""),"Benvolguts camarades")</x:f>
      </x:c>
      <x:c r="C688" s="1">
        <x:f>IFERROR(__xludf.DUMMYFUNCTION("""COMPUTED_VALUE"""),"2020")</x:f>
      </x:c>
    </x:row>
    <x:row r="689" spans="1:10">
      <x:c r="A689" s="1" t="s">
        <x:v>698</x:v>
      </x:c>
      <x:c r="B689" s="1">
        <x:f>IFERROR(__xludf.DUMMYFUNCTION("""COMPUTED_VALUE"""),"Beowulf i Grendel")</x:f>
      </x:c>
      <x:c r="C689" s="1">
        <x:f>IFERROR(__xludf.DUMMYFUNCTION("""COMPUTED_VALUE"""),"2005")</x:f>
      </x:c>
    </x:row>
    <x:row r="690" spans="1:10">
      <x:c r="A690" s="1" t="s">
        <x:v>699</x:v>
      </x:c>
      <x:c r="B690" s="1">
        <x:f>IFERROR(__xludf.DUMMYFUNCTION("""COMPUTED_VALUE"""),"Beowulf: El muntatge del director")</x:f>
      </x:c>
      <x:c r="C690" s="1">
        <x:f>IFERROR(__xludf.DUMMYFUNCTION("""COMPUTED_VALUE"""),"2007")</x:f>
      </x:c>
    </x:row>
    <x:row r="691" spans="1:10">
      <x:c r="A691" s="1" t="s">
        <x:v>700</x:v>
      </x:c>
      <x:c r="B691" s="1">
        <x:f>IFERROR(__xludf.DUMMYFUNCTION("""COMPUTED_VALUE"""),"Berberian Sound Studio [VOSC]")</x:f>
      </x:c>
      <x:c r="C691" s="1">
        <x:f>IFERROR(__xludf.DUMMYFUNCTION("""COMPUTED_VALUE"""),"2012")</x:f>
      </x:c>
    </x:row>
    <x:row r="692" spans="1:10">
      <x:c r="A692" s="1" t="s">
        <x:v>701</x:v>
      </x:c>
      <x:c r="B692" s="1">
        <x:f>IFERROR(__xludf.DUMMYFUNCTION("""COMPUTED_VALUE"""),"Berenàveu a les fosques")</x:f>
      </x:c>
      <x:c r="C692" s="1">
        <x:f>IFERROR(__xludf.DUMMYFUNCTION("""COMPUTED_VALUE"""),"2021")</x:f>
      </x:c>
    </x:row>
    <x:row r="693" spans="1:10">
      <x:c r="A693" s="1" t="s">
        <x:v>702</x:v>
      </x:c>
      <x:c r="B693" s="1">
        <x:f>IFERROR(__xludf.DUMMYFUNCTION("""COMPUTED_VALUE"""),"Berlin 1. Brigada d'homicidis")</x:f>
      </x:c>
      <x:c r="C693" s="1">
        <x:f>IFERROR(__xludf.DUMMYFUNCTION("""COMPUTED_VALUE"""),"2015")</x:f>
      </x:c>
    </x:row>
    <x:row r="694" spans="1:10">
      <x:c r="A694" s="1" t="s">
        <x:v>703</x:v>
      </x:c>
      <x:c r="B694" s="1">
        <x:f>IFERROR(__xludf.DUMMYFUNCTION("""COMPUTED_VALUE"""),"Bernie [VOSC]")</x:f>
      </x:c>
      <x:c r="C694" s="1">
        <x:f>IFERROR(__xludf.DUMMYFUNCTION("""COMPUTED_VALUE"""),"2011")</x:f>
      </x:c>
    </x:row>
    <x:row r="695" spans="1:10">
      <x:c r="A695" s="1" t="s">
        <x:v>704</x:v>
      </x:c>
      <x:c r="B695" s="1">
        <x:f>IFERROR(__xludf.DUMMYFUNCTION("""COMPUTED_VALUE"""),"Bessons però no gaire")</x:f>
      </x:c>
      <x:c r="C695" s="1">
        <x:f>IFERROR(__xludf.DUMMYFUNCTION("""COMPUTED_VALUE"""),"2022")</x:f>
      </x:c>
    </x:row>
    <x:row r="696" spans="1:10">
      <x:c r="A696" s="1" t="s">
        <x:v>705</x:v>
      </x:c>
      <x:c r="B696" s="1">
        <x:f>IFERROR(__xludf.DUMMYFUNCTION("""COMPUTED_VALUE"""),"Bèsties assassines")</x:f>
      </x:c>
      <x:c r="C696" s="1">
        <x:f>IFERROR(__xludf.DUMMYFUNCTION("""COMPUTED_VALUE"""),"2001")</x:f>
      </x:c>
    </x:row>
    <x:row r="697" spans="1:10">
      <x:c r="A697" s="1" t="s">
        <x:v>706</x:v>
      </x:c>
      <x:c r="B697" s="1">
        <x:f>IFERROR(__xludf.DUMMYFUNCTION("""COMPUTED_VALUE"""),"Bèsties del sud salvatge")</x:f>
      </x:c>
      <x:c r="C697" s="1">
        <x:f>IFERROR(__xludf.DUMMYFUNCTION("""COMPUTED_VALUE"""),"2012")</x:f>
      </x:c>
    </x:row>
    <x:row r="698" spans="1:10">
      <x:c r="A698" s="1" t="s">
        <x:v>707</x:v>
      </x:c>
      <x:c r="B698" s="1">
        <x:f>IFERROR(__xludf.DUMMYFUNCTION("""COMPUTED_VALUE"""),"Bèsties fantàstiques i on trobar-les")</x:f>
      </x:c>
      <x:c r="C698" s="1">
        <x:f>IFERROR(__xludf.DUMMYFUNCTION("""COMPUTED_VALUE"""),"2016")</x:f>
      </x:c>
    </x:row>
    <x:row r="699" spans="1:10">
      <x:c r="A699" s="1" t="s">
        <x:v>708</x:v>
      </x:c>
      <x:c r="B699" s="1">
        <x:f>IFERROR(__xludf.DUMMYFUNCTION("""COMPUTED_VALUE"""),"Bèsties fantàstiques. Els crims de Grindelwald")</x:f>
      </x:c>
      <x:c r="C699" s="1">
        <x:f>IFERROR(__xludf.DUMMYFUNCTION("""COMPUTED_VALUE"""),"2018")</x:f>
      </x:c>
    </x:row>
    <x:row r="700" spans="1:10">
      <x:c r="A700" s="1" t="s">
        <x:v>709</x:v>
      </x:c>
      <x:c r="B700" s="1">
        <x:f>IFERROR(__xludf.DUMMYFUNCTION("""COMPUTED_VALUE"""),"Bèsties fantàstiques. Els secrets de Dumbledore")</x:f>
      </x:c>
      <x:c r="C700" s="1">
        <x:f>IFERROR(__xludf.DUMMYFUNCTION("""COMPUTED_VALUE"""),"2022")</x:f>
      </x:c>
    </x:row>
    <x:row r="701" spans="1:10">
      <x:c r="A701" s="1" t="s">
        <x:v>710</x:v>
      </x:c>
      <x:c r="B701" s="1">
        <x:f>IFERROR(__xludf.DUMMYFUNCTION("""COMPUTED_VALUE"""),"Betrayal")</x:f>
      </x:c>
      <x:c r="C701" s="1">
        <x:f>IFERROR(__xludf.DUMMYFUNCTION("""COMPUTED_VALUE"""),"2012")</x:f>
      </x:c>
    </x:row>
    <x:row r="702" spans="1:10">
      <x:c r="A702" s="1" t="s">
        <x:v>711</x:v>
      </x:c>
      <x:c r="B702" s="1">
        <x:f>IFERROR(__xludf.DUMMYFUNCTION("""COMPUTED_VALUE"""),"Betty Anne Waters")</x:f>
      </x:c>
      <x:c r="C702" s="1">
        <x:f>IFERROR(__xludf.DUMMYFUNCTION("""COMPUTED_VALUE"""),"2010")</x:f>
      </x:c>
    </x:row>
    <x:row r="703" spans="1:10">
      <x:c r="A703" s="1" t="s">
        <x:v>712</x:v>
      </x:c>
      <x:c r="B703" s="1">
        <x:f>IFERROR(__xludf.DUMMYFUNCTION("""COMPUTED_VALUE"""),"Beyond Beyond")</x:f>
      </x:c>
      <x:c r="C703" s="1">
        <x:f>IFERROR(__xludf.DUMMYFUNCTION("""COMPUTED_VALUE"""),"2014")</x:f>
      </x:c>
    </x:row>
    <x:row r="704" spans="1:10">
      <x:c r="A704" s="1" t="s">
        <x:v>713</x:v>
      </x:c>
      <x:c r="B704" s="1">
        <x:f>IFERROR(__xludf.DUMMYFUNCTION("""COMPUTED_VALUE"""),"Beyond Re-Animator")</x:f>
      </x:c>
      <x:c r="C704" s="1">
        <x:f>IFERROR(__xludf.DUMMYFUNCTION("""COMPUTED_VALUE"""),"2003")</x:f>
      </x:c>
    </x:row>
    <x:row r="705" spans="1:10">
      <x:c r="A705" s="1" t="s">
        <x:v>714</x:v>
      </x:c>
      <x:c r="B705" s="1">
        <x:f>IFERROR(__xludf.DUMMYFUNCTION("""COMPUTED_VALUE"""),"Beyond the Sea")</x:f>
      </x:c>
      <x:c r="C705" s="1">
        <x:f>IFERROR(__xludf.DUMMYFUNCTION("""COMPUTED_VALUE"""),"2004")</x:f>
      </x:c>
    </x:row>
    <x:row r="706" spans="1:10">
      <x:c r="A706" s="1" t="s">
        <x:v>715</x:v>
      </x:c>
      <x:c r="B706" s="1">
        <x:f>IFERROR(__xludf.DUMMYFUNCTION("""COMPUTED_VALUE"""),"Bicicleta, cullera, poma")</x:f>
      </x:c>
      <x:c r="C706" s="1">
        <x:f>IFERROR(__xludf.DUMMYFUNCTION("""COMPUTED_VALUE"""),"2010")</x:f>
      </x:c>
    </x:row>
    <x:row r="707" spans="1:10">
      <x:c r="A707" s="1" t="s">
        <x:v>716</x:v>
      </x:c>
      <x:c r="B707" s="1">
        <x:f>IFERROR(__xludf.DUMMYFUNCTION("""COMPUTED_VALUE"""),"Big Bad Wolves")</x:f>
      </x:c>
      <x:c r="C707" s="1">
        <x:f>IFERROR(__xludf.DUMMYFUNCTION("""COMPUTED_VALUE"""),"2013")</x:f>
      </x:c>
    </x:row>
    <x:row r="708" spans="1:10">
      <x:c r="A708" s="1" t="s">
        <x:v>717</x:v>
      </x:c>
      <x:c r="B708" s="1">
        <x:f>IFERROR(__xludf.DUMMYFUNCTION("""COMPUTED_VALUE"""),"Big Buck Bunny")</x:f>
      </x:c>
      <x:c r="C708" s="1">
        <x:f>IFERROR(__xludf.DUMMYFUNCTION("""COMPUTED_VALUE"""),"2008")</x:f>
      </x:c>
    </x:row>
    <x:row r="709" spans="1:10">
      <x:c r="A709" s="1" t="s">
        <x:v>718</x:v>
      </x:c>
      <x:c r="B709" s="1">
        <x:f>IFERROR(__xludf.DUMMYFUNCTION("""COMPUTED_VALUE"""),"Big Data. Ciutadans sota control")</x:f>
      </x:c>
      <x:c r="C709" s="1">
        <x:f>IFERROR(__xludf.DUMMYFUNCTION("""COMPUTED_VALUE"""),"2015")</x:f>
      </x:c>
    </x:row>
    <x:row r="710" spans="1:10">
      <x:c r="A710" s="1" t="s">
        <x:v>719</x:v>
      </x:c>
      <x:c r="B710" s="1">
        <x:f>IFERROR(__xludf.DUMMYFUNCTION("""COMPUTED_VALUE"""),"Big Fish")</x:f>
      </x:c>
      <x:c r="C710" s="1">
        <x:f>IFERROR(__xludf.DUMMYFUNCTION("""COMPUTED_VALUE"""),"2003")</x:f>
      </x:c>
    </x:row>
    <x:row r="711" spans="1:10">
      <x:c r="A711" s="1" t="s">
        <x:v>720</x:v>
      </x:c>
      <x:c r="B711" s="1">
        <x:f>IFERROR(__xludf.DUMMYFUNCTION("""COMPUTED_VALUE"""),"Big Hero 6")</x:f>
      </x:c>
      <x:c r="C711" s="1">
        <x:f>IFERROR(__xludf.DUMMYFUNCTION("""COMPUTED_VALUE"""),"2014")</x:f>
      </x:c>
    </x:row>
    <x:row r="712" spans="1:10">
      <x:c r="A712" s="1" t="s">
        <x:v>721</x:v>
      </x:c>
      <x:c r="B712" s="1">
        <x:f>IFERROR(__xludf.DUMMYFUNCTION("""COMPUTED_VALUE"""),"Bigas x Bigas")</x:f>
      </x:c>
      <x:c r="C712" s="1">
        <x:f>IFERROR(__xludf.DUMMYFUNCTION("""COMPUTED_VALUE"""),"2016")</x:f>
      </x:c>
    </x:row>
    <x:row r="713" spans="1:10">
      <x:c r="A713" s="1" t="s">
        <x:v>722</x:v>
      </x:c>
      <x:c r="B713" s="1">
        <x:f>IFERROR(__xludf.DUMMYFUNCTION("""COMPUTED_VALUE"""),"Bikes")</x:f>
      </x:c>
      <x:c r="C713" s="1">
        <x:f>IFERROR(__xludf.DUMMYFUNCTION("""COMPUTED_VALUE"""),"2018")</x:f>
      </x:c>
    </x:row>
    <x:row r="714" spans="1:10">
      <x:c r="A714" s="1" t="s">
        <x:v>723</x:v>
      </x:c>
      <x:c r="B714" s="1">
        <x:f>IFERROR(__xludf.DUMMYFUNCTION("""COMPUTED_VALUE"""),"Bilby")</x:f>
      </x:c>
      <x:c r="C714" s="1">
        <x:f>IFERROR(__xludf.DUMMYFUNCTION("""COMPUTED_VALUE"""),"2018")</x:f>
      </x:c>
    </x:row>
    <x:row r="715" spans="1:10">
      <x:c r="A715" s="1" t="s">
        <x:v>724</x:v>
      </x:c>
      <x:c r="B715" s="1">
        <x:f>IFERROR(__xludf.DUMMYFUNCTION("""COMPUTED_VALUE"""),"Bill")</x:f>
      </x:c>
      <x:c r="C715" s="1">
        <x:f>IFERROR(__xludf.DUMMYFUNCTION("""COMPUTED_VALUE"""),"2007")</x:f>
      </x:c>
    </x:row>
    <x:row r="716" spans="1:10">
      <x:c r="A716" s="1" t="s">
        <x:v>725</x:v>
      </x:c>
      <x:c r="B716" s="1">
        <x:f>IFERROR(__xludf.DUMMYFUNCTION("""COMPUTED_VALUE"""),"Billy Dos Barrets")</x:f>
      </x:c>
      <x:c r="C716" s="1">
        <x:f>IFERROR(__xludf.DUMMYFUNCTION("""COMPUTED_VALUE"""),"1974")</x:f>
      </x:c>
    </x:row>
    <x:row r="717" spans="1:10">
      <x:c r="A717" s="1" t="s">
        <x:v>726</x:v>
      </x:c>
      <x:c r="B717" s="1">
        <x:f>IFERROR(__xludf.DUMMYFUNCTION("""COMPUTED_VALUE"""),"Billy Elliot")</x:f>
      </x:c>
      <x:c r="C717" s="1">
        <x:f>IFERROR(__xludf.DUMMYFUNCTION("""COMPUTED_VALUE"""),"2000")</x:f>
      </x:c>
    </x:row>
    <x:row r="718" spans="1:10">
      <x:c r="A718" s="1" t="s">
        <x:v>727</x:v>
      </x:c>
      <x:c r="B718" s="1">
        <x:f>IFERROR(__xludf.DUMMYFUNCTION("""COMPUTED_VALUE"""),"Bim - Le ballon rouge - Crin-Blanc [VOSC]")</x:f>
      </x:c>
      <x:c r="C718" s="1">
        <x:f>IFERROR(__xludf.DUMMYFUNCTION("""COMPUTED_VALUE"""),"1951")</x:f>
      </x:c>
    </x:row>
    <x:row r="719" spans="1:10">
      <x:c r="A719" s="1" t="s">
        <x:v>728</x:v>
      </x:c>
      <x:c r="B719" s="1">
        <x:f>IFERROR(__xludf.DUMMYFUNCTION("""COMPUTED_VALUE"""),"Binti")</x:f>
      </x:c>
      <x:c r="C719" s="1">
        <x:f>IFERROR(__xludf.DUMMYFUNCTION("""COMPUTED_VALUE"""),"2019")</x:f>
      </x:c>
    </x:row>
    <x:row r="720" spans="1:10">
      <x:c r="A720" s="1" t="s">
        <x:v>729</x:v>
      </x:c>
      <x:c r="B720" s="1">
        <x:f>IFERROR(__xludf.DUMMYFUNCTION("""COMPUTED_VALUE"""),"Bird Karma")</x:f>
      </x:c>
      <x:c r="C720" s="1">
        <x:f>IFERROR(__xludf.DUMMYFUNCTION("""COMPUTED_VALUE"""),"2018")</x:f>
      </x:c>
    </x:row>
    <x:row r="721" spans="1:10">
      <x:c r="A721" s="1" t="s">
        <x:v>730</x:v>
      </x:c>
      <x:c r="B721" s="1">
        <x:f>IFERROR(__xludf.DUMMYFUNCTION("""COMPUTED_VALUE"""),"Birmània, la revolució oblidada")</x:f>
      </x:c>
      <x:c r="C721" s="1">
        <x:f>IFERROR(__xludf.DUMMYFUNCTION("""COMPUTED_VALUE"""),"2023")</x:f>
      </x:c>
    </x:row>
    <x:row r="722" spans="1:10">
      <x:c r="A722" s="1" t="s">
        <x:v>731</x:v>
      </x:c>
      <x:c r="B722" s="1">
        <x:f>IFERROR(__xludf.DUMMYFUNCTION("""COMPUTED_VALUE"""),"Bits")</x:f>
      </x:c>
      <x:c r="C722" s="1">
        <x:f>IFERROR(__xludf.DUMMYFUNCTION("""COMPUTED_VALUE"""),"2016")</x:f>
      </x:c>
    </x:row>
    <x:row r="723" spans="1:10">
      <x:c r="A723" s="1" t="s">
        <x:v>732</x:v>
      </x:c>
      <x:c r="B723" s="1">
        <x:f>IFERROR(__xludf.DUMMYFUNCTION("""COMPUTED_VALUE"""),"Black 47")</x:f>
      </x:c>
      <x:c r="C723" s="1">
        <x:f>IFERROR(__xludf.DUMMYFUNCTION("""COMPUTED_VALUE"""),"2018")</x:f>
      </x:c>
    </x:row>
    <x:row r="724" spans="1:10">
      <x:c r="A724" s="1" t="s">
        <x:v>733</x:v>
      </x:c>
      <x:c r="B724" s="1">
        <x:f>IFERROR(__xludf.DUMMYFUNCTION("""COMPUTED_VALUE"""),"Black Box")</x:f>
      </x:c>
      <x:c r="C724" s="1">
        <x:f>IFERROR(__xludf.DUMMYFUNCTION("""COMPUTED_VALUE"""),"2021")</x:f>
      </x:c>
    </x:row>
    <x:row r="725" spans="1:10">
      <x:c r="A725" s="1" t="s">
        <x:v>734</x:v>
      </x:c>
      <x:c r="B725" s="1">
        <x:f>IFERROR(__xludf.DUMMYFUNCTION("""COMPUTED_VALUE"""),"Black Coal")</x:f>
      </x:c>
      <x:c r="C725" s="1">
        <x:f>IFERROR(__xludf.DUMMYFUNCTION("""COMPUTED_VALUE"""),"2014")</x:f>
      </x:c>
    </x:row>
    <x:row r="726" spans="1:10">
      <x:c r="A726" s="1" t="s">
        <x:v>735</x:v>
      </x:c>
      <x:c r="B726" s="1">
        <x:f>IFERROR(__xludf.DUMMYFUNCTION("""COMPUTED_VALUE"""),"Black Friday")</x:f>
      </x:c>
      <x:c r="C726" s="1">
        <x:f>IFERROR(__xludf.DUMMYFUNCTION("""COMPUTED_VALUE"""),"2021")</x:f>
      </x:c>
    </x:row>
    <x:row r="727" spans="1:10">
      <x:c r="A727" s="1" t="s">
        <x:v>736</x:v>
      </x:c>
      <x:c r="B727" s="1">
        <x:f>IFERROR(__xludf.DUMMYFUNCTION("""COMPUTED_VALUE"""),"Black Hawk abatut")</x:f>
      </x:c>
      <x:c r="C727" s="1">
        <x:f>IFERROR(__xludf.DUMMYFUNCTION("""COMPUTED_VALUE"""),"2001")</x:f>
      </x:c>
    </x:row>
    <x:row r="728" spans="1:10">
      <x:c r="A728" s="1" t="s">
        <x:v>737</x:v>
      </x:c>
      <x:c r="B728" s="1">
        <x:f>IFERROR(__xludf.DUMMYFUNCTION("""COMPUTED_VALUE"""),"Black Mass")</x:f>
      </x:c>
      <x:c r="C728" s="1">
        <x:f>IFERROR(__xludf.DUMMYFUNCTION("""COMPUTED_VALUE"""),"2015")</x:f>
      </x:c>
    </x:row>
    <x:row r="729" spans="1:10">
      <x:c r="A729" s="1" t="s">
        <x:v>738</x:v>
      </x:c>
      <x:c r="B729" s="1">
        <x:f>IFERROR(__xludf.DUMMYFUNCTION("""COMPUTED_VALUE"""),"Blackfish")</x:f>
      </x:c>
      <x:c r="C729" s="1">
        <x:f>IFERROR(__xludf.DUMMYFUNCTION("""COMPUTED_VALUE"""),"2013")</x:f>
      </x:c>
    </x:row>
    <x:row r="730" spans="1:10">
      <x:c r="A730" s="1" t="s">
        <x:v>739</x:v>
      </x:c>
      <x:c r="B730" s="1">
        <x:f>IFERROR(__xludf.DUMMYFUNCTION("""COMPUTED_VALUE"""),"Blackwater Lane")</x:f>
      </x:c>
      <x:c r="C730" s="1">
        <x:f>IFERROR(__xludf.DUMMYFUNCTION("""COMPUTED_VALUE"""),"2024")</x:f>
      </x:c>
    </x:row>
    <x:row r="731" spans="1:10">
      <x:c r="A731" s="1" t="s">
        <x:v>740</x:v>
      </x:c>
      <x:c r="B731" s="1">
        <x:f>IFERROR(__xludf.DUMMYFUNCTION("""COMPUTED_VALUE"""),"Blade")</x:f>
      </x:c>
      <x:c r="C731" s="1">
        <x:f>IFERROR(__xludf.DUMMYFUNCTION("""COMPUTED_VALUE"""),"1998")</x:f>
      </x:c>
    </x:row>
    <x:row r="732" spans="1:10">
      <x:c r="A732" s="1" t="s">
        <x:v>741</x:v>
      </x:c>
      <x:c r="B732" s="1">
        <x:f>IFERROR(__xludf.DUMMYFUNCTION("""COMPUTED_VALUE"""),"Blade Runner")</x:f>
      </x:c>
      <x:c r="C732" s="1">
        <x:f>IFERROR(__xludf.DUMMYFUNCTION("""COMPUTED_VALUE"""),"1982")</x:f>
      </x:c>
    </x:row>
    <x:row r="733" spans="1:10">
      <x:c r="A733" s="1" t="s">
        <x:v>742</x:v>
      </x:c>
      <x:c r="B733" s="1">
        <x:f>IFERROR(__xludf.DUMMYFUNCTION("""COMPUTED_VALUE"""),"Blade Runner: El muntatge del director")</x:f>
      </x:c>
      <x:c r="C733" s="1">
        <x:f>IFERROR(__xludf.DUMMYFUNCTION("""COMPUTED_VALUE"""),"1982")</x:f>
      </x:c>
    </x:row>
    <x:row r="734" spans="1:10">
      <x:c r="A734" s="1" t="s">
        <x:v>743</x:v>
      </x:c>
      <x:c r="B734" s="1">
        <x:f>IFERROR(__xludf.DUMMYFUNCTION("""COMPUTED_VALUE"""),"Blade Runner: Muntatge final")</x:f>
      </x:c>
      <x:c r="C734" s="1">
        <x:f>IFERROR(__xludf.DUMMYFUNCTION("""COMPUTED_VALUE"""),"2007")</x:f>
      </x:c>
    </x:row>
    <x:row r="735" spans="1:10">
      <x:c r="A735" s="1" t="s">
        <x:v>744</x:v>
      </x:c>
      <x:c r="B735" s="1">
        <x:f>IFERROR(__xludf.DUMMYFUNCTION("""COMPUTED_VALUE"""),"Blancaneu")</x:f>
      </x:c>
      <x:c r="C735" s="1">
        <x:f>IFERROR(__xludf.DUMMYFUNCTION("""COMPUTED_VALUE"""),"2012")</x:f>
      </x:c>
    </x:row>
    <x:row r="736" spans="1:10">
      <x:c r="A736" s="1" t="s">
        <x:v>745</x:v>
      </x:c>
      <x:c r="B736" s="1">
        <x:f>IFERROR(__xludf.DUMMYFUNCTION("""COMPUTED_VALUE"""),"Blancaneu (Mirror, Mirror)")</x:f>
      </x:c>
      <x:c r="C736" s="1">
        <x:f>IFERROR(__xludf.DUMMYFUNCTION("""COMPUTED_VALUE"""),"2012")</x:f>
      </x:c>
    </x:row>
    <x:row r="737" spans="1:10">
      <x:c r="A737" s="1" t="s">
        <x:v>746</x:v>
      </x:c>
      <x:c r="B737" s="1">
        <x:f>IFERROR(__xludf.DUMMYFUNCTION("""COMPUTED_VALUE"""),"Blancaneu i la llegenda del caçador")</x:f>
      </x:c>
      <x:c r="C737" s="1">
        <x:f>IFERROR(__xludf.DUMMYFUNCTION("""COMPUTED_VALUE"""),"2012")</x:f>
      </x:c>
    </x:row>
    <x:row r="738" spans="1:10">
      <x:c r="A738" s="1" t="s">
        <x:v>747</x:v>
      </x:c>
      <x:c r="B738" s="1">
        <x:f>IFERROR(__xludf.DUMMYFUNCTION("""COMPUTED_VALUE"""),"Blaze [VOSC]")</x:f>
      </x:c>
      <x:c r="C738" s="1">
        <x:f>IFERROR(__xludf.DUMMYFUNCTION("""COMPUTED_VALUE"""),"2022")</x:f>
      </x:c>
    </x:row>
    <x:row r="739" spans="1:10">
      <x:c r="A739" s="1" t="s">
        <x:v>748</x:v>
      </x:c>
      <x:c r="B739" s="1">
        <x:f>IFERROR(__xludf.DUMMYFUNCTION("""COMPUTED_VALUE"""),"Blind Horizon")</x:f>
      </x:c>
      <x:c r="C739" s="1">
        <x:f>IFERROR(__xludf.DUMMYFUNCTION("""COMPUTED_VALUE"""),"2003")</x:f>
      </x:c>
    </x:row>
    <x:row r="740" spans="1:10">
      <x:c r="A740" s="1" t="s">
        <x:v>749</x:v>
      </x:c>
      <x:c r="B740" s="1">
        <x:f>IFERROR(__xludf.DUMMYFUNCTION("""COMPUTED_VALUE"""),"Blindat")</x:f>
      </x:c>
      <x:c r="C740" s="1">
        <x:f>IFERROR(__xludf.DUMMYFUNCTION("""COMPUTED_VALUE"""),"2009")</x:f>
      </x:c>
    </x:row>
    <x:row r="741" spans="1:10">
      <x:c r="A741" s="1" t="s">
        <x:v>750</x:v>
      </x:c>
      <x:c r="B741" s="1">
        <x:f>IFERROR(__xludf.DUMMYFUNCTION("""COMPUTED_VALUE"""),"Blinky Bill, el coala")</x:f>
      </x:c>
      <x:c r="C741" s="1">
        <x:f>IFERROR(__xludf.DUMMYFUNCTION("""COMPUTED_VALUE"""),"2015")</x:f>
      </x:c>
    </x:row>
    <x:row r="742" spans="1:10">
      <x:c r="A742" s="1" t="s">
        <x:v>751</x:v>
      </x:c>
      <x:c r="B742" s="1">
        <x:f>IFERROR(__xludf.DUMMYFUNCTION("""COMPUTED_VALUE"""),"Blitz")</x:f>
      </x:c>
      <x:c r="C742" s="1">
        <x:f>IFERROR(__xludf.DUMMYFUNCTION("""COMPUTED_VALUE"""),"2011")</x:f>
      </x:c>
    </x:row>
    <x:row r="743" spans="1:10">
      <x:c r="A743" s="1" t="s">
        <x:v>752</x:v>
      </x:c>
      <x:c r="B743" s="1">
        <x:f>IFERROR(__xludf.DUMMYFUNCTION("""COMPUTED_VALUE"""),"Blob")</x:f>
      </x:c>
      <x:c r="C743" s="1">
        <x:f>IFERROR(__xludf.DUMMYFUNCTION("""COMPUTED_VALUE"""),"1988")</x:f>
      </x:c>
    </x:row>
    <x:row r="744" spans="1:10">
      <x:c r="A744" s="1" t="s">
        <x:v>753</x:v>
      </x:c>
      <x:c r="B744" s="1">
        <x:f>IFERROR(__xludf.DUMMYFUNCTION("""COMPUTED_VALUE"""),"Blood and Wine: Laberint criminal")</x:f>
      </x:c>
      <x:c r="C744" s="1">
        <x:f>IFERROR(__xludf.DUMMYFUNCTION("""COMPUTED_VALUE"""),"1996")</x:f>
      </x:c>
    </x:row>
    <x:row r="745" spans="1:10">
      <x:c r="A745" s="1" t="s">
        <x:v>754</x:v>
      </x:c>
      <x:c r="B745" s="1">
        <x:f>IFERROR(__xludf.DUMMYFUNCTION("""COMPUTED_VALUE"""),"Blood Father")</x:f>
      </x:c>
      <x:c r="C745" s="1">
        <x:f>IFERROR(__xludf.DUMMYFUNCTION("""COMPUTED_VALUE"""),"2016")</x:f>
      </x:c>
    </x:row>
    <x:row r="746" spans="1:10">
      <x:c r="A746" s="1" t="s">
        <x:v>755</x:v>
      </x:c>
      <x:c r="B746" s="1">
        <x:f>IFERROR(__xludf.DUMMYFUNCTION("""COMPUTED_VALUE"""),"Blood: L'últim vampir")</x:f>
      </x:c>
      <x:c r="C746" s="1">
        <x:f>IFERROR(__xludf.DUMMYFUNCTION("""COMPUTED_VALUE"""),"2000")</x:f>
      </x:c>
    </x:row>
    <x:row r="747" spans="1:10">
      <x:c r="A747" s="1" t="s">
        <x:v>756</x:v>
      </x:c>
      <x:c r="B747" s="1">
        <x:f>IFERROR(__xludf.DUMMYFUNCTION("""COMPUTED_VALUE"""),"Bloodline [VOSC]")</x:f>
      </x:c>
      <x:c r="C747" s="1">
        <x:f>IFERROR(__xludf.DUMMYFUNCTION("""COMPUTED_VALUE"""),"2018")</x:f>
      </x:c>
    </x:row>
    <x:row r="748" spans="1:10">
      <x:c r="A748" s="1" t="s">
        <x:v>757</x:v>
      </x:c>
      <x:c r="B748" s="1">
        <x:f>IFERROR(__xludf.DUMMYFUNCTION("""COMPUTED_VALUE"""),"Blue Giant")</x:f>
      </x:c>
      <x:c r="C748" s="1">
        <x:f>IFERROR(__xludf.DUMMYFUNCTION("""COMPUTED_VALUE"""),"2023")</x:f>
      </x:c>
    </x:row>
    <x:row r="749" spans="1:10">
      <x:c r="A749" s="1" t="s">
        <x:v>758</x:v>
      </x:c>
      <x:c r="B749" s="1">
        <x:f>IFERROR(__xludf.DUMMYFUNCTION("""COMPUTED_VALUE"""),"Blue Jasmine")</x:f>
      </x:c>
      <x:c r="C749" s="1">
        <x:f>IFERROR(__xludf.DUMMYFUNCTION("""COMPUTED_VALUE"""),"2013")</x:f>
      </x:c>
    </x:row>
    <x:row r="750" spans="1:10">
      <x:c r="A750" s="1" t="s">
        <x:v>759</x:v>
      </x:c>
      <x:c r="B750" s="1">
        <x:f>IFERROR(__xludf.DUMMYFUNCTION("""COMPUTED_VALUE"""),"Blue Thermal")</x:f>
      </x:c>
      <x:c r="C750" s="1">
        <x:f>IFERROR(__xludf.DUMMYFUNCTION("""COMPUTED_VALUE"""),"2022")</x:f>
      </x:c>
    </x:row>
    <x:row r="751" spans="1:10">
      <x:c r="A751" s="1" t="s">
        <x:v>760</x:v>
      </x:c>
      <x:c r="B751" s="1">
        <x:f>IFERROR(__xludf.DUMMYFUNCTION("""COMPUTED_VALUE"""),"Blue Valentine")</x:f>
      </x:c>
      <x:c r="C751" s="1">
        <x:f>IFERROR(__xludf.DUMMYFUNCTION("""COMPUTED_VALUE"""),"2010")</x:f>
      </x:c>
    </x:row>
    <x:row r="752" spans="1:10">
      <x:c r="A752" s="1" t="s">
        <x:v>761</x:v>
      </x:c>
      <x:c r="B752" s="1">
        <x:f>IFERROR(__xludf.DUMMYFUNCTION("""COMPUTED_VALUE"""),"Blush")</x:f>
      </x:c>
      <x:c r="C752" s="1">
        <x:f>IFERROR(__xludf.DUMMYFUNCTION("""COMPUTED_VALUE"""),"2021")</x:f>
      </x:c>
    </x:row>
    <x:row r="753" spans="1:10">
      <x:c r="A753" s="1" t="s">
        <x:v>762</x:v>
      </x:c>
      <x:c r="B753" s="1">
        <x:f>IFERROR(__xludf.DUMMYFUNCTION("""COMPUTED_VALUE"""),"Boa contra pitó")</x:f>
      </x:c>
      <x:c r="C753" s="1">
        <x:f>IFERROR(__xludf.DUMMYFUNCTION("""COMPUTED_VALUE"""),"2004")</x:f>
      </x:c>
    </x:row>
    <x:row r="754" spans="1:10">
      <x:c r="A754" s="1" t="s">
        <x:v>763</x:v>
      </x:c>
      <x:c r="B754" s="1">
        <x:f>IFERROR(__xludf.DUMMYFUNCTION("""COMPUTED_VALUE"""),"Bob el manetes: Cursa cap a la meta")</x:f>
      </x:c>
      <x:c r="C754" s="1">
        <x:f>IFERROR(__xludf.DUMMYFUNCTION("""COMPUTED_VALUE"""),"2008")</x:f>
      </x:c>
    </x:row>
    <x:row r="755" spans="1:10">
      <x:c r="A755" s="1" t="s">
        <x:v>764</x:v>
      </x:c>
      <x:c r="B755" s="1">
        <x:f>IFERROR(__xludf.DUMMYFUNCTION("""COMPUTED_VALUE"""),"Bob Esponja: la pel·lícula")</x:f>
      </x:c>
      <x:c r="C755" s="1">
        <x:f>IFERROR(__xludf.DUMMYFUNCTION("""COMPUTED_VALUE"""),"2004")</x:f>
      </x:c>
    </x:row>
    <x:row r="756" spans="1:10">
      <x:c r="A756" s="1" t="s">
        <x:v>765</x:v>
      </x:c>
      <x:c r="B756" s="1">
        <x:f>IFERROR(__xludf.DUMMYFUNCTION("""COMPUTED_VALUE"""),"Bob Esponja. Un heroi fora de l'aigua")</x:f>
      </x:c>
      <x:c r="C756" s="1">
        <x:f>IFERROR(__xludf.DUMMYFUNCTION("""COMPUTED_VALUE"""),"2015")</x:f>
      </x:c>
    </x:row>
    <x:row r="757" spans="1:10">
      <x:c r="A757" s="1" t="s">
        <x:v>766</x:v>
      </x:c>
      <x:c r="B757" s="1">
        <x:f>IFERROR(__xludf.DUMMYFUNCTION("""COMPUTED_VALUE"""),"Bob, el manetes - Vacances a l'oest")</x:f>
      </x:c>
      <x:c r="C757" s="1">
        <x:f>IFERROR(__xludf.DUMMYFUNCTION("""COMPUTED_VALUE"""),"2006")</x:f>
      </x:c>
    </x:row>
    <x:row r="758" spans="1:10">
      <x:c r="A758" s="1" t="s">
        <x:v>767</x:v>
      </x:c>
      <x:c r="B758" s="1">
        <x:f>IFERROR(__xludf.DUMMYFUNCTION("""COMPUTED_VALUE"""),"Bobby")</x:f>
      </x:c>
      <x:c r="C758" s="1">
        <x:f>IFERROR(__xludf.DUMMYFUNCTION("""COMPUTED_VALUE"""),"2006")</x:f>
      </x:c>
    </x:row>
    <x:row r="759" spans="1:10">
      <x:c r="A759" s="1" t="s">
        <x:v>768</x:v>
      </x:c>
      <x:c r="B759" s="1">
        <x:f>IFERROR(__xludf.DUMMYFUNCTION("""COMPUTED_VALUE"""),"Bobby Z")</x:f>
      </x:c>
      <x:c r="C759" s="1">
        <x:f>IFERROR(__xludf.DUMMYFUNCTION("""COMPUTED_VALUE"""),"2007")</x:f>
      </x:c>
    </x:row>
    <x:row r="760" spans="1:10">
      <x:c r="A760" s="1" t="s">
        <x:v>769</x:v>
      </x:c>
      <x:c r="B760" s="1">
        <x:f>IFERROR(__xludf.DUMMYFUNCTION("""COMPUTED_VALUE"""),"Boda sense fi")</x:f>
      </x:c>
      <x:c r="C760" s="1">
        <x:f>IFERROR(__xludf.DUMMYFUNCTION("""COMPUTED_VALUE"""),"2020")</x:f>
      </x:c>
    </x:row>
    <x:row r="761" spans="1:10">
      <x:c r="A761" s="1" t="s">
        <x:v>770</x:v>
      </x:c>
      <x:c r="B761" s="1">
        <x:f>IFERROR(__xludf.DUMMYFUNCTION("""COMPUTED_VALUE"""),"Boig d'amor")</x:f>
      </x:c>
      <x:c r="C761" s="1">
        <x:f>IFERROR(__xludf.DUMMYFUNCTION("""COMPUTED_VALUE"""),"2019")</x:f>
      </x:c>
    </x:row>
    <x:row r="762" spans="1:10">
      <x:c r="A762" s="1" t="s">
        <x:v>771</x:v>
      </x:c>
      <x:c r="B762" s="1">
        <x:f>IFERROR(__xludf.DUMMYFUNCTION("""COMPUTED_VALUE"""),"Boiling Point")</x:f>
      </x:c>
      <x:c r="C762" s="1">
        <x:f>IFERROR(__xludf.DUMMYFUNCTION("""COMPUTED_VALUE"""),"2021")</x:f>
      </x:c>
    </x:row>
    <x:row r="763" spans="1:10">
      <x:c r="A763" s="1" t="s">
        <x:v>772</x:v>
      </x:c>
      <x:c r="B763" s="1">
        <x:f>IFERROR(__xludf.DUMMYFUNCTION("""COMPUTED_VALUE"""),"Boja acadèmia de policia")</x:f>
      </x:c>
      <x:c r="C763" s="1">
        <x:f>IFERROR(__xludf.DUMMYFUNCTION("""COMPUTED_VALUE"""),"1984")</x:f>
      </x:c>
    </x:row>
    <x:row r="764" spans="1:10">
      <x:c r="A764" s="1" t="s">
        <x:v>773</x:v>
      </x:c>
      <x:c r="B764" s="1">
        <x:f>IFERROR(__xludf.DUMMYFUNCTION("""COMPUTED_VALUE"""),"Boja acadèmia de policia 2: la primera missió")</x:f>
      </x:c>
      <x:c r="C764" s="1">
        <x:f>IFERROR(__xludf.DUMMYFUNCTION("""COMPUTED_VALUE"""),"1985")</x:f>
      </x:c>
    </x:row>
    <x:row r="765" spans="1:10">
      <x:c r="A765" s="1" t="s">
        <x:v>774</x:v>
      </x:c>
      <x:c r="B765" s="1">
        <x:f>IFERROR(__xludf.DUMMYFUNCTION("""COMPUTED_VALUE"""),"Boja evasió")</x:f>
      </x:c>
      <x:c r="C765" s="1">
        <x:f>IFERROR(__xludf.DUMMYFUNCTION("""COMPUTED_VALUE"""),"1974")</x:f>
      </x:c>
    </x:row>
    <x:row r="766" spans="1:10">
      <x:c r="A766" s="1" t="s">
        <x:v>775</x:v>
      </x:c>
      <x:c r="B766" s="1">
        <x:f>IFERROR(__xludf.DUMMYFUNCTION("""COMPUTED_VALUE"""),"Boja seducció")</x:f>
      </x:c>
      <x:c r="C766" s="1">
        <x:f>IFERROR(__xludf.DUMMYFUNCTION("""COMPUTED_VALUE"""),"2001")</x:f>
      </x:c>
    </x:row>
    <x:row r="767" spans="1:10">
      <x:c r="A767" s="1" t="s">
        <x:v>776</x:v>
      </x:c>
      <x:c r="B767" s="1">
        <x:f>IFERROR(__xludf.DUMMYFUNCTION("""COMPUTED_VALUE"""),"Bojos a Alabama")</x:f>
      </x:c>
      <x:c r="C767" s="1">
        <x:f>IFERROR(__xludf.DUMMYFUNCTION("""COMPUTED_VALUE"""),"1999")</x:f>
      </x:c>
    </x:row>
    <x:row r="768" spans="1:10">
      <x:c r="A768" s="1" t="s">
        <x:v>777</x:v>
      </x:c>
      <x:c r="B768" s="1">
        <x:f>IFERROR(__xludf.DUMMYFUNCTION("""COMPUTED_VALUE"""),"Bojos de l'aire")</x:f>
      </x:c>
      <x:c r="C768" s="1">
        <x:f>IFERROR(__xludf.DUMMYFUNCTION("""COMPUTED_VALUE"""),"1939")</x:f>
      </x:c>
    </x:row>
    <x:row r="769" spans="1:10">
      <x:c r="A769" s="1" t="s">
        <x:v>778</x:v>
      </x:c>
      <x:c r="B769" s="1">
        <x:f>IFERROR(__xludf.DUMMYFUNCTION("""COMPUTED_VALUE"""),"Bojos pel surf")</x:f>
      </x:c>
      <x:c r="C769" s="1">
        <x:f>IFERROR(__xludf.DUMMYFUNCTION("""COMPUTED_VALUE"""),"2007")</x:f>
      </x:c>
    </x:row>
    <x:row r="770" spans="1:10">
      <x:c r="A770" s="1" t="s">
        <x:v>779</x:v>
      </x:c>
      <x:c r="B770" s="1">
        <x:f>IFERROR(__xludf.DUMMYFUNCTION("""COMPUTED_VALUE"""),"Bola de Drac Super: el Superheroi")</x:f>
      </x:c>
      <x:c r="C770" s="1">
        <x:f>IFERROR(__xludf.DUMMYFUNCTION("""COMPUTED_VALUE"""),"2022")</x:f>
      </x:c>
    </x:row>
    <x:row r="771" spans="1:10">
      <x:c r="A771" s="1" t="s">
        <x:v>780</x:v>
      </x:c>
      <x:c r="B771" s="1">
        <x:f>IFERROR(__xludf.DUMMYFUNCTION("""COMPUTED_VALUE"""),"Bola de Drac Z 1: Garlic Júnior Immortal")</x:f>
      </x:c>
      <x:c r="C771" s="1">
        <x:f>IFERROR(__xludf.DUMMYFUNCTION("""COMPUTED_VALUE"""),"1989")</x:f>
      </x:c>
    </x:row>
    <x:row r="772" spans="1:10">
      <x:c r="A772" s="1" t="s">
        <x:v>781</x:v>
      </x:c>
      <x:c r="B772" s="1">
        <x:f>IFERROR(__xludf.DUMMYFUNCTION("""COMPUTED_VALUE"""),"Bola de Drac Z 2: El més fort del món")</x:f>
      </x:c>
      <x:c r="C772" s="1">
        <x:f>IFERROR(__xludf.DUMMYFUNCTION("""COMPUTED_VALUE"""),"1990")</x:f>
      </x:c>
    </x:row>
    <x:row r="773" spans="1:10">
      <x:c r="A773" s="1" t="s">
        <x:v>782</x:v>
      </x:c>
      <x:c r="B773" s="1">
        <x:f>IFERROR(__xludf.DUMMYFUNCTION("""COMPUTED_VALUE"""),"Bola de Drac Z 3: Superbatalla al món")</x:f>
      </x:c>
      <x:c r="C773" s="1">
        <x:f>IFERROR(__xludf.DUMMYFUNCTION("""COMPUTED_VALUE"""),"1990")</x:f>
      </x:c>
    </x:row>
    <x:row r="774" spans="1:10">
      <x:c r="A774" s="1" t="s">
        <x:v>783</x:v>
      </x:c>
      <x:c r="B774" s="1">
        <x:f>IFERROR(__xludf.DUMMYFUNCTION("""COMPUTED_VALUE"""),"Bola de Drac Z 4: El SuperGuerrer Son Goku")</x:f>
      </x:c>
      <x:c r="C774" s="1">
        <x:f>IFERROR(__xludf.DUMMYFUNCTION("""COMPUTED_VALUE"""),"1991")</x:f>
      </x:c>
    </x:row>
    <x:row r="775" spans="1:10">
      <x:c r="A775" s="1" t="s">
        <x:v>784</x:v>
      </x:c>
      <x:c r="B775" s="1">
        <x:f>IFERROR(__xludf.DUMMYFUNCTION("""COMPUTED_VALUE"""),"Bola de Drac Z 5: Els rivals més forts")</x:f>
      </x:c>
      <x:c r="C775" s="1">
        <x:f>IFERROR(__xludf.DUMMYFUNCTION("""COMPUTED_VALUE"""),"1991")</x:f>
      </x:c>
    </x:row>
    <x:row r="776" spans="1:10">
      <x:c r="A776" s="1" t="s">
        <x:v>785</x:v>
      </x:c>
      <x:c r="B776" s="1">
        <x:f>IFERROR(__xludf.DUMMYFUNCTION("""COMPUTED_VALUE"""),"Bola de Drac Z 6: Lluita entre guerrers de força il·limitada")</x:f>
      </x:c>
      <x:c r="C776" s="1">
        <x:f>IFERROR(__xludf.DUMMYFUNCTION("""COMPUTED_VALUE"""),"1992")</x:f>
      </x:c>
    </x:row>
    <x:row r="777" spans="1:10">
      <x:c r="A777" s="1" t="s">
        <x:v>786</x:v>
      </x:c>
      <x:c r="B777" s="1">
        <x:f>IFERROR(__xludf.DUMMYFUNCTION("""COMPUTED_VALUE"""),"Bola de Drac Z: La Batalla dels Déus")</x:f>
      </x:c>
      <x:c r="C777" s="1">
        <x:f>IFERROR(__xludf.DUMMYFUNCTION("""COMPUTED_VALUE"""),"2013")</x:f>
      </x:c>
    </x:row>
    <x:row r="778" spans="1:10">
      <x:c r="A778" s="1" t="s">
        <x:v>787</x:v>
      </x:c>
      <x:c r="B778" s="1">
        <x:f>IFERROR(__xludf.DUMMYFUNCTION("""COMPUTED_VALUE"""),"Bola de Drac Z: La resurrecció de 'F'")</x:f>
      </x:c>
      <x:c r="C778" s="1">
        <x:f>IFERROR(__xludf.DUMMYFUNCTION("""COMPUTED_VALUE"""),"2015")</x:f>
      </x:c>
    </x:row>
    <x:row r="779" spans="1:10">
      <x:c r="A779" s="1" t="s">
        <x:v>788</x:v>
      </x:c>
      <x:c r="B779" s="1">
        <x:f>IFERROR(__xludf.DUMMYFUNCTION("""COMPUTED_VALUE"""),"Bola de Drac: Aventura mística")</x:f>
      </x:c>
      <x:c r="C779" s="1">
        <x:f>IFERROR(__xludf.DUMMYFUNCTION("""COMPUTED_VALUE"""),"1988")</x:f>
      </x:c>
    </x:row>
    <x:row r="780" spans="1:10">
      <x:c r="A780" s="1" t="s">
        <x:v>789</x:v>
      </x:c>
      <x:c r="B780" s="1">
        <x:f>IFERROR(__xludf.DUMMYFUNCTION("""COMPUTED_VALUE"""),"Bola de Drac: comença la Màgia")</x:f>
      </x:c>
      <x:c r="C780" s="1">
        <x:f>IFERROR(__xludf.DUMMYFUNCTION("""COMPUTED_VALUE"""),"1991")</x:f>
      </x:c>
    </x:row>
    <x:row r="781" spans="1:10">
      <x:c r="A781" s="1" t="s">
        <x:v>790</x:v>
      </x:c>
      <x:c r="B781" s="1">
        <x:f>IFERROR(__xludf.DUMMYFUNCTION("""COMPUTED_VALUE"""),"Bola de Drac: El camí per ser el més fort")</x:f>
      </x:c>
      <x:c r="C781" s="1">
        <x:f>IFERROR(__xludf.DUMMYFUNCTION("""COMPUTED_VALUE"""),"1996")</x:f>
      </x:c>
    </x:row>
    <x:row r="782" spans="1:10">
      <x:c r="A782" s="1" t="s">
        <x:v>791</x:v>
      </x:c>
      <x:c r="B782" s="1">
        <x:f>IFERROR(__xludf.DUMMYFUNCTION("""COMPUTED_VALUE"""),"Bola de Drac: La bella dorment al castell del mal")</x:f>
      </x:c>
      <x:c r="C782" s="1">
        <x:f>IFERROR(__xludf.DUMMYFUNCTION("""COMPUTED_VALUE"""),"1987")</x:f>
      </x:c>
    </x:row>
    <x:row r="783" spans="1:10">
      <x:c r="A783" s="1" t="s">
        <x:v>792</x:v>
      </x:c>
      <x:c r="B783" s="1">
        <x:f>IFERROR(__xludf.DUMMYFUNCTION("""COMPUTED_VALUE"""),"Bola de Drac: La llegenda del drac Xeron")</x:f>
      </x:c>
      <x:c r="C783" s="1">
        <x:f>IFERROR(__xludf.DUMMYFUNCTION("""COMPUTED_VALUE"""),"1986")</x:f>
      </x:c>
    </x:row>
    <x:row r="784" spans="1:10">
      <x:c r="A784" s="1" t="s">
        <x:v>793</x:v>
      </x:c>
      <x:c r="B784" s="1">
        <x:f>IFERROR(__xludf.DUMMYFUNCTION("""COMPUTED_VALUE"""),"Bolt")</x:f>
      </x:c>
      <x:c r="C784" s="1">
        <x:f>IFERROR(__xludf.DUMMYFUNCTION("""COMPUTED_VALUE"""),"2008")</x:f>
      </x:c>
    </x:row>
    <x:row r="785" spans="1:10">
      <x:c r="A785" s="1" t="s">
        <x:v>794</x:v>
      </x:c>
      <x:c r="B785" s="1">
        <x:f>IFERROR(__xludf.DUMMYFUNCTION("""COMPUTED_VALUE"""),"Bon cop de falç. La història de l'himne")</x:f>
      </x:c>
      <x:c r="C785" s="1">
        <x:f>IFERROR(__xludf.DUMMYFUNCTION("""COMPUTED_VALUE"""),"2014")</x:f>
      </x:c>
    </x:row>
    <x:row r="786" spans="1:10">
      <x:c r="A786" s="1" t="s">
        <x:v>795</x:v>
      </x:c>
      <x:c r="B786" s="1">
        <x:f>IFERROR(__xludf.DUMMYFUNCTION("""COMPUTED_VALUE"""),"Bon dia, món!")</x:f>
      </x:c>
      <x:c r="C786" s="1">
        <x:f>IFERROR(__xludf.DUMMYFUNCTION("""COMPUTED_VALUE"""),"2019")</x:f>
      </x:c>
    </x:row>
    <x:row r="787" spans="1:10">
      <x:c r="A787" s="1" t="s">
        <x:v>796</x:v>
      </x:c>
      <x:c r="B787" s="1">
        <x:f>IFERROR(__xludf.DUMMYFUNCTION("""COMPUTED_VALUE"""),"Bon Nadal")</x:f>
      </x:c>
      <x:c r="C787" s="1">
        <x:f>IFERROR(__xludf.DUMMYFUNCTION("""COMPUTED_VALUE"""),"2005")</x:f>
      </x:c>
    </x:row>
    <x:row r="788" spans="1:10">
      <x:c r="A788" s="1" t="s">
        <x:v>797</x:v>
      </x:c>
      <x:c r="B788" s="1">
        <x:f>IFERROR(__xludf.DUMMYFUNCTION("""COMPUTED_VALUE"""),"Bon Nadal, Mr. Lawrence")</x:f>
      </x:c>
      <x:c r="C788" s="1">
        <x:f>IFERROR(__xludf.DUMMYFUNCTION("""COMPUTED_VALUE"""),"1983")</x:f>
      </x:c>
    </x:row>
    <x:row r="789" spans="1:10">
      <x:c r="A789" s="1" t="s">
        <x:v>798</x:v>
      </x:c>
      <x:c r="B789" s="1">
        <x:f>IFERROR(__xludf.DUMMYFUNCTION("""COMPUTED_VALUE"""),"Bon Nadal, petit Batman")</x:f>
      </x:c>
      <x:c r="C789" s="1">
        <x:f>IFERROR(__xludf.DUMMYFUNCTION("""COMPUTED_VALUE"""),"2023")</x:f>
      </x:c>
    </x:row>
    <x:row r="790" spans="1:10">
      <x:c r="A790" s="1" t="s">
        <x:v>799</x:v>
      </x:c>
      <x:c r="B790" s="1">
        <x:f>IFERROR(__xludf.DUMMYFUNCTION("""COMPUTED_VALUE"""),"Bona Gent")</x:f>
      </x:c>
      <x:c r="C790" s="1">
        <x:f>IFERROR(__xludf.DUMMYFUNCTION("""COMPUTED_VALUE"""),"2020")</x:f>
      </x:c>
    </x:row>
    <x:row r="791" spans="1:10">
      <x:c r="A791" s="1" t="s">
        <x:v>800</x:v>
      </x:c>
      <x:c r="B791" s="1">
        <x:f>IFERROR(__xludf.DUMMYFUNCTION("""COMPUTED_VALUE"""),"Bona nit i bona sort")</x:f>
      </x:c>
      <x:c r="C791" s="1">
        <x:f>IFERROR(__xludf.DUMMYFUNCTION("""COMPUTED_VALUE"""),"2005")</x:f>
      </x:c>
    </x:row>
    <x:row r="792" spans="1:10">
      <x:c r="A792" s="1" t="s">
        <x:v>801</x:v>
      </x:c>
      <x:c r="B792" s="1">
        <x:f>IFERROR(__xludf.DUMMYFUNCTION("""COMPUTED_VALUE"""),"Bona sort, Leo Grande")</x:f>
      </x:c>
      <x:c r="C792" s="1">
        <x:f>IFERROR(__xludf.DUMMYFUNCTION("""COMPUTED_VALUE"""),"2022")</x:f>
      </x:c>
    </x:row>
    <x:row r="793" spans="1:10">
      <x:c r="A793" s="1" t="s">
        <x:v>802</x:v>
      </x:c>
      <x:c r="B793" s="1">
        <x:f>IFERROR(__xludf.DUMMYFUNCTION("""COMPUTED_VALUE"""),"Bonic i fantàstic")</x:f>
      </x:c>
      <x:c r="C793" s="1">
        <x:f>IFERROR(__xludf.DUMMYFUNCTION("""COMPUTED_VALUE"""),"2016")</x:f>
      </x:c>
    </x:row>
    <x:row r="794" spans="1:10">
      <x:c r="A794" s="1" t="s">
        <x:v>803</x:v>
      </x:c>
      <x:c r="B794" s="1">
        <x:f>IFERROR(__xludf.DUMMYFUNCTION("""COMPUTED_VALUE"""),"Bonnie i Clyde")</x:f>
      </x:c>
      <x:c r="C794" s="1">
        <x:f>IFERROR(__xludf.DUMMYFUNCTION("""COMPUTED_VALUE"""),"1967")</x:f>
      </x:c>
    </x:row>
    <x:row r="795" spans="1:10">
      <x:c r="A795" s="1" t="s">
        <x:v>804</x:v>
      </x:c>
      <x:c r="B795" s="1">
        <x:f>IFERROR(__xludf.DUMMYFUNCTION("""COMPUTED_VALUE"""),"Bonnie i Clyde contra Francis Hamer")</x:f>
      </x:c>
      <x:c r="C795" s="1">
        <x:f>IFERROR(__xludf.DUMMYFUNCTION("""COMPUTED_VALUE"""),"2015")</x:f>
      </x:c>
    </x:row>
    <x:row r="796" spans="1:10">
      <x:c r="A796" s="1" t="s">
        <x:v>805</x:v>
      </x:c>
      <x:c r="B796" s="1">
        <x:f>IFERROR(__xludf.DUMMYFUNCTION("""COMPUTED_VALUE"""),"Bons veïns")</x:f>
      </x:c>
      <x:c r="C796" s="1">
        <x:f>IFERROR(__xludf.DUMMYFUNCTION("""COMPUTED_VALUE"""),"2010")</x:f>
      </x:c>
    </x:row>
    <x:row r="797" spans="1:10">
      <x:c r="A797" s="1" t="s">
        <x:v>806</x:v>
      </x:c>
      <x:c r="B797" s="1">
        <x:f>IFERROR(__xludf.DUMMYFUNCTION("""COMPUTED_VALUE"""),"Boom Boom")</x:f>
      </x:c>
      <x:c r="C797" s="1">
        <x:f>IFERROR(__xludf.DUMMYFUNCTION("""COMPUTED_VALUE"""),"1990")</x:f>
      </x:c>
    </x:row>
    <x:row r="798" spans="1:10">
      <x:c r="A798" s="1" t="s">
        <x:v>807</x:v>
      </x:c>
      <x:c r="B798" s="1">
        <x:f>IFERROR(__xludf.DUMMYFUNCTION("""COMPUTED_VALUE"""),"Boom, crac, boom")</x:f>
      </x:c>
      <x:c r="C798" s="1">
        <x:f>IFERROR(__xludf.DUMMYFUNCTION("""COMPUTED_VALUE"""),"2015")</x:f>
      </x:c>
    </x:row>
    <x:row r="799" spans="1:10">
      <x:c r="A799" s="1" t="s">
        <x:v>808</x:v>
      </x:c>
      <x:c r="B799" s="1">
        <x:f>IFERROR(__xludf.DUMMYFUNCTION("""COMPUTED_VALUE"""),"Borat")</x:f>
      </x:c>
      <x:c r="C799" s="1">
        <x:f>IFERROR(__xludf.DUMMYFUNCTION("""COMPUTED_VALUE"""),"2006")</x:f>
      </x:c>
    </x:row>
    <x:row r="800" spans="1:10">
      <x:c r="A800" s="1" t="s">
        <x:v>809</x:v>
      </x:c>
      <x:c r="B800" s="1">
        <x:f>IFERROR(__xludf.DUMMYFUNCTION("""COMPUTED_VALUE"""),"Border")</x:f>
      </x:c>
      <x:c r="C800" s="1">
        <x:f>IFERROR(__xludf.DUMMYFUNCTION("""COMPUTED_VALUE"""),"2018")</x:f>
      </x:c>
    </x:row>
    <x:row r="801" spans="1:10">
      <x:c r="A801" s="1" t="s">
        <x:v>810</x:v>
      </x:c>
      <x:c r="B801" s="1">
        <x:f>IFERROR(__xludf.DUMMYFUNCTION("""COMPUTED_VALUE"""),"Borderlands")</x:f>
      </x:c>
      <x:c r="C801" s="1">
        <x:f>IFERROR(__xludf.DUMMYFUNCTION("""COMPUTED_VALUE"""),"2024")</x:f>
      </x:c>
    </x:row>
    <x:row r="802" spans="1:10">
      <x:c r="A802" s="1" t="s">
        <x:v>811</x:v>
      </x:c>
      <x:c r="B802" s="1">
        <x:f>IFERROR(__xludf.DUMMYFUNCTION("""COMPUTED_VALUE"""),"Boris Skossyreff, l’estafador que va ser Rei")</x:f>
      </x:c>
      <x:c r="C802" s="1">
        <x:f>IFERROR(__xludf.DUMMYFUNCTION("""COMPUTED_VALUE"""),"2025")</x:f>
      </x:c>
    </x:row>
    <x:row r="803" spans="1:10">
      <x:c r="A803" s="1" t="s">
        <x:v>812</x:v>
      </x:c>
      <x:c r="B803" s="1">
        <x:f>IFERROR(__xludf.DUMMYFUNCTION("""COMPUTED_VALUE"""),"Born")</x:f>
      </x:c>
      <x:c r="C803" s="1">
        <x:f>IFERROR(__xludf.DUMMYFUNCTION("""COMPUTED_VALUE"""),"2014")</x:f>
      </x:c>
    </x:row>
    <x:row r="804" spans="1:10">
      <x:c r="A804" s="1" t="s">
        <x:v>813</x:v>
      </x:c>
      <x:c r="B804" s="1">
        <x:f>IFERROR(__xludf.DUMMYFUNCTION("""COMPUTED_VALUE"""),"Borratxera de poder")</x:f>
      </x:c>
      <x:c r="C804" s="1">
        <x:f>IFERROR(__xludf.DUMMYFUNCTION("""COMPUTED_VALUE"""),"2006")</x:f>
      </x:c>
    </x:row>
    <x:row r="805" spans="1:10">
      <x:c r="A805" s="1" t="s">
        <x:v>814</x:v>
      </x:c>
      <x:c r="B805" s="1">
        <x:f>IFERROR(__xludf.DUMMYFUNCTION("""COMPUTED_VALUE"""),"Borrowed Time [VOSC]")</x:f>
      </x:c>
      <x:c r="C805" s="1">
        <x:f>IFERROR(__xludf.DUMMYFUNCTION("""COMPUTED_VALUE"""),"2015")</x:f>
      </x:c>
    </x:row>
    <x:row r="806" spans="1:10">
      <x:c r="A806" s="1" t="s">
        <x:v>815</x:v>
      </x:c>
      <x:c r="B806" s="1">
        <x:f>IFERROR(__xludf.DUMMYFUNCTION("""COMPUTED_VALUE"""),"Boruto: 11 Naruto, la pel·lícula")</x:f>
      </x:c>
      <x:c r="C806" s="1">
        <x:f>IFERROR(__xludf.DUMMYFUNCTION("""COMPUTED_VALUE"""),"2015")</x:f>
      </x:c>
    </x:row>
    <x:row r="807" spans="1:10">
      <x:c r="A807" s="1" t="s">
        <x:v>816</x:v>
      </x:c>
      <x:c r="B807" s="1">
        <x:f>IFERROR(__xludf.DUMMYFUNCTION("""COMPUTED_VALUE"""),"Bosc d'ombres (The Backwoods)")</x:f>
      </x:c>
      <x:c r="C807" s="1">
        <x:f>IFERROR(__xludf.DUMMYFUNCTION("""COMPUTED_VALUE"""),"2006")</x:f>
      </x:c>
    </x:row>
    <x:row r="808" spans="1:10">
      <x:c r="A808" s="1" t="s">
        <x:v>817</x:v>
      </x:c>
      <x:c r="B808" s="1">
        <x:f>IFERROR(__xludf.DUMMYFUNCTION("""COMPUTED_VALUE"""),"Bòsnia Malferida")</x:f>
      </x:c>
      <x:c r="C808" s="1">
        <x:f>IFERROR(__xludf.DUMMYFUNCTION("""COMPUTED_VALUE"""),"2007")</x:f>
      </x:c>
    </x:row>
    <x:row r="809" spans="1:10">
      <x:c r="A809" s="1" t="s">
        <x:v>818</x:v>
      </x:c>
      <x:c r="B809" s="1">
        <x:f>IFERROR(__xludf.DUMMYFUNCTION("""COMPUTED_VALUE"""),"Boss Level")</x:f>
      </x:c>
      <x:c r="C809" s="1">
        <x:f>IFERROR(__xludf.DUMMYFUNCTION("""COMPUTED_VALUE"""),"2020")</x:f>
      </x:c>
    </x:row>
    <x:row r="810" spans="1:10">
      <x:c r="A810" s="1" t="s">
        <x:v>819</x:v>
      </x:c>
      <x:c r="B810" s="1">
        <x:f>IFERROR(__xludf.DUMMYFUNCTION("""COMPUTED_VALUE"""),"Boudu")</x:f>
      </x:c>
      <x:c r="C810" s="1">
        <x:f>IFERROR(__xludf.DUMMYFUNCTION("""COMPUTED_VALUE"""),"2005")</x:f>
      </x:c>
    </x:row>
    <x:row r="811" spans="1:10">
      <x:c r="A811" s="1" t="s">
        <x:v>820</x:v>
      </x:c>
      <x:c r="B811" s="1">
        <x:f>IFERROR(__xludf.DUMMYFUNCTION("""COMPUTED_VALUE"""),"Boundin'")</x:f>
      </x:c>
      <x:c r="C811" s="1">
        <x:f>IFERROR(__xludf.DUMMYFUNCTION("""COMPUTED_VALUE"""),"2003")</x:f>
      </x:c>
    </x:row>
    <x:row r="812" spans="1:10">
      <x:c r="A812" s="1" t="s">
        <x:v>821</x:v>
      </x:c>
      <x:c r="B812" s="1">
        <x:f>IFERROR(__xludf.DUMMYFUNCTION("""COMPUTED_VALUE"""),"Box 27")</x:f>
      </x:c>
      <x:c r="C812" s="1">
        <x:f>IFERROR(__xludf.DUMMYFUNCTION("""COMPUTED_VALUE"""),"2016")</x:f>
      </x:c>
    </x:row>
    <x:row r="813" spans="1:10">
      <x:c r="A813" s="1" t="s">
        <x:v>822</x:v>
      </x:c>
      <x:c r="B813" s="1">
        <x:f>IFERROR(__xludf.DUMMYFUNCTION("""COMPUTED_VALUE"""),"Brava")</x:f>
      </x:c>
      <x:c r="C813" s="1">
        <x:f>IFERROR(__xludf.DUMMYFUNCTION("""COMPUTED_VALUE"""),"2017")</x:f>
      </x:c>
    </x:row>
    <x:row r="814" spans="1:10">
      <x:c r="A814" s="1" t="s">
        <x:v>823</x:v>
      </x:c>
      <x:c r="B814" s="1">
        <x:f>IFERROR(__xludf.DUMMYFUNCTION("""COMPUTED_VALUE"""),"Brave (Indomable)")</x:f>
      </x:c>
      <x:c r="C814" s="1">
        <x:f>IFERROR(__xludf.DUMMYFUNCTION("""COMPUTED_VALUE"""),"2012")</x:f>
      </x:c>
    </x:row>
    <x:row r="815" spans="1:10">
      <x:c r="A815" s="1" t="s">
        <x:v>824</x:v>
      </x:c>
      <x:c r="B815" s="1">
        <x:f>IFERROR(__xludf.DUMMYFUNCTION("""COMPUTED_VALUE"""),"Braveheart")</x:f>
      </x:c>
      <x:c r="C815" s="1">
        <x:f>IFERROR(__xludf.DUMMYFUNCTION("""COMPUTED_VALUE"""),"1995")</x:f>
      </x:c>
    </x:row>
    <x:row r="816" spans="1:10">
      <x:c r="A816" s="1" t="s">
        <x:v>825</x:v>
      </x:c>
      <x:c r="B816" s="1">
        <x:f>IFERROR(__xludf.DUMMYFUNCTION("""COMPUTED_VALUE"""),"Breaker Morant [VOSC]")</x:f>
      </x:c>
      <x:c r="C816" s="1">
        <x:f>IFERROR(__xludf.DUMMYFUNCTION("""COMPUTED_VALUE"""),"1980")</x:f>
      </x:c>
    </x:row>
    <x:row r="817" spans="1:10">
      <x:c r="A817" s="1" t="s">
        <x:v>826</x:v>
      </x:c>
      <x:c r="B817" s="1">
        <x:f>IFERROR(__xludf.DUMMYFUNCTION("""COMPUTED_VALUE"""),"Bressols canviats")</x:f>
      </x:c>
      <x:c r="C817" s="1">
        <x:f>IFERROR(__xludf.DUMMYFUNCTION("""COMPUTED_VALUE"""),"2017")</x:f>
      </x:c>
    </x:row>
    <x:row r="818" spans="1:10">
      <x:c r="A818" s="1" t="s">
        <x:v>827</x:v>
      </x:c>
      <x:c r="B818" s="1">
        <x:f>IFERROR(__xludf.DUMMYFUNCTION("""COMPUTED_VALUE"""),"Breu encontre")</x:f>
      </x:c>
      <x:c r="C818" s="1">
        <x:f>IFERROR(__xludf.DUMMYFUNCTION("""COMPUTED_VALUE"""),"1945")</x:f>
      </x:c>
    </x:row>
    <x:row r="819" spans="1:10">
      <x:c r="A819" s="1" t="s">
        <x:v>828</x:v>
      </x:c>
      <x:c r="B819" s="1">
        <x:f>IFERROR(__xludf.DUMMYFUNCTION("""COMPUTED_VALUE"""),"Brick Mansions")</x:f>
      </x:c>
      <x:c r="C819" s="1">
        <x:f>IFERROR(__xludf.DUMMYFUNCTION("""COMPUTED_VALUE"""),"2014")</x:f>
      </x:c>
    </x:row>
    <x:row r="820" spans="1:10">
      <x:c r="A820" s="1" t="s">
        <x:v>829</x:v>
      </x:c>
      <x:c r="B820" s="1">
        <x:f>IFERROR(__xludf.DUMMYFUNCTION("""COMPUTED_VALUE"""),"Bridget Jones: Sobreviuré")</x:f>
      </x:c>
      <x:c r="C820" s="1">
        <x:f>IFERROR(__xludf.DUMMYFUNCTION("""COMPUTED_VALUE"""),"2004")</x:f>
      </x:c>
    </x:row>
    <x:row r="821" spans="1:10">
      <x:c r="A821" s="1" t="s">
        <x:v>830</x:v>
      </x:c>
      <x:c r="B821" s="1">
        <x:f>IFERROR(__xludf.DUMMYFUNCTION("""COMPUTED_VALUE"""),"Bright Star")</x:f>
      </x:c>
      <x:c r="C821" s="1">
        <x:f>IFERROR(__xludf.DUMMYFUNCTION("""COMPUTED_VALUE"""),"2009")</x:f>
      </x:c>
    </x:row>
    <x:row r="822" spans="1:10">
      <x:c r="A822" s="1" t="s">
        <x:v>831</x:v>
      </x:c>
      <x:c r="B822" s="1">
        <x:f>IFERROR(__xludf.DUMMYFUNCTION("""COMPUTED_VALUE"""),"Brillantíssim")</x:f>
      </x:c>
      <x:c r="C822" s="1">
        <x:f>IFERROR(__xludf.DUMMYFUNCTION("""COMPUTED_VALUE"""),"2018")</x:f>
      </x:c>
    </x:row>
    <x:row r="823" spans="1:10">
      <x:c r="A823" s="1" t="s">
        <x:v>832</x:v>
      </x:c>
      <x:c r="B823" s="1">
        <x:f>IFERROR(__xludf.DUMMYFUNCTION("""COMPUTED_VALUE"""),"Brimstone")</x:f>
      </x:c>
      <x:c r="C823" s="1">
        <x:f>IFERROR(__xludf.DUMMYFUNCTION("""COMPUTED_VALUE"""),"2016")</x:f>
      </x:c>
    </x:row>
    <x:row r="824" spans="1:10">
      <x:c r="A824" s="1" t="s">
        <x:v>833</x:v>
      </x:c>
      <x:c r="B824" s="1">
        <x:f>IFERROR(__xludf.DUMMYFUNCTION("""COMPUTED_VALUE"""),"Broadway")</x:f>
      </x:c>
      <x:c r="C824" s="1">
        <x:f>IFERROR(__xludf.DUMMYFUNCTION("""COMPUTED_VALUE"""),"2019")</x:f>
      </x:c>
    </x:row>
    <x:row r="825" spans="1:10">
      <x:c r="A825" s="1" t="s">
        <x:v>834</x:v>
      </x:c>
      <x:c r="B825" s="1">
        <x:f>IFERROR(__xludf.DUMMYFUNCTION("""COMPUTED_VALUE"""),"Broadway Bill")</x:f>
      </x:c>
      <x:c r="C825" s="1">
        <x:f>IFERROR(__xludf.DUMMYFUNCTION("""COMPUTED_VALUE"""),"1934")</x:f>
      </x:c>
    </x:row>
    <x:row r="826" spans="1:10">
      <x:c r="A826" s="1" t="s">
        <x:v>835</x:v>
      </x:c>
      <x:c r="B826" s="1">
        <x:f>IFERROR(__xludf.DUMMYFUNCTION("""COMPUTED_VALUE"""),"Broadway Danny Rose")</x:f>
      </x:c>
      <x:c r="C826" s="1">
        <x:f>IFERROR(__xludf.DUMMYFUNCTION("""COMPUTED_VALUE"""),"1984")</x:f>
      </x:c>
    </x:row>
    <x:row r="827" spans="1:10">
      <x:c r="A827" s="1" t="s">
        <x:v>836</x:v>
      </x:c>
      <x:c r="B827" s="1">
        <x:f>IFERROR(__xludf.DUMMYFUNCTION("""COMPUTED_VALUE"""),"Brokeback Mountain")</x:f>
      </x:c>
      <x:c r="C827" s="1">
        <x:f>IFERROR(__xludf.DUMMYFUNCTION("""COMPUTED_VALUE"""),"2005")</x:f>
      </x:c>
    </x:row>
    <x:row r="828" spans="1:10">
      <x:c r="A828" s="1" t="s">
        <x:v>837</x:v>
      </x:c>
      <x:c r="B828" s="1">
        <x:f>IFERROR(__xludf.DUMMYFUNCTION("""COMPUTED_VALUE"""),"Bronco Billy")</x:f>
      </x:c>
      <x:c r="C828" s="1">
        <x:f>IFERROR(__xludf.DUMMYFUNCTION("""COMPUTED_VALUE"""),"1980")</x:f>
      </x:c>
    </x:row>
    <x:row r="829" spans="1:10">
      <x:c r="A829" s="1" t="s">
        <x:v>838</x:v>
      </x:c>
      <x:c r="B829" s="1">
        <x:f>IFERROR(__xludf.DUMMYFUNCTION("""COMPUTED_VALUE"""),"Brooklyn")</x:f>
      </x:c>
      <x:c r="C829" s="1">
        <x:f>IFERROR(__xludf.DUMMYFUNCTION("""COMPUTED_VALUE"""),"2015")</x:f>
      </x:c>
    </x:row>
    <x:row r="830" spans="1:10">
      <x:c r="A830" s="1" t="s">
        <x:v>839</x:v>
      </x:c>
      <x:c r="B830" s="1">
        <x:f>IFERROR(__xludf.DUMMYFUNCTION("""COMPUTED_VALUE"""),"Brothers (Germans)")</x:f>
      </x:c>
      <x:c r="C830" s="1">
        <x:f>IFERROR(__xludf.DUMMYFUNCTION("""COMPUTED_VALUE"""),"2009")</x:f>
      </x:c>
    </x:row>
    <x:row r="831" spans="1:10">
      <x:c r="A831" s="1" t="s">
        <x:v>840</x:v>
      </x:c>
      <x:c r="B831" s="1">
        <x:f>IFERROR(__xludf.DUMMYFUNCTION("""COMPUTED_VALUE"""),"Bruc. La llegenda")</x:f>
      </x:c>
      <x:c r="C831" s="1">
        <x:f>IFERROR(__xludf.DUMMYFUNCTION("""COMPUTED_VALUE"""),"2010")</x:f>
      </x:c>
    </x:row>
    <x:row r="832" spans="1:10">
      <x:c r="A832" s="1" t="s">
        <x:v>841</x:v>
      </x:c>
      <x:c r="B832" s="1">
        <x:f>IFERROR(__xludf.DUMMYFUNCTION("""COMPUTED_VALUE"""),"Bruce Springsteen And The E Street Band: Live In New York City")</x:f>
      </x:c>
      <x:c r="C832" s="1">
        <x:f>IFERROR(__xludf.DUMMYFUNCTION("""COMPUTED_VALUE"""),"2000")</x:f>
      </x:c>
    </x:row>
    <x:row r="833" spans="1:10">
      <x:c r="A833" s="1" t="s">
        <x:v>842</x:v>
      </x:c>
      <x:c r="B833" s="1">
        <x:f>IFERROR(__xludf.DUMMYFUNCTION("""COMPUTED_VALUE"""),"Bruixes, la gran mentida")</x:f>
      </x:c>
      <x:c r="C833" s="1">
        <x:f>IFERROR(__xludf.DUMMYFUNCTION("""COMPUTED_VALUE"""),"2022")</x:f>
      </x:c>
    </x:row>
    <x:row r="834" spans="1:10">
      <x:c r="A834" s="1" t="s">
        <x:v>843</x:v>
      </x:c>
      <x:c r="B834" s="1">
        <x:f>IFERROR(__xludf.DUMMYFUNCTION("""COMPUTED_VALUE"""),"Brüno")</x:f>
      </x:c>
      <x:c r="C834" s="1">
        <x:f>IFERROR(__xludf.DUMMYFUNCTION("""COMPUTED_VALUE"""),"2009")</x:f>
      </x:c>
    </x:row>
    <x:row r="835" spans="1:10">
      <x:c r="A835" s="1" t="s">
        <x:v>844</x:v>
      </x:c>
      <x:c r="B835" s="1">
        <x:f>IFERROR(__xludf.DUMMYFUNCTION("""COMPUTED_VALUE"""),"Bucarest, la memòria perduda")</x:f>
      </x:c>
      <x:c r="C835" s="1">
        <x:f>IFERROR(__xludf.DUMMYFUNCTION("""COMPUTED_VALUE"""),"2008")</x:f>
      </x:c>
    </x:row>
    <x:row r="836" spans="1:10">
      <x:c r="A836" s="1" t="s">
        <x:v>845</x:v>
      </x:c>
      <x:c r="B836" s="1">
        <x:f>IFERROR(__xludf.DUMMYFUNCTION("""COMPUTED_VALUE"""),"Buchanan cavalca sol")</x:f>
      </x:c>
      <x:c r="C836" s="1">
        <x:f>IFERROR(__xludf.DUMMYFUNCTION("""COMPUTED_VALUE"""),"1958")</x:f>
      </x:c>
    </x:row>
    <x:row r="837" spans="1:10">
      <x:c r="A837" s="1" t="s">
        <x:v>846</x:v>
      </x:c>
      <x:c r="B837" s="1">
        <x:f>IFERROR(__xludf.DUMMYFUNCTION("""COMPUTED_VALUE"""),"Buck i el predicador")</x:f>
      </x:c>
      <x:c r="C837" s="1">
        <x:f>IFERROR(__xludf.DUMMYFUNCTION("""COMPUTED_VALUE"""),"1972")</x:f>
      </x:c>
    </x:row>
    <x:row r="838" spans="1:10">
      <x:c r="A838" s="1" t="s">
        <x:v>847</x:v>
      </x:c>
      <x:c r="B838" s="1">
        <x:f>IFERROR(__xludf.DUMMYFUNCTION("""COMPUTED_VALUE"""),"Buda 2, camí a la il·luminació")</x:f>
      </x:c>
      <x:c r="C838" s="1">
        <x:f>IFERROR(__xludf.DUMMYFUNCTION("""COMPUTED_VALUE"""),"2014")</x:f>
      </x:c>
    </x:row>
    <x:row r="839" spans="1:10">
      <x:c r="A839" s="1" t="s">
        <x:v>848</x:v>
      </x:c>
      <x:c r="B839" s="1">
        <x:f>IFERROR(__xludf.DUMMYFUNCTION("""COMPUTED_VALUE"""),"Buda va explotar de vergonya")</x:f>
      </x:c>
      <x:c r="C839" s="1">
        <x:f>IFERROR(__xludf.DUMMYFUNCTION("""COMPUTED_VALUE"""),"2007")</x:f>
      </x:c>
    </x:row>
    <x:row r="840" spans="1:10">
      <x:c r="A840" s="1" t="s">
        <x:v>849</x:v>
      </x:c>
      <x:c r="B840" s="1">
        <x:f>IFERROR(__xludf.DUMMYFUNCTION("""COMPUTED_VALUE"""),"Buffalo Kids")</x:f>
      </x:c>
      <x:c r="C840" s="1">
        <x:f>IFERROR(__xludf.DUMMYFUNCTION("""COMPUTED_VALUE"""),"2024")</x:f>
      </x:c>
    </x:row>
    <x:row r="841" spans="1:10">
      <x:c r="A841" s="1" t="s">
        <x:v>850</x:v>
      </x:c>
      <x:c r="B841" s="1">
        <x:f>IFERROR(__xludf.DUMMYFUNCTION("""COMPUTED_VALUE"""),"Bugarach")</x:f>
      </x:c>
      <x:c r="C841" s="1">
        <x:f>IFERROR(__xludf.DUMMYFUNCTION("""COMPUTED_VALUE"""),"2014")</x:f>
      </x:c>
    </x:row>
    <x:row r="842" spans="1:10">
      <x:c r="A842" s="1" t="s">
        <x:v>851</x:v>
      </x:c>
      <x:c r="B842" s="1">
        <x:f>IFERROR(__xludf.DUMMYFUNCTION("""COMPUTED_VALUE"""),"Bullitt")</x:f>
      </x:c>
      <x:c r="C842" s="1">
        <x:f>IFERROR(__xludf.DUMMYFUNCTION("""COMPUTED_VALUE"""),"1968")</x:f>
      </x:c>
    </x:row>
    <x:row r="843" spans="1:10">
      <x:c r="A843" s="1" t="s">
        <x:v>852</x:v>
      </x:c>
      <x:c r="B843" s="1">
        <x:f>IFERROR(__xludf.DUMMYFUNCTION("""COMPUTED_VALUE"""),"Bullying")</x:f>
      </x:c>
      <x:c r="C843" s="1">
        <x:f>IFERROR(__xludf.DUMMYFUNCTION("""COMPUTED_VALUE"""),"2009")</x:f>
      </x:c>
    </x:row>
    <x:row r="844" spans="1:10">
      <x:c r="A844" s="1" t="s">
        <x:v>853</x:v>
      </x:c>
      <x:c r="B844" s="1">
        <x:f>IFERROR(__xludf.DUMMYFUNCTION("""COMPUTED_VALUE"""),"Bumerang, o les males maneres")</x:f>
      </x:c>
      <x:c r="C844" s="1">
        <x:f>IFERROR(__xludf.DUMMYFUNCTION("""COMPUTED_VALUE"""),"2021")</x:f>
      </x:c>
    </x:row>
    <x:row r="845" spans="1:10">
      <x:c r="A845" s="1" t="s">
        <x:v>854</x:v>
      </x:c>
      <x:c r="B845" s="1">
        <x:f>IFERROR(__xludf.DUMMYFUNCTION("""COMPUTED_VALUE"""),"Burlesque")</x:f>
      </x:c>
      <x:c r="C845" s="1">
        <x:f>IFERROR(__xludf.DUMMYFUNCTION("""COMPUTED_VALUE"""),"2010")</x:f>
      </x:c>
    </x:row>
    <x:row r="846" spans="1:10">
      <x:c r="A846" s="1" t="s">
        <x:v>855</x:v>
      </x:c>
      <x:c r="B846" s="1">
        <x:f>IFERROR(__xludf.DUMMYFUNCTION("""COMPUTED_VALUE"""),"Bus Stop")</x:f>
      </x:c>
      <x:c r="C846" s="1">
        <x:f>IFERROR(__xludf.DUMMYFUNCTION("""COMPUTED_VALUE"""),"1956")</x:f>
      </x:c>
    </x:row>
    <x:row r="847" spans="1:10">
      <x:c r="A847" s="1" t="s">
        <x:v>856</x:v>
      </x:c>
      <x:c r="B847" s="1">
        <x:f>IFERROR(__xludf.DUMMYFUNCTION("""COMPUTED_VALUE"""),"Buscant el nen de Nagasaki")</x:f>
      </x:c>
      <x:c r="C847" s="1">
        <x:f>IFERROR(__xludf.DUMMYFUNCTION("""COMPUTED_VALUE"""),"2020")</x:f>
      </x:c>
    </x:row>
    <x:row r="848" spans="1:10">
      <x:c r="A848" s="1" t="s">
        <x:v>857</x:v>
      </x:c>
      <x:c r="B848" s="1">
        <x:f>IFERROR(__xludf.DUMMYFUNCTION("""COMPUTED_VALUE"""),"Buscant en Nemo")</x:f>
      </x:c>
      <x:c r="C848" s="1">
        <x:f>IFERROR(__xludf.DUMMYFUNCTION("""COMPUTED_VALUE"""),"2003")</x:f>
      </x:c>
    </x:row>
    <x:row r="849" spans="1:10">
      <x:c r="A849" s="1" t="s">
        <x:v>858</x:v>
      </x:c>
      <x:c r="B849" s="1">
        <x:f>IFERROR(__xludf.DUMMYFUNCTION("""COMPUTED_VALUE"""),"Buscant l'Amanda")</x:f>
      </x:c>
      <x:c r="C849" s="1">
        <x:f>IFERROR(__xludf.DUMMYFUNCTION("""COMPUTED_VALUE"""),"2008")</x:f>
      </x:c>
    </x:row>
    <x:row r="850" spans="1:10">
      <x:c r="A850" s="1" t="s">
        <x:v>859</x:v>
      </x:c>
      <x:c r="B850" s="1">
        <x:f>IFERROR(__xludf.DUMMYFUNCTION("""COMPUTED_VALUE"""),"Buscant l'Eric")</x:f>
      </x:c>
      <x:c r="C850" s="1">
        <x:f>IFERROR(__xludf.DUMMYFUNCTION("""COMPUTED_VALUE"""),"2009")</x:f>
      </x:c>
    </x:row>
    <x:row r="851" spans="1:10">
      <x:c r="A851" s="1" t="s">
        <x:v>860</x:v>
      </x:c>
      <x:c r="B851" s="1">
        <x:f>IFERROR(__xludf.DUMMYFUNCTION("""COMPUTED_VALUE"""),"Buscant l'home perfecte")</x:f>
      </x:c>
      <x:c r="C851" s="1">
        <x:f>IFERROR(__xludf.DUMMYFUNCTION("""COMPUTED_VALUE"""),"2008")</x:f>
      </x:c>
    </x:row>
    <x:row r="852" spans="1:10">
      <x:c r="A852" s="1" t="s">
        <x:v>861</x:v>
      </x:c>
      <x:c r="B852" s="1">
        <x:f>IFERROR(__xludf.DUMMYFUNCTION("""COMPUTED_VALUE"""),"Buscant la Dory")</x:f>
      </x:c>
      <x:c r="C852" s="1">
        <x:f>IFERROR(__xludf.DUMMYFUNCTION("""COMPUTED_VALUE"""),"2016")</x:f>
      </x:c>
    </x:row>
    <x:row r="853" spans="1:10">
      <x:c r="A853" s="1" t="s">
        <x:v>862</x:v>
      </x:c>
      <x:c r="B853" s="1">
        <x:f>IFERROR(__xludf.DUMMYFUNCTION("""COMPUTED_VALUE"""),"Buscant la màgica Doremi")</x:f>
      </x:c>
      <x:c r="C853" s="1">
        <x:f>IFERROR(__xludf.DUMMYFUNCTION("""COMPUTED_VALUE"""),"2020")</x:f>
      </x:c>
    </x:row>
    <x:row r="854" spans="1:10">
      <x:c r="A854" s="1" t="s">
        <x:v>863</x:v>
      </x:c>
      <x:c r="B854" s="1">
        <x:f>IFERROR(__xludf.DUMMYFUNCTION("""COMPUTED_VALUE"""),"Buscant un final feliç")</x:f>
      </x:c>
      <x:c r="C854" s="1">
        <x:f>IFERROR(__xludf.DUMMYFUNCTION("""COMPUTED_VALUE"""),"2013")</x:f>
      </x:c>
    </x:row>
    <x:row r="855" spans="1:10">
      <x:c r="A855" s="1" t="s">
        <x:v>864</x:v>
      </x:c>
      <x:c r="B855" s="1">
        <x:f>IFERROR(__xludf.DUMMYFUNCTION("""COMPUTED_VALUE"""),"Buster, el robatori del segle")</x:f>
      </x:c>
      <x:c r="C855" s="1">
        <x:f>IFERROR(__xludf.DUMMYFUNCTION("""COMPUTED_VALUE"""),"1988")</x:f>
      </x:c>
    </x:row>
    <x:row r="856" spans="1:10">
      <x:c r="A856" s="1" t="s">
        <x:v>865</x:v>
      </x:c>
      <x:c r="B856" s="1">
        <x:f>IFERROR(__xludf.DUMMYFUNCTION("""COMPUTED_VALUE"""),"Bye bye Berlusconi!")</x:f>
      </x:c>
      <x:c r="C856" s="1">
        <x:f>IFERROR(__xludf.DUMMYFUNCTION("""COMPUTED_VALUE"""),"2006")</x:f>
      </x:c>
    </x:row>
    <x:row r="857" spans="1:10">
      <x:c r="A857" s="1" t="s">
        <x:v>866</x:v>
      </x:c>
      <x:c r="B857" s="1">
        <x:f>IFERROR(__xludf.DUMMYFUNCTION("""COMPUTED_VALUE"""),"Bye Bye Monstre")</x:f>
      </x:c>
      <x:c r="C857" s="1">
        <x:f>IFERROR(__xludf.DUMMYFUNCTION("""COMPUTED_VALUE"""),"2022")</x:f>
      </x:c>
    </x:row>
    <x:row r="858" spans="1:10">
      <x:c r="A858" s="1" t="s">
        <x:v>867</x:v>
      </x:c>
      <x:c r="B858" s="1">
        <x:f>IFERROR(__xludf.DUMMYFUNCTION("""COMPUTED_VALUE"""),"Bypass")</x:f>
      </x:c>
      <x:c r="C858" s="1">
        <x:f>IFERROR(__xludf.DUMMYFUNCTION("""COMPUTED_VALUE"""),"2012")</x:f>
      </x:c>
    </x:row>
    <x:row r="859" spans="1:10">
      <x:c r="A859" s="1" t="s">
        <x:v>868</x:v>
      </x:c>
      <x:c r="B859" s="1">
        <x:f>IFERROR(__xludf.DUMMYFUNCTION("""COMPUTED_VALUE"""),"C'est la vie")</x:f>
      </x:c>
      <x:c r="C859" s="1">
        <x:f>IFERROR(__xludf.DUMMYFUNCTION("""COMPUTED_VALUE"""),"2017")</x:f>
      </x:c>
    </x:row>
    <x:row r="860" spans="1:10">
      <x:c r="A860" s="1" t="s">
        <x:v>869</x:v>
      </x:c>
      <x:c r="B860" s="1">
        <x:f>IFERROR(__xludf.DUMMYFUNCTION("""COMPUTED_VALUE"""),"Caça a l'assassí")</x:f>
      </x:c>
      <x:c r="C860" s="1">
        <x:f>IFERROR(__xludf.DUMMYFUNCTION("""COMPUTED_VALUE"""),"2015")</x:f>
      </x:c>
    </x:row>
    <x:row r="861" spans="1:10">
      <x:c r="A861" s="1" t="s">
        <x:v>870</x:v>
      </x:c>
      <x:c r="B861" s="1">
        <x:f>IFERROR(__xludf.DUMMYFUNCTION("""COMPUTED_VALUE"""),"Caça a l'espia")</x:f>
      </x:c>
      <x:c r="C861" s="1">
        <x:f>IFERROR(__xludf.DUMMYFUNCTION("""COMPUTED_VALUE"""),"2010")</x:f>
      </x:c>
    </x:row>
    <x:row r="862" spans="1:10">
      <x:c r="A862" s="1" t="s">
        <x:v>871</x:v>
      </x:c>
      <x:c r="B862" s="1">
        <x:f>IFERROR(__xludf.DUMMYFUNCTION("""COMPUTED_VALUE"""),"Caça humana")</x:f>
      </x:c>
      <x:c r="C862" s="1">
        <x:f>IFERROR(__xludf.DUMMYFUNCTION("""COMPUTED_VALUE"""),"2013")</x:f>
      </x:c>
    </x:row>
    <x:row r="863" spans="1:10">
      <x:c r="A863" s="1" t="s">
        <x:v>872</x:v>
      </x:c>
      <x:c r="B863" s="1">
        <x:f>IFERROR(__xludf.DUMMYFUNCTION("""COMPUTED_VALUE"""),"Caça major")</x:f>
      </x:c>
      <x:c r="C863" s="1">
        <x:f>IFERROR(__xludf.DUMMYFUNCTION("""COMPUTED_VALUE"""),"2014")</x:f>
      </x:c>
    </x:row>
    <x:row r="864" spans="1:10">
      <x:c r="A864" s="1" t="s">
        <x:v>873</x:v>
      </x:c>
      <x:c r="B864" s="1">
        <x:f>IFERROR(__xludf.DUMMYFUNCTION("""COMPUTED_VALUE"""),"Caçador blanc, cor negre")</x:f>
      </x:c>
      <x:c r="C864" s="1">
        <x:f>IFERROR(__xludf.DUMMYFUNCTION("""COMPUTED_VALUE"""),"1990")</x:f>
      </x:c>
    </x:row>
    <x:row r="865" spans="1:10">
      <x:c r="A865" s="1" t="s">
        <x:v>874</x:v>
      </x:c>
      <x:c r="B865" s="1">
        <x:f>IFERROR(__xludf.DUMMYFUNCTION("""COMPUTED_VALUE"""),"Caçador de taurons")</x:f>
      </x:c>
      <x:c r="C865" s="1">
        <x:f>IFERROR(__xludf.DUMMYFUNCTION("""COMPUTED_VALUE"""),"2001")</x:f>
      </x:c>
    </x:row>
    <x:row r="866" spans="1:10">
      <x:c r="A866" s="1" t="s">
        <x:v>875</x:v>
      </x:c>
      <x:c r="B866" s="1">
        <x:f>IFERROR(__xludf.DUMMYFUNCTION("""COMPUTED_VALUE"""),"Caçadors d'ombres: Ciutat d'ossos")</x:f>
      </x:c>
      <x:c r="C866" s="1">
        <x:f>IFERROR(__xludf.DUMMYFUNCTION("""COMPUTED_VALUE"""),"2013")</x:f>
      </x:c>
    </x:row>
    <x:row r="867" spans="1:10">
      <x:c r="A867" s="1" t="s">
        <x:v>876</x:v>
      </x:c>
      <x:c r="B867" s="1">
        <x:f>IFERROR(__xludf.DUMMYFUNCTION("""COMPUTED_VALUE"""),"Caçadors de dracs")</x:f>
      </x:c>
      <x:c r="C867" s="1">
        <x:f>IFERROR(__xludf.DUMMYFUNCTION("""COMPUTED_VALUE"""),"2008")</x:f>
      </x:c>
    </x:row>
    <x:row r="868" spans="1:10">
      <x:c r="A868" s="1" t="s">
        <x:v>877</x:v>
      </x:c>
      <x:c r="B868" s="1">
        <x:f>IFERROR(__xludf.DUMMYFUNCTION("""COMPUTED_VALUE"""),"Caçafantasmes")</x:f>
      </x:c>
      <x:c r="C868" s="1">
        <x:f>IFERROR(__xludf.DUMMYFUNCTION("""COMPUTED_VALUE"""),"2016")</x:f>
      </x:c>
    </x:row>
    <x:row r="869" spans="1:10">
      <x:c r="A869" s="1" t="s">
        <x:v>878</x:v>
      </x:c>
      <x:c r="B869" s="1">
        <x:f>IFERROR(__xludf.DUMMYFUNCTION("""COMPUTED_VALUE"""),"Cada cop que respires")</x:f>
      </x:c>
      <x:c r="C869" s="1">
        <x:f>IFERROR(__xludf.DUMMYFUNCTION("""COMPUTED_VALUE"""),"2021")</x:f>
      </x:c>
    </x:row>
    <x:row r="870" spans="1:10">
      <x:c r="A870" s="1" t="s">
        <x:v>879</x:v>
      </x:c>
      <x:c r="B870" s="1">
        <x:f>IFERROR(__xludf.DUMMYFUNCTION("""COMPUTED_VALUE"""),"Cada dia")</x:f>
      </x:c>
      <x:c r="C870" s="1">
        <x:f>IFERROR(__xludf.DUMMYFUNCTION("""COMPUTED_VALUE"""),"2010")</x:f>
      </x:c>
    </x:row>
    <x:row r="871" spans="1:10">
      <x:c r="A871" s="1" t="s">
        <x:v>880</x:v>
      </x:c>
      <x:c r="B871" s="1">
        <x:f>IFERROR(__xludf.DUMMYFUNCTION("""COMPUTED_VALUE"""),"Cadena de favors")</x:f>
      </x:c>
      <x:c r="C871" s="1">
        <x:f>IFERROR(__xludf.DUMMYFUNCTION("""COMPUTED_VALUE"""),"2000")</x:f>
      </x:c>
    </x:row>
    <x:row r="872" spans="1:10">
      <x:c r="A872" s="1" t="s">
        <x:v>881</x:v>
      </x:c>
      <x:c r="B872" s="1">
        <x:f>IFERROR(__xludf.DUMMYFUNCTION("""COMPUTED_VALUE"""),"Cadena perpètua")</x:f>
      </x:c>
      <x:c r="C872" s="1">
        <x:f>IFERROR(__xludf.DUMMYFUNCTION("""COMPUTED_VALUE"""),"1994")</x:f>
      </x:c>
    </x:row>
    <x:row r="873" spans="1:10">
      <x:c r="A873" s="1" t="s">
        <x:v>882</x:v>
      </x:c>
      <x:c r="B873" s="1">
        <x:f>IFERROR(__xludf.DUMMYFUNCTION("""COMPUTED_VALUE"""),"Cadillac Records")</x:f>
      </x:c>
      <x:c r="C873" s="1">
        <x:f>IFERROR(__xludf.DUMMYFUNCTION("""COMPUTED_VALUE"""),"2008")</x:f>
      </x:c>
    </x:row>
    <x:row r="874" spans="1:10">
      <x:c r="A874" s="1" t="s">
        <x:v>883</x:v>
      </x:c>
      <x:c r="B874" s="1">
        <x:f>IFERROR(__xludf.DUMMYFUNCTION("""COMPUTED_VALUE"""),"Cafarnaüm")</x:f>
      </x:c>
      <x:c r="C874" s="1">
        <x:f>IFERROR(__xludf.DUMMYFUNCTION("""COMPUTED_VALUE"""),"2018")</x:f>
      </x:c>
    </x:row>
    <x:row r="875" spans="1:10">
      <x:c r="A875" s="1" t="s">
        <x:v>884</x:v>
      </x:c>
      <x:c r="B875" s="1">
        <x:f>IFERROR(__xludf.DUMMYFUNCTION("""COMPUTED_VALUE"""),"Cafè de Flore")</x:f>
      </x:c>
      <x:c r="C875" s="1">
        <x:f>IFERROR(__xludf.DUMMYFUNCTION("""COMPUTED_VALUE"""),"2011")</x:f>
      </x:c>
    </x:row>
    <x:row r="876" spans="1:10">
      <x:c r="A876" s="1" t="s">
        <x:v>885</x:v>
      </x:c>
      <x:c r="B876" s="1">
        <x:f>IFERROR(__xludf.DUMMYFUNCTION("""COMPUTED_VALUE"""),"Café Society")</x:f>
      </x:c>
      <x:c r="C876" s="1">
        <x:f>IFERROR(__xludf.DUMMYFUNCTION("""COMPUTED_VALUE"""),"2016")</x:f>
      </x:c>
    </x:row>
    <x:row r="877" spans="1:10">
      <x:c r="A877" s="1" t="s">
        <x:v>886</x:v>
      </x:c>
      <x:c r="B877" s="1">
        <x:f>IFERROR(__xludf.DUMMYFUNCTION("""COMPUTED_VALUE"""),"Cala reial")</x:f>
      </x:c>
      <x:c r="C877" s="1">
        <x:f>IFERROR(__xludf.DUMMYFUNCTION("""COMPUTED_VALUE"""),"2003")</x:f>
      </x:c>
    </x:row>
    <x:row r="878" spans="1:10">
      <x:c r="A878" s="1" t="s">
        <x:v>887</x:v>
      </x:c>
      <x:c r="B878" s="1">
        <x:f>IFERROR(__xludf.DUMMYFUNCTION("""COMPUTED_VALUE"""),"Calfred")</x:f>
      </x:c>
      <x:c r="C878" s="1">
        <x:f>IFERROR(__xludf.DUMMYFUNCTION("""COMPUTED_VALUE"""),"2001")</x:f>
      </x:c>
    </x:row>
    <x:row r="879" spans="1:10">
      <x:c r="A879" s="1" t="s">
        <x:v>888</x:v>
      </x:c>
      <x:c r="B879" s="1">
        <x:f>IFERROR(__xludf.DUMMYFUNCTION("""COMPUTED_VALUE"""),"Calibre 45")</x:f>
      </x:c>
      <x:c r="C879" s="1">
        <x:f>IFERROR(__xludf.DUMMYFUNCTION("""COMPUTED_VALUE"""),"2006")</x:f>
      </x:c>
    </x:row>
    <x:row r="880" spans="1:10">
      <x:c r="A880" s="1" t="s">
        <x:v>889</x:v>
      </x:c>
      <x:c r="B880" s="1">
        <x:f>IFERROR(__xludf.DUMMYFUNCTION("""COMPUTED_VALUE"""),"California Suite")</x:f>
      </x:c>
      <x:c r="C880" s="1">
        <x:f>IFERROR(__xludf.DUMMYFUNCTION("""COMPUTED_VALUE"""),"1978")</x:f>
      </x:c>
    </x:row>
    <x:row r="881" spans="1:10">
      <x:c r="A881" s="1" t="s">
        <x:v>890</x:v>
      </x:c>
      <x:c r="B881" s="1">
        <x:f>IFERROR(__xludf.DUMMYFUNCTION("""COMPUTED_VALUE"""),"Callback")</x:f>
      </x:c>
      <x:c r="C881" s="1">
        <x:f>IFERROR(__xludf.DUMMYFUNCTION("""COMPUTED_VALUE"""),"2016")</x:f>
      </x:c>
    </x:row>
    <x:row r="882" spans="1:10">
      <x:c r="A882" s="1" t="s">
        <x:v>891</x:v>
      </x:c>
      <x:c r="B882" s="1">
        <x:f>IFERROR(__xludf.DUMMYFUNCTION("""COMPUTED_VALUE"""),"Calma total")</x:f>
      </x:c>
      <x:c r="C882" s="1">
        <x:f>IFERROR(__xludf.DUMMYFUNCTION("""COMPUTED_VALUE"""),"1989")</x:f>
      </x:c>
    </x:row>
    <x:row r="883" spans="1:10">
      <x:c r="A883" s="1" t="s">
        <x:v>892</x:v>
      </x:c>
      <x:c r="B883" s="1">
        <x:f>IFERROR(__xludf.DUMMYFUNCTION("""COMPUTED_VALUE"""),"Cambra obscura")</x:f>
      </x:c>
      <x:c r="C883" s="1">
        <x:f>IFERROR(__xludf.DUMMYFUNCTION("""COMPUTED_VALUE"""),"2003")</x:f>
      </x:c>
    </x:row>
    <x:row r="884" spans="1:10">
      <x:c r="A884" s="1" t="s">
        <x:v>893</x:v>
      </x:c>
      <x:c r="B884" s="1">
        <x:f>IFERROR(__xludf.DUMMYFUNCTION("""COMPUTED_VALUE"""),"Càmera oculta")</x:f>
      </x:c>
      <x:c r="C884" s="1">
        <x:f>IFERROR(__xludf.DUMMYFUNCTION("""COMPUTED_VALUE"""),"2007")</x:f>
      </x:c>
    </x:row>
    <x:row r="885" spans="1:10">
      <x:c r="A885" s="1" t="s">
        <x:v>894</x:v>
      </x:c>
      <x:c r="B885" s="1">
        <x:f>IFERROR(__xludf.DUMMYFUNCTION("""COMPUTED_VALUE"""),"Camí a la llibertat")</x:f>
      </x:c>
      <x:c r="C885" s="1">
        <x:f>IFERROR(__xludf.DUMMYFUNCTION("""COMPUTED_VALUE"""),"2010")</x:f>
      </x:c>
    </x:row>
    <x:row r="886" spans="1:10">
      <x:c r="A886" s="1" t="s">
        <x:v>895</x:v>
      </x:c>
      <x:c r="B886" s="1">
        <x:f>IFERROR(__xludf.DUMMYFUNCTION("""COMPUTED_VALUE"""),"Camí de la forca")</x:f>
      </x:c>
      <x:c r="C886" s="1">
        <x:f>IFERROR(__xludf.DUMMYFUNCTION("""COMPUTED_VALUE"""),"1951")</x:f>
      </x:c>
    </x:row>
    <x:row r="887" spans="1:10">
      <x:c r="A887" s="1" t="s">
        <x:v>896</x:v>
      </x:c>
      <x:c r="B887" s="1">
        <x:f>IFERROR(__xludf.DUMMYFUNCTION("""COMPUTED_VALUE"""),"Camí de perdició")</x:f>
      </x:c>
      <x:c r="C887" s="1">
        <x:f>IFERROR(__xludf.DUMMYFUNCTION("""COMPUTED_VALUE"""),"2002")</x:f>
      </x:c>
    </x:row>
    <x:row r="888" spans="1:10">
      <x:c r="A888" s="1" t="s">
        <x:v>897</x:v>
      </x:c>
      <x:c r="B888" s="1">
        <x:f>IFERROR(__xludf.DUMMYFUNCTION("""COMPUTED_VALUE"""),"Camille Claudel 1915 [VOSC]")</x:f>
      </x:c>
      <x:c r="C888" s="1">
        <x:f>IFERROR(__xludf.DUMMYFUNCTION("""COMPUTED_VALUE"""),"2013")</x:f>
      </x:c>
    </x:row>
    <x:row r="889" spans="1:10">
      <x:c r="A889" s="1" t="s">
        <x:v>898</x:v>
      </x:c>
      <x:c r="B889" s="1">
        <x:f>IFERROR(__xludf.DUMMYFUNCTION("""COMPUTED_VALUE"""),"Camina amb mi")</x:f>
      </x:c>
      <x:c r="C889" s="1">
        <x:f>IFERROR(__xludf.DUMMYFUNCTION("""COMPUTED_VALUE"""),"2017")</x:f>
      </x:c>
    </x:row>
    <x:row r="890" spans="1:10">
      <x:c r="A890" s="1" t="s">
        <x:v>899</x:v>
      </x:c>
      <x:c r="B890" s="1">
        <x:f>IFERROR(__xludf.DUMMYFUNCTION("""COMPUTED_VALUE"""),"Caminant amb dinosaures")</x:f>
      </x:c>
      <x:c r="C890" s="1">
        <x:f>IFERROR(__xludf.DUMMYFUNCTION("""COMPUTED_VALUE"""),"2013")</x:f>
      </x:c>
    </x:row>
    <x:row r="891" spans="1:10">
      <x:c r="A891" s="1" t="s">
        <x:v>900</x:v>
      </x:c>
      <x:c r="B891" s="1">
        <x:f>IFERROR(__xludf.DUMMYFUNCTION("""COMPUTED_VALUE"""),"Caminant entre les tombes")</x:f>
      </x:c>
      <x:c r="C891" s="1">
        <x:f>IFERROR(__xludf.DUMMYFUNCTION("""COMPUTED_VALUE"""),"2014")</x:f>
      </x:c>
    </x:row>
    <x:row r="892" spans="1:10">
      <x:c r="A892" s="1" t="s">
        <x:v>901</x:v>
      </x:c>
      <x:c r="B892" s="1">
        <x:f>IFERROR(__xludf.DUMMYFUNCTION("""COMPUTED_VALUE"""),"Caminant junts")</x:f>
      </x:c>
      <x:c r="C892" s="1">
        <x:f>IFERROR(__xludf.DUMMYFUNCTION("""COMPUTED_VALUE"""),"2022")</x:f>
      </x:c>
    </x:row>
    <x:row r="893" spans="1:10">
      <x:c r="A893" s="1" t="s">
        <x:v>902</x:v>
      </x:c>
      <x:c r="B893" s="1">
        <x:f>IFERROR(__xludf.DUMMYFUNCTION("""COMPUTED_VALUE"""),"Camins de Glòria")</x:f>
      </x:c>
      <x:c r="C893" s="1">
        <x:f>IFERROR(__xludf.DUMMYFUNCTION("""COMPUTED_VALUE"""),"1957")</x:f>
      </x:c>
    </x:row>
    <x:row r="894" spans="1:10">
      <x:c r="A894" s="1" t="s">
        <x:v>903</x:v>
      </x:c>
      <x:c r="B894" s="1">
        <x:f>IFERROR(__xludf.DUMMYFUNCTION("""COMPUTED_VALUE"""),"Camp d'Argelers")</x:f>
      </x:c>
      <x:c r="C894" s="1">
        <x:f>IFERROR(__xludf.DUMMYFUNCTION("""COMPUTED_VALUE"""),"2009")</x:f>
      </x:c>
    </x:row>
    <x:row r="895" spans="1:10">
      <x:c r="A895" s="1" t="s">
        <x:v>904</x:v>
      </x:c>
      <x:c r="B895" s="1">
        <x:f>IFERROR(__xludf.DUMMYFUNCTION("""COMPUTED_VALUE"""),"Camp de batalla: la Terra")</x:f>
      </x:c>
      <x:c r="C895" s="1">
        <x:f>IFERROR(__xludf.DUMMYFUNCTION("""COMPUTED_VALUE"""),"2000")</x:f>
      </x:c>
    </x:row>
    <x:row r="896" spans="1:10">
      <x:c r="A896" s="1" t="s">
        <x:v>905</x:v>
      </x:c>
      <x:c r="B896" s="1">
        <x:f>IFERROR(__xludf.DUMMYFUNCTION("""COMPUTED_VALUE"""),"Camp de somnis")</x:f>
      </x:c>
      <x:c r="C896" s="1">
        <x:f>IFERROR(__xludf.DUMMYFUNCTION("""COMPUTED_VALUE"""),"1989")</x:f>
      </x:c>
    </x:row>
    <x:row r="897" spans="1:10">
      <x:c r="A897" s="1" t="s">
        <x:v>906</x:v>
      </x:c>
      <x:c r="B897" s="1">
        <x:f>IFERROR(__xludf.DUMMYFUNCTION("""COMPUTED_VALUE"""),"Camp Victory, Afganistan")</x:f>
      </x:c>
      <x:c r="C897" s="1">
        <x:f>IFERROR(__xludf.DUMMYFUNCTION("""COMPUTED_VALUE"""),"2010")</x:f>
      </x:c>
    </x:row>
    <x:row r="898" spans="1:10">
      <x:c r="A898" s="1" t="s">
        <x:v>907</x:v>
      </x:c>
      <x:c r="B898" s="1">
        <x:f>IFERROR(__xludf.DUMMYFUNCTION("""COMPUTED_VALUE"""),"Campament base la Lluna")</x:f>
      </x:c>
      <x:c r="C898" s="1">
        <x:f>IFERROR(__xludf.DUMMYFUNCTION("""COMPUTED_VALUE"""),"2007")</x:f>
      </x:c>
    </x:row>
    <x:row r="899" spans="1:10">
      <x:c r="A899" s="1" t="s">
        <x:v>908</x:v>
      </x:c>
      <x:c r="B899" s="1">
        <x:f>IFERROR(__xludf.DUMMYFUNCTION("""COMPUTED_VALUE"""),"Campanes de boda")</x:f>
      </x:c>
      <x:c r="C899" s="1">
        <x:f>IFERROR(__xludf.DUMMYFUNCTION("""COMPUTED_VALUE"""),"2016")</x:f>
      </x:c>
    </x:row>
    <x:row r="900" spans="1:10">
      <x:c r="A900" s="1" t="s">
        <x:v>909</x:v>
      </x:c>
      <x:c r="B900" s="1">
        <x:f>IFERROR(__xludf.DUMMYFUNCTION("""COMPUTED_VALUE"""),"Campaneta i la llegenda de la bèstia")</x:f>
      </x:c>
      <x:c r="C900" s="1">
        <x:f>IFERROR(__xludf.DUMMYFUNCTION("""COMPUTED_VALUE"""),"2014")</x:f>
      </x:c>
    </x:row>
    <x:row r="901" spans="1:10">
      <x:c r="A901" s="1" t="s">
        <x:v>910</x:v>
      </x:c>
      <x:c r="B901" s="1">
        <x:f>IFERROR(__xludf.DUMMYFUNCTION("""COMPUTED_VALUE"""),"Campaneta, fades i pirates")</x:f>
      </x:c>
      <x:c r="C901" s="1">
        <x:f>IFERROR(__xludf.DUMMYFUNCTION("""COMPUTED_VALUE"""),"2014")</x:f>
      </x:c>
    </x:row>
    <x:row r="902" spans="1:10">
      <x:c r="A902" s="1" t="s">
        <x:v>911</x:v>
      </x:c>
      <x:c r="B902" s="1">
        <x:f>IFERROR(__xludf.DUMMYFUNCTION("""COMPUTED_VALUE"""),"Càncer. Investigar dona vida")</x:f>
      </x:c>
      <x:c r="C902" s="1">
        <x:f>IFERROR(__xludf.DUMMYFUNCTION("""COMPUTED_VALUE"""),"2025")</x:f>
      </x:c>
    </x:row>
    <x:row r="903" spans="1:10">
      <x:c r="A903" s="1" t="s">
        <x:v>912</x:v>
      </x:c>
      <x:c r="B903" s="1">
        <x:f>IFERROR(__xludf.DUMMYFUNCTION("""COMPUTED_VALUE"""),"Cançó per a tu")</x:f>
      </x:c>
      <x:c r="C903" s="1">
        <x:f>IFERROR(__xludf.DUMMYFUNCTION("""COMPUTED_VALUE"""),"2018")</x:f>
      </x:c>
    </x:row>
    <x:row r="904" spans="1:10">
      <x:c r="A904" s="1" t="s">
        <x:v>913</x:v>
      </x:c>
      <x:c r="B904" s="1">
        <x:f>IFERROR(__xludf.DUMMYFUNCTION("""COMPUTED_VALUE"""),"Cançons a la vora del pop")</x:f>
      </x:c>
      <x:c r="C904" s="1">
        <x:f>IFERROR(__xludf.DUMMYFUNCTION("""COMPUTED_VALUE"""),"2010")</x:f>
      </x:c>
    </x:row>
    <x:row r="905" spans="1:10">
      <x:c r="A905" s="1" t="s">
        <x:v>914</x:v>
      </x:c>
      <x:c r="B905" s="1">
        <x:f>IFERROR(__xludf.DUMMYFUNCTION("""COMPUTED_VALUE"""),"Cançons per a infants i bestioles")</x:f>
      </x:c>
      <x:c r="C905" s="1">
        <x:f>IFERROR(__xludf.DUMMYFUNCTION("""COMPUTED_VALUE"""),"2010")</x:f>
      </x:c>
    </x:row>
    <x:row r="906" spans="1:10">
      <x:c r="A906" s="1" t="s">
        <x:v>915</x:v>
      </x:c>
      <x:c r="B906" s="1">
        <x:f>IFERROR(__xludf.DUMMYFUNCTION("""COMPUTED_VALUE"""),"Candidata al poder")</x:f>
      </x:c>
      <x:c r="C906" s="1">
        <x:f>IFERROR(__xludf.DUMMYFUNCTION("""COMPUTED_VALUE"""),"2000")</x:f>
      </x:c>
    </x:row>
    <x:row r="907" spans="1:10">
      <x:c r="A907" s="1" t="s">
        <x:v>916</x:v>
      </x:c>
      <x:c r="B907" s="1">
        <x:f>IFERROR(__xludf.DUMMYFUNCTION("""COMPUTED_VALUE"""),"Candy")</x:f>
      </x:c>
      <x:c r="C907" s="1">
        <x:f>IFERROR(__xludf.DUMMYFUNCTION("""COMPUTED_VALUE"""),"2006")</x:f>
      </x:c>
    </x:row>
    <x:row r="908" spans="1:10">
      <x:c r="A908" s="1" t="s">
        <x:v>917</x:v>
      </x:c>
      <x:c r="B908" s="1">
        <x:f>IFERROR(__xludf.DUMMYFUNCTION("""COMPUTED_VALUE"""),"Canet Rock")</x:f>
      </x:c>
      <x:c r="C908" s="1">
        <x:f>IFERROR(__xludf.DUMMYFUNCTION("""COMPUTED_VALUE"""),"1976")</x:f>
      </x:c>
    </x:row>
    <x:row r="909" spans="1:10">
      <x:c r="A909" s="1" t="s">
        <x:v>918</x:v>
      </x:c>
      <x:c r="B909" s="1">
        <x:f>IFERROR(__xludf.DUMMYFUNCTION("""COMPUTED_VALUE"""),"Canet Rock, abans que surti el sol")</x:f>
      </x:c>
      <x:c r="C909" s="1">
        <x:f>IFERROR(__xludf.DUMMYFUNCTION("""COMPUTED_VALUE"""),"2025")</x:f>
      </x:c>
    </x:row>
    <x:row r="910" spans="1:10">
      <x:c r="A910" s="1" t="s">
        <x:v>919</x:v>
      </x:c>
      <x:c r="B910" s="1">
        <x:f>IFERROR(__xludf.DUMMYFUNCTION("""COMPUTED_VALUE"""),"Canigó 1883")</x:f>
      </x:c>
      <x:c r="C910" s="1">
        <x:f>IFERROR(__xludf.DUMMYFUNCTION("""COMPUTED_VALUE"""),"2023")</x:f>
      </x:c>
    </x:row>
    <x:row r="911" spans="1:10">
      <x:c r="A911" s="1" t="s">
        <x:v>920</x:v>
      </x:c>
      <x:c r="B911" s="1">
        <x:f>IFERROR(__xludf.DUMMYFUNCTION("""COMPUTED_VALUE"""),"Canta")</x:f>
      </x:c>
      <x:c r="C911" s="1">
        <x:f>IFERROR(__xludf.DUMMYFUNCTION("""COMPUTED_VALUE"""),"2016")</x:f>
      </x:c>
    </x:row>
    <x:row r="912" spans="1:10">
      <x:c r="A912" s="1" t="s">
        <x:v>921</x:v>
      </x:c>
      <x:c r="B912" s="1">
        <x:f>IFERROR(__xludf.DUMMYFUNCTION("""COMPUTED_VALUE"""),"Canta 2")</x:f>
      </x:c>
      <x:c r="C912" s="1">
        <x:f>IFERROR(__xludf.DUMMYFUNCTION("""COMPUTED_VALUE"""),"2021")</x:f>
      </x:c>
    </x:row>
    <x:row r="913" spans="1:10">
      <x:c r="A913" s="1" t="s">
        <x:v>922</x:v>
      </x:c>
      <x:c r="B913" s="1">
        <x:f>IFERROR(__xludf.DUMMYFUNCTION("""COMPUTED_VALUE"""),"Cantant pels terrats")</x:f>
      </x:c>
      <x:c r="C913" s="1">
        <x:f>IFERROR(__xludf.DUMMYFUNCTION("""COMPUTED_VALUE"""),"2022")</x:f>
      </x:c>
    </x:row>
    <x:row r="914" spans="1:10">
      <x:c r="A914" s="1" t="s">
        <x:v>923</x:v>
      </x:c>
      <x:c r="B914" s="1">
        <x:f>IFERROR(__xludf.DUMMYFUNCTION("""COMPUTED_VALUE"""),"Cantant sota la pluja")</x:f>
      </x:c>
      <x:c r="C914" s="1">
        <x:f>IFERROR(__xludf.DUMMYFUNCTION("""COMPUTED_VALUE"""),"1952")</x:f>
      </x:c>
    </x:row>
    <x:row r="915" spans="1:10">
      <x:c r="A915" s="1" t="s">
        <x:v>924</x:v>
      </x:c>
      <x:c r="B915" s="1">
        <x:f>IFERROR(__xludf.DUMMYFUNCTION("""COMPUTED_VALUE"""),"Canvi de guió")</x:f>
      </x:c>
      <x:c r="C915" s="1">
        <x:f>IFERROR(__xludf.DUMMYFUNCTION("""COMPUTED_VALUE"""),"2014")</x:f>
      </x:c>
    </x:row>
    <x:row r="916" spans="1:10">
      <x:c r="A916" s="1" t="s">
        <x:v>925</x:v>
      </x:c>
      <x:c r="B916" s="1">
        <x:f>IFERROR(__xludf.DUMMYFUNCTION("""COMPUTED_VALUE"""),"Canvi de papers")</x:f>
      </x:c>
      <x:c r="C916" s="1">
        <x:f>IFERROR(__xludf.DUMMYFUNCTION("""COMPUTED_VALUE"""),"2008")</x:f>
      </x:c>
    </x:row>
    <x:row r="917" spans="1:10">
      <x:c r="A917" s="1" t="s">
        <x:v>926</x:v>
      </x:c>
      <x:c r="B917" s="1">
        <x:f>IFERROR(__xludf.DUMMYFUNCTION("""COMPUTED_VALUE"""),"Caos")</x:f>
      </x:c>
      <x:c r="C917" s="1">
        <x:f>IFERROR(__xludf.DUMMYFUNCTION("""COMPUTED_VALUE"""),"2005")</x:f>
      </x:c>
    </x:row>
    <x:row r="918" spans="1:10">
      <x:c r="A918" s="1" t="s">
        <x:v>927</x:v>
      </x:c>
      <x:c r="B918" s="1">
        <x:f>IFERROR(__xludf.DUMMYFUNCTION("""COMPUTED_VALUE"""),"Caos tranquil")</x:f>
      </x:c>
      <x:c r="C918" s="1">
        <x:f>IFERROR(__xludf.DUMMYFUNCTION("""COMPUTED_VALUE"""),"2008")</x:f>
      </x:c>
    </x:row>
    <x:row r="919" spans="1:10">
      <x:c r="A919" s="1" t="s">
        <x:v>928</x:v>
      </x:c>
      <x:c r="B919" s="1">
        <x:f>IFERROR(__xludf.DUMMYFUNCTION("""COMPUTED_VALUE"""),"Cap de la mort")</x:f>
      </x:c>
      <x:c r="C919" s="1">
        <x:f>IFERROR(__xludf.DUMMYFUNCTION("""COMPUTED_VALUE"""),"2006")</x:f>
      </x:c>
    </x:row>
    <x:row r="920" spans="1:10">
      <x:c r="A920" s="1" t="s">
        <x:v>929</x:v>
      </x:c>
      <x:c r="B920" s="1">
        <x:f>IFERROR(__xludf.DUMMYFUNCTION("""COMPUTED_VALUE"""),"Cap de magatzem")</x:f>
      </x:c>
      <x:c r="C920" s="1">
        <x:f>IFERROR(__xludf.DUMMYFUNCTION("""COMPUTED_VALUE"""),"1916")</x:f>
      </x:c>
    </x:row>
    <x:row r="921" spans="1:10">
      <x:c r="A921" s="1" t="s">
        <x:v>930</x:v>
      </x:c>
      <x:c r="B921" s="1">
        <x:f>IFERROR(__xludf.DUMMYFUNCTION("""COMPUTED_VALUE"""),"Capità Calçotets")</x:f>
      </x:c>
      <x:c r="C921" s="1">
        <x:f>IFERROR(__xludf.DUMMYFUNCTION("""COMPUTED_VALUE"""),"2017")</x:f>
      </x:c>
    </x:row>
    <x:row r="922" spans="1:10">
      <x:c r="A922" s="1" t="s">
        <x:v>931</x:v>
      </x:c>
      <x:c r="B922" s="1">
        <x:f>IFERROR(__xludf.DUMMYFUNCTION("""COMPUTED_VALUE"""),"Capità Dent de Sabre i el tresor de Lama Rama")</x:f>
      </x:c>
      <x:c r="C922" s="1">
        <x:f>IFERROR(__xludf.DUMMYFUNCTION("""COMPUTED_VALUE"""),"2014")</x:f>
      </x:c>
    </x:row>
    <x:row r="923" spans="1:10">
      <x:c r="A923" s="1" t="s">
        <x:v>932</x:v>
      </x:c>
      <x:c r="B923" s="1">
        <x:f>IFERROR(__xludf.DUMMYFUNCTION("""COMPUTED_VALUE"""),"Capità Escalaborns")</x:f>
      </x:c>
      <x:c r="C923" s="1">
        <x:f>IFERROR(__xludf.DUMMYFUNCTION("""COMPUTED_VALUE"""),"1991")</x:f>
      </x:c>
    </x:row>
    <x:row r="924" spans="1:10">
      <x:c r="A924" s="1" t="s">
        <x:v>933</x:v>
      </x:c>
      <x:c r="B924" s="1">
        <x:f>IFERROR(__xludf.DUMMYFUNCTION("""COMPUTED_VALUE"""),"Capità Fantàstic")</x:f>
      </x:c>
      <x:c r="C924" s="1">
        <x:f>IFERROR(__xludf.DUMMYFUNCTION("""COMPUTED_VALUE"""),"2016")</x:f>
      </x:c>
    </x:row>
    <x:row r="925" spans="1:10">
      <x:c r="A925" s="1" t="s">
        <x:v>934</x:v>
      </x:c>
      <x:c r="B925" s="1">
        <x:f>IFERROR(__xludf.DUMMYFUNCTION("""COMPUTED_VALUE"""),"Capità Harlock")</x:f>
      </x:c>
      <x:c r="C925" s="1">
        <x:f>IFERROR(__xludf.DUMMYFUNCTION("""COMPUTED_VALUE"""),"2013")</x:f>
      </x:c>
    </x:row>
    <x:row r="926" spans="1:10">
      <x:c r="A926" s="1" t="s">
        <x:v>935</x:v>
      </x:c>
      <x:c r="B926" s="1">
        <x:f>IFERROR(__xludf.DUMMYFUNCTION("""COMPUTED_VALUE"""),"Capità Phillips")</x:f>
      </x:c>
      <x:c r="C926" s="1">
        <x:f>IFERROR(__xludf.DUMMYFUNCTION("""COMPUTED_VALUE"""),"2013")</x:f>
      </x:c>
    </x:row>
    <x:row r="927" spans="1:10">
      <x:c r="A927" s="1" t="s">
        <x:v>936</x:v>
      </x:c>
      <x:c r="B927" s="1">
        <x:f>IFERROR(__xludf.DUMMYFUNCTION("""COMPUTED_VALUE"""),"Capitalisme, una història d'amor")</x:f>
      </x:c>
      <x:c r="C927" s="1">
        <x:f>IFERROR(__xludf.DUMMYFUNCTION("""COMPUTED_VALUE"""),"2009")</x:f>
      </x:c>
    </x:row>
    <x:row r="928" spans="1:10">
      <x:c r="A928" s="1" t="s">
        <x:v>937</x:v>
      </x:c>
      <x:c r="B928" s="1">
        <x:f>IFERROR(__xludf.DUMMYFUNCTION("""COMPUTED_VALUE"""),"Capitana Nova")</x:f>
      </x:c>
      <x:c r="C928" s="1">
        <x:f>IFERROR(__xludf.DUMMYFUNCTION("""COMPUTED_VALUE"""),"2021")</x:f>
      </x:c>
    </x:row>
    <x:row r="929" spans="1:10">
      <x:c r="A929" s="1" t="s">
        <x:v>938</x:v>
      </x:c>
      <x:c r="B929" s="1">
        <x:f>IFERROR(__xludf.DUMMYFUNCTION("""COMPUTED_VALUE"""),"Capote")</x:f>
      </x:c>
      <x:c r="C929" s="1">
        <x:f>IFERROR(__xludf.DUMMYFUNCTION("""COMPUTED_VALUE"""),"2005")</x:f>
      </x:c>
    </x:row>
    <x:row r="930" spans="1:10">
      <x:c r="A930" s="1" t="s">
        <x:v>939</x:v>
      </x:c>
      <x:c r="B930" s="1">
        <x:f>IFERROR(__xludf.DUMMYFUNCTION("""COMPUTED_VALUE"""),"Capricorn u")</x:f>
      </x:c>
      <x:c r="C930" s="1">
        <x:f>IFERROR(__xludf.DUMMYFUNCTION("""COMPUTED_VALUE"""),"1978")</x:f>
      </x:c>
    </x:row>
    <x:row r="931" spans="1:10">
      <x:c r="A931" s="1" t="s">
        <x:v>940</x:v>
      </x:c>
      <x:c r="B931" s="1">
        <x:f>IFERROR(__xludf.DUMMYFUNCTION("""COMPUTED_VALUE"""),"Captius")</x:f>
      </x:c>
      <x:c r="C931" s="1">
        <x:f>IFERROR(__xludf.DUMMYFUNCTION("""COMPUTED_VALUE"""),"2007")</x:f>
      </x:c>
    </x:row>
    <x:row r="932" spans="1:10">
      <x:c r="A932" s="1" t="s">
        <x:v>941</x:v>
      </x:c>
      <x:c r="B932" s="1">
        <x:f>IFERROR(__xludf.DUMMYFUNCTION("""COMPUTED_VALUE"""),"Captiva")</x:f>
      </x:c>
      <x:c r="C932" s="1">
        <x:f>IFERROR(__xludf.DUMMYFUNCTION("""COMPUTED_VALUE"""),"2012")</x:f>
      </x:c>
    </x:row>
    <x:row r="933" spans="1:10">
      <x:c r="A933" s="1" t="s">
        <x:v>942</x:v>
      </x:c>
      <x:c r="B933" s="1">
        <x:f>IFERROR(__xludf.DUMMYFUNCTION("""COMPUTED_VALUE"""),"Captivity")</x:f>
      </x:c>
      <x:c r="C933" s="1">
        <x:f>IFERROR(__xludf.DUMMYFUNCTION("""COMPUTED_VALUE"""),"2007")</x:f>
      </x:c>
    </x:row>
    <x:row r="934" spans="1:10">
      <x:c r="A934" s="1" t="s">
        <x:v>943</x:v>
      </x:c>
      <x:c r="B934" s="1">
        <x:f>IFERROR(__xludf.DUMMYFUNCTION("""COMPUTED_VALUE"""),"Caputxeta Vermella, de qui tens por?")</x:f>
      </x:c>
      <x:c r="C934" s="1">
        <x:f>IFERROR(__xludf.DUMMYFUNCTION("""COMPUTED_VALUE"""),"2011")</x:f>
      </x:c>
    </x:row>
    <x:row r="935" spans="1:10">
      <x:c r="A935" s="1" t="s">
        <x:v>944</x:v>
      </x:c>
      <x:c r="B935" s="1">
        <x:f>IFERROR(__xludf.DUMMYFUNCTION("""COMPUTED_VALUE"""),"Cara d'àngel")</x:f>
      </x:c>
      <x:c r="C935" s="1">
        <x:f>IFERROR(__xludf.DUMMYFUNCTION("""COMPUTED_VALUE"""),"1952")</x:f>
      </x:c>
    </x:row>
    <x:row r="936" spans="1:10">
      <x:c r="A936" s="1" t="s">
        <x:v>945</x:v>
      </x:c>
      <x:c r="B936" s="1">
        <x:f>IFERROR(__xludf.DUMMYFUNCTION("""COMPUTED_VALUE"""),"Caracremada")</x:f>
      </x:c>
      <x:c r="C936" s="1">
        <x:f>IFERROR(__xludf.DUMMYFUNCTION("""COMPUTED_VALUE"""),"2010")</x:f>
      </x:c>
    </x:row>
    <x:row r="937" spans="1:10">
      <x:c r="A937" s="1" t="s">
        <x:v>946</x:v>
      </x:c>
      <x:c r="B937" s="1">
        <x:f>IFERROR(__xludf.DUMMYFUNCTION("""COMPUTED_VALUE"""),"Caramel")</x:f>
      </x:c>
      <x:c r="C937" s="1">
        <x:f>IFERROR(__xludf.DUMMYFUNCTION("""COMPUTED_VALUE"""),"2007")</x:f>
      </x:c>
    </x:row>
    <x:row r="938" spans="1:10">
      <x:c r="A938" s="1" t="s">
        <x:v>947</x:v>
      </x:c>
      <x:c r="B938" s="1">
        <x:f>IFERROR(__xludf.DUMMYFUNCTION("""COMPUTED_VALUE"""),"Caravaggio")</x:f>
      </x:c>
      <x:c r="C938" s="1">
        <x:f>IFERROR(__xludf.DUMMYFUNCTION("""COMPUTED_VALUE"""),"2007")</x:f>
      </x:c>
    </x:row>
    <x:row r="939" spans="1:10">
      <x:c r="A939" s="1" t="s">
        <x:v>948</x:v>
      </x:c>
      <x:c r="B939" s="1">
        <x:f>IFERROR(__xludf.DUMMYFUNCTION("""COMPUTED_VALUE"""),"Cares i llocs")</x:f>
      </x:c>
      <x:c r="C939" s="1">
        <x:f>IFERROR(__xludf.DUMMYFUNCTION("""COMPUTED_VALUE"""),"2017")</x:f>
      </x:c>
    </x:row>
    <x:row r="940" spans="1:10">
      <x:c r="A940" s="1" t="s">
        <x:v>949</x:v>
      </x:c>
      <x:c r="B940" s="1">
        <x:f>IFERROR(__xludf.DUMMYFUNCTION("""COMPUTED_VALUE"""),"Cargo")</x:f>
      </x:c>
      <x:c r="C940" s="1">
        <x:f>IFERROR(__xludf.DUMMYFUNCTION("""COMPUTED_VALUE"""),"2006")</x:f>
      </x:c>
    </x:row>
    <x:row r="941" spans="1:10">
      <x:c r="A941" s="1" t="s">
        <x:v>950</x:v>
      </x:c>
      <x:c r="B941" s="1">
        <x:f>IFERROR(__xludf.DUMMYFUNCTION("""COMPUTED_VALUE"""),"Carícies")</x:f>
      </x:c>
      <x:c r="C941" s="1">
        <x:f>IFERROR(__xludf.DUMMYFUNCTION("""COMPUTED_VALUE"""),"1998")</x:f>
      </x:c>
    </x:row>
    <x:row r="942" spans="1:10">
      <x:c r="A942" s="1" t="s">
        <x:v>951</x:v>
      </x:c>
      <x:c r="B942" s="1">
        <x:f>IFERROR(__xludf.DUMMYFUNCTION("""COMPUTED_VALUE"""),"Carinyo, jo soc tu")</x:f>
      </x:c>
      <x:c r="C942" s="1">
        <x:f>IFERROR(__xludf.DUMMYFUNCTION("""COMPUTED_VALUE"""),"2017")</x:f>
      </x:c>
    </x:row>
    <x:row r="943" spans="1:10">
      <x:c r="A943" s="1" t="s">
        <x:v>952</x:v>
      </x:c>
      <x:c r="B943" s="1">
        <x:f>IFERROR(__xludf.DUMMYFUNCTION("""COMPUTED_VALUE"""),"Caríssims fills")</x:f>
      </x:c>
      <x:c r="C943" s="1">
        <x:f>IFERROR(__xludf.DUMMYFUNCTION("""COMPUTED_VALUE"""),"2021")</x:f>
      </x:c>
    </x:row>
    <x:row r="944" spans="1:10">
      <x:c r="A944" s="1" t="s">
        <x:v>953</x:v>
      </x:c>
      <x:c r="B944" s="1">
        <x:f>IFERROR(__xludf.DUMMYFUNCTION("""COMPUTED_VALUE"""),"Carlemany")</x:f>
      </x:c>
      <x:c r="C944" s="1">
        <x:f>IFERROR(__xludf.DUMMYFUNCTION("""COMPUTED_VALUE"""),"2016")</x:f>
      </x:c>
    </x:row>
    <x:row r="945" spans="1:10">
      <x:c r="A945" s="1" t="s">
        <x:v>954</x:v>
      </x:c>
      <x:c r="B945" s="1">
        <x:f>IFERROR(__xludf.DUMMYFUNCTION("""COMPUTED_VALUE"""),"Carles Sabater. No espereu res de mi")</x:f>
      </x:c>
      <x:c r="C945" s="1">
        <x:f>IFERROR(__xludf.DUMMYFUNCTION("""COMPUTED_VALUE"""),"2024")</x:f>
      </x:c>
    </x:row>
    <x:row r="946" spans="1:10">
      <x:c r="A946" s="1" t="s">
        <x:v>955</x:v>
      </x:c>
      <x:c r="B946" s="1">
        <x:f>IFERROR(__xludf.DUMMYFUNCTION("""COMPUTED_VALUE"""),"Carles, príncep de Viana")</x:f>
      </x:c>
      <x:c r="C946" s="1">
        <x:f>IFERROR(__xludf.DUMMYFUNCTION("""COMPUTED_VALUE"""),"2001")</x:f>
      </x:c>
    </x:row>
    <x:row r="947" spans="1:10">
      <x:c r="A947" s="1" t="s">
        <x:v>956</x:v>
      </x:c>
      <x:c r="B947" s="1">
        <x:f>IFERROR(__xludf.DUMMYFUNCTION("""COMPUTED_VALUE"""),"Carmen Jones")</x:f>
      </x:c>
      <x:c r="C947" s="1">
        <x:f>IFERROR(__xludf.DUMMYFUNCTION("""COMPUTED_VALUE"""),"1954")</x:f>
      </x:c>
    </x:row>
    <x:row r="948" spans="1:10">
      <x:c r="A948" s="1" t="s">
        <x:v>957</x:v>
      </x:c>
      <x:c r="B948" s="1">
        <x:f>IFERROR(__xludf.DUMMYFUNCTION("""COMPUTED_VALUE"""),"Carmina Burana, participatiu")</x:f>
      </x:c>
      <x:c r="C948" s="1">
        <x:f>IFERROR(__xludf.DUMMYFUNCTION("""COMPUTED_VALUE"""),"2010")</x:f>
      </x:c>
    </x:row>
    <x:row r="949" spans="1:10">
      <x:c r="A949" s="1" t="s">
        <x:v>958</x:v>
      </x:c>
      <x:c r="B949" s="1">
        <x:f>IFERROR(__xludf.DUMMYFUNCTION("""COMPUTED_VALUE"""),"Carn de neó")</x:f>
      </x:c>
      <x:c r="C949" s="1">
        <x:f>IFERROR(__xludf.DUMMYFUNCTION("""COMPUTED_VALUE"""),"2010")</x:f>
      </x:c>
    </x:row>
    <x:row r="950" spans="1:10">
      <x:c r="A950" s="1" t="s">
        <x:v>959</x:v>
      </x:c>
      <x:c r="B950" s="1">
        <x:f>IFERROR(__xludf.DUMMYFUNCTION("""COMPUTED_VALUE"""),"Carol")</x:f>
      </x:c>
      <x:c r="C950" s="1">
        <x:f>IFERROR(__xludf.DUMMYFUNCTION("""COMPUTED_VALUE"""),"2015")</x:f>
      </x:c>
    </x:row>
    <x:row r="951" spans="1:10">
      <x:c r="A951" s="1" t="s">
        <x:v>960</x:v>
      </x:c>
      <x:c r="B951" s="1">
        <x:f>IFERROR(__xludf.DUMMYFUNCTION("""COMPUTED_VALUE"""),"Carolina s'enamora")</x:f>
      </x:c>
      <x:c r="C951" s="1">
        <x:f>IFERROR(__xludf.DUMMYFUNCTION("""COMPUTED_VALUE"""),"2009")</x:f>
      </x:c>
    </x:row>
    <x:row r="952" spans="1:10">
      <x:c r="A952" s="1" t="s">
        <x:v>961</x:v>
      </x:c>
      <x:c r="B952" s="1">
        <x:f>IFERROR(__xludf.DUMMYFUNCTION("""COMPUTED_VALUE"""),"Carrie")</x:f>
      </x:c>
      <x:c r="C952" s="1">
        <x:f>IFERROR(__xludf.DUMMYFUNCTION("""COMPUTED_VALUE"""),"1976")</x:f>
      </x:c>
    </x:row>
    <x:row r="953" spans="1:10">
      <x:c r="A953" s="1" t="s">
        <x:v>962</x:v>
      </x:c>
      <x:c r="B953" s="1">
        <x:f>IFERROR(__xludf.DUMMYFUNCTION("""COMPUTED_VALUE"""),"Carros de foc")</x:f>
      </x:c>
      <x:c r="C953" s="1">
        <x:f>IFERROR(__xludf.DUMMYFUNCTION("""COMPUTED_VALUE"""),"1981")</x:f>
      </x:c>
    </x:row>
    <x:row r="954" spans="1:10">
      <x:c r="A954" s="1" t="s">
        <x:v>963</x:v>
      </x:c>
      <x:c r="B954" s="1">
        <x:f>IFERROR(__xludf.DUMMYFUNCTION("""COMPUTED_VALUE"""),"Cars I")</x:f>
      </x:c>
      <x:c r="C954" s="1">
        <x:f>IFERROR(__xludf.DUMMYFUNCTION("""COMPUTED_VALUE"""),"2006")</x:f>
      </x:c>
    </x:row>
    <x:row r="955" spans="1:10">
      <x:c r="A955" s="1" t="s">
        <x:v>964</x:v>
      </x:c>
      <x:c r="B955" s="1">
        <x:f>IFERROR(__xludf.DUMMYFUNCTION("""COMPUTED_VALUE"""),"Cars III")</x:f>
      </x:c>
      <x:c r="C955" s="1">
        <x:f>IFERROR(__xludf.DUMMYFUNCTION("""COMPUTED_VALUE"""),"2017")</x:f>
      </x:c>
    </x:row>
    <x:row r="956" spans="1:10">
      <x:c r="A956" s="1" t="s">
        <x:v>965</x:v>
      </x:c>
      <x:c r="B956" s="1">
        <x:f>IFERROR(__xludf.DUMMYFUNCTION("""COMPUTED_VALUE"""),"Carta a Eva")</x:f>
      </x:c>
      <x:c r="C956" s="1">
        <x:f>IFERROR(__xludf.DUMMYFUNCTION("""COMPUTED_VALUE"""),"2012")</x:f>
      </x:c>
    </x:row>
    <x:row r="957" spans="1:10">
      <x:c r="A957" s="1" t="s">
        <x:v>966</x:v>
      </x:c>
      <x:c r="B957" s="1">
        <x:f>IFERROR(__xludf.DUMMYFUNCTION("""COMPUTED_VALUE"""),"Carta blanca")</x:f>
      </x:c>
      <x:c r="C957" s="1">
        <x:f>IFERROR(__xludf.DUMMYFUNCTION("""COMPUTED_VALUE"""),"2011")</x:f>
      </x:c>
    </x:row>
    <x:row r="958" spans="1:10">
      <x:c r="A958" s="1" t="s">
        <x:v>967</x:v>
      </x:c>
      <x:c r="B958" s="1">
        <x:f>IFERROR(__xludf.DUMMYFUNCTION("""COMPUTED_VALUE"""),"Carta d'una desconeguda")</x:f>
      </x:c>
      <x:c r="C958" s="1">
        <x:f>IFERROR(__xludf.DUMMYFUNCTION("""COMPUTED_VALUE"""),"1948")</x:f>
      </x:c>
    </x:row>
    <x:row r="959" spans="1:10">
      <x:c r="A959" s="1" t="s">
        <x:v>968</x:v>
      </x:c>
      <x:c r="B959" s="1">
        <x:f>IFERROR(__xludf.DUMMYFUNCTION("""COMPUTED_VALUE"""),"Carta mortal")</x:f>
      </x:c>
      <x:c r="C959" s="1">
        <x:f>IFERROR(__xludf.DUMMYFUNCTION("""COMPUTED_VALUE"""),"2003")</x:f>
      </x:c>
    </x:row>
    <x:row r="960" spans="1:10">
      <x:c r="A960" s="1" t="s">
        <x:v>969</x:v>
      </x:c>
      <x:c r="B960" s="1">
        <x:f>IFERROR(__xludf.DUMMYFUNCTION("""COMPUTED_VALUE"""),"Cartes a Déu")</x:f>
      </x:c>
      <x:c r="C960" s="1">
        <x:f>IFERROR(__xludf.DUMMYFUNCTION("""COMPUTED_VALUE"""),"2010")</x:f>
      </x:c>
    </x:row>
    <x:row r="961" spans="1:10">
      <x:c r="A961" s="1" t="s">
        <x:v>970</x:v>
      </x:c>
      <x:c r="B961" s="1">
        <x:f>IFERROR(__xludf.DUMMYFUNCTION("""COMPUTED_VALUE"""),"Cartes a Julieta")</x:f>
      </x:c>
      <x:c r="C961" s="1">
        <x:f>IFERROR(__xludf.DUMMYFUNCTION("""COMPUTED_VALUE"""),"2010")</x:f>
      </x:c>
    </x:row>
    <x:row r="962" spans="1:10">
      <x:c r="A962" s="1" t="s">
        <x:v>971</x:v>
      </x:c>
      <x:c r="B962" s="1">
        <x:f>IFERROR(__xludf.DUMMYFUNCTION("""COMPUTED_VALUE"""),"Cartes a Roxane")</x:f>
      </x:c>
      <x:c r="C962" s="1">
        <x:f>IFERROR(__xludf.DUMMYFUNCTION("""COMPUTED_VALUE"""),"2018")</x:f>
      </x:c>
    </x:row>
    <x:row r="963" spans="1:10">
      <x:c r="A963" s="1" t="s">
        <x:v>972</x:v>
      </x:c>
      <x:c r="B963" s="1">
        <x:f>IFERROR(__xludf.DUMMYFUNCTION("""COMPUTED_VALUE"""),"Cartes des d'Iwo Jima [VOSC]")</x:f>
      </x:c>
      <x:c r="C963" s="1">
        <x:f>IFERROR(__xludf.DUMMYFUNCTION("""COMPUTED_VALUE"""),"2006")</x:f>
      </x:c>
    </x:row>
    <x:row r="964" spans="1:10">
      <x:c r="A964" s="1" t="s">
        <x:v>973</x:v>
      </x:c>
      <x:c r="B964" s="1">
        <x:f>IFERROR(__xludf.DUMMYFUNCTION("""COMPUTED_VALUE"""),"Cas Murer: El carnisser de Vílnius")</x:f>
      </x:c>
      <x:c r="C964" s="1">
        <x:f>IFERROR(__xludf.DUMMYFUNCTION("""COMPUTED_VALUE"""),"2018")</x:f>
      </x:c>
    </x:row>
    <x:row r="965" spans="1:10">
      <x:c r="A965" s="1" t="s">
        <x:v>974</x:v>
      </x:c>
      <x:c r="B965" s="1">
        <x:f>IFERROR(__xludf.DUMMYFUNCTION("""COMPUTED_VALUE"""),"Casa en flames")</x:f>
      </x:c>
      <x:c r="C965" s="1">
        <x:f>IFERROR(__xludf.DUMMYFUNCTION("""COMPUTED_VALUE"""),"2024")</x:f>
      </x:c>
    </x:row>
    <x:row r="966" spans="1:10">
      <x:c r="A966" s="1" t="s">
        <x:v>975</x:v>
      </x:c>
      <x:c r="B966" s="1">
        <x:f>IFERROR(__xludf.DUMMYFUNCTION("""COMPUTED_VALUE"""),"Casa't amb mi!")</x:f>
      </x:c>
      <x:c r="C966" s="1">
        <x:f>IFERROR(__xludf.DUMMYFUNCTION("""COMPUTED_VALUE"""),"2015")</x:f>
      </x:c>
    </x:row>
    <x:row r="967" spans="1:10">
      <x:c r="A967" s="1" t="s">
        <x:v>976</x:v>
      </x:c>
      <x:c r="B967" s="1">
        <x:f>IFERROR(__xludf.DUMMYFUNCTION("""COMPUTED_VALUE"""),"Casablanca")</x:f>
      </x:c>
      <x:c r="C967" s="1">
        <x:f>IFERROR(__xludf.DUMMYFUNCTION("""COMPUTED_VALUE"""),"1942")</x:f>
      </x:c>
    </x:row>
    <x:row r="968" spans="1:10">
      <x:c r="A968" s="1" t="s">
        <x:v>977</x:v>
      </x:c>
      <x:c r="B968" s="1">
        <x:f>IFERROR(__xludf.DUMMYFUNCTION("""COMPUTED_VALUE"""),"Casablanca Express")</x:f>
      </x:c>
      <x:c r="C968" s="1">
        <x:f>IFERROR(__xludf.DUMMYFUNCTION("""COMPUTED_VALUE"""),"1989")</x:f>
      </x:c>
    </x:row>
    <x:row r="969" spans="1:10">
      <x:c r="A969" s="1" t="s">
        <x:v>978</x:v>
      </x:c>
      <x:c r="B969" s="1">
        <x:f>IFERROR(__xludf.DUMMYFUNCTION("""COMPUTED_VALUE"""),"Casada amb un estrany")</x:f>
      </x:c>
      <x:c r="C969" s="1">
        <x:f>IFERROR(__xludf.DUMMYFUNCTION("""COMPUTED_VALUE"""),"2015")</x:f>
      </x:c>
    </x:row>
    <x:row r="970" spans="1:10">
      <x:c r="A970" s="1" t="s">
        <x:v>979</x:v>
      </x:c>
      <x:c r="B970" s="1">
        <x:f>IFERROR(__xludf.DUMMYFUNCTION("""COMPUTED_VALUE"""),"Casament per encàrrec")</x:f>
      </x:c>
      <x:c r="C970" s="1">
        <x:f>IFERROR(__xludf.DUMMYFUNCTION("""COMPUTED_VALUE"""),"2005")</x:f>
      </x:c>
    </x:row>
    <x:row r="971" spans="1:10">
      <x:c r="A971" s="1" t="s">
        <x:v>980</x:v>
      </x:c>
      <x:c r="B971" s="1">
        <x:f>IFERROR(__xludf.DUMMYFUNCTION("""COMPUTED_VALUE"""),"Casat amb totes")</x:f>
      </x:c>
      <x:c r="C971" s="1">
        <x:f>IFERROR(__xludf.DUMMYFUNCTION("""COMPUTED_VALUE"""),"1992")</x:f>
      </x:c>
    </x:row>
    <x:row r="972" spans="1:10">
      <x:c r="A972" s="1" t="s">
        <x:v>981</x:v>
      </x:c>
      <x:c r="B972" s="1">
        <x:f>IFERROR(__xludf.DUMMYFUNCTION("""COMPUTED_VALUE"""),"Cases ecològiques")</x:f>
      </x:c>
      <x:c r="C972" s="1">
        <x:f>IFERROR(__xludf.DUMMYFUNCTION("""COMPUTED_VALUE"""),"2008")</x:f>
      </x:c>
    </x:row>
    <x:row r="973" spans="1:10">
      <x:c r="A973" s="1" t="s">
        <x:v>982</x:v>
      </x:c>
      <x:c r="B973" s="1">
        <x:f>IFERROR(__xludf.DUMMYFUNCTION("""COMPUTED_VALUE"""),"Cash")</x:f>
      </x:c>
      <x:c r="C973" s="1">
        <x:f>IFERROR(__xludf.DUMMYFUNCTION("""COMPUTED_VALUE"""),"2008")</x:f>
      </x:c>
    </x:row>
    <x:row r="974" spans="1:10">
      <x:c r="A974" s="1" t="s">
        <x:v>983</x:v>
      </x:c>
      <x:c r="B974" s="1">
        <x:f>IFERROR(__xludf.DUMMYFUNCTION("""COMPUTED_VALUE"""),"Cashback")</x:f>
      </x:c>
      <x:c r="C974" s="1">
        <x:f>IFERROR(__xludf.DUMMYFUNCTION("""COMPUTED_VALUE"""),"2006")</x:f>
      </x:c>
    </x:row>
    <x:row r="975" spans="1:10">
      <x:c r="A975" s="1" t="s">
        <x:v>984</x:v>
      </x:c>
      <x:c r="B975" s="1">
        <x:f>IFERROR(__xludf.DUMMYFUNCTION("""COMPUTED_VALUE"""),"Casino")</x:f>
      </x:c>
      <x:c r="C975" s="1">
        <x:f>IFERROR(__xludf.DUMMYFUNCTION("""COMPUTED_VALUE"""),"1995")</x:f>
      </x:c>
    </x:row>
    <x:row r="976" spans="1:10">
      <x:c r="A976" s="1" t="s">
        <x:v>985</x:v>
      </x:c>
      <x:c r="B976" s="1">
        <x:f>IFERROR(__xludf.DUMMYFUNCTION("""COMPUTED_VALUE"""),"Casino Jack")</x:f>
      </x:c>
      <x:c r="C976" s="1">
        <x:f>IFERROR(__xludf.DUMMYFUNCTION("""COMPUTED_VALUE"""),"2010")</x:f>
      </x:c>
    </x:row>
    <x:row r="977" spans="1:10">
      <x:c r="A977" s="1" t="s">
        <x:v>986</x:v>
      </x:c>
      <x:c r="B977" s="1">
        <x:f>IFERROR(__xludf.DUMMYFUNCTION("""COMPUTED_VALUE"""),"Casino Royale")</x:f>
      </x:c>
      <x:c r="C977" s="1">
        <x:f>IFERROR(__xludf.DUMMYFUNCTION("""COMPUTED_VALUE"""),"2006")</x:f>
      </x:c>
    </x:row>
    <x:row r="978" spans="1:10">
      <x:c r="A978" s="1" t="s">
        <x:v>987</x:v>
      </x:c>
      <x:c r="B978" s="1">
        <x:f>IFERROR(__xludf.DUMMYFUNCTION("""COMPUTED_VALUE"""),"Casper, escola d'ensurts")</x:f>
      </x:c>
      <x:c r="C978" s="1">
        <x:f>IFERROR(__xludf.DUMMYFUNCTION("""COMPUTED_VALUE"""),"2006")</x:f>
      </x:c>
    </x:row>
    <x:row r="979" spans="1:10">
      <x:c r="A979" s="1" t="s">
        <x:v>988</x:v>
      </x:c>
      <x:c r="B979" s="1">
        <x:f>IFERROR(__xludf.DUMMYFUNCTION("""COMPUTED_VALUE"""),"Casper, la primera aventura")</x:f>
      </x:c>
      <x:c r="C979" s="1">
        <x:f>IFERROR(__xludf.DUMMYFUNCTION("""COMPUTED_VALUE"""),"1997")</x:f>
      </x:c>
    </x:row>
    <x:row r="980" spans="1:10">
      <x:c r="A980" s="1" t="s">
        <x:v>989</x:v>
      </x:c>
      <x:c r="B980" s="1">
        <x:f>IFERROR(__xludf.DUMMYFUNCTION("""COMPUTED_VALUE"""),"Cat Ballou")</x:f>
      </x:c>
      <x:c r="C980" s="1">
        <x:f>IFERROR(__xludf.DUMMYFUNCTION("""COMPUTED_VALUE"""),"1965")</x:f>
      </x:c>
    </x:row>
    <x:row r="981" spans="1:10">
      <x:c r="A981" s="1" t="s">
        <x:v>990</x:v>
      </x:c>
      <x:c r="B981" s="1">
        <x:f>IFERROR(__xludf.DUMMYFUNCTION("""COMPUTED_VALUE"""),"Català, punt crític")</x:f>
      </x:c>
      <x:c r="C981" s="1">
        <x:f>IFERROR(__xludf.DUMMYFUNCTION("""COMPUTED_VALUE"""),"2026")</x:f>
      </x:c>
    </x:row>
    <x:row r="982" spans="1:10">
      <x:c r="A982" s="1" t="s">
        <x:v>991</x:v>
      </x:c>
      <x:c r="B982" s="1">
        <x:f>IFERROR(__xludf.DUMMYFUNCTION("""COMPUTED_VALUE"""),"Catalònia, terra de tots. Les tres bessones a la Catalunya real")</x:f>
      </x:c>
      <x:c r="C982" s="1">
        <x:f>IFERROR(__xludf.DUMMYFUNCTION("""COMPUTED_VALUE"""),"2009")</x:f>
      </x:c>
    </x:row>
    <x:row r="983" spans="1:10">
      <x:c r="A983" s="1" t="s">
        <x:v>992</x:v>
      </x:c>
      <x:c r="B983" s="1">
        <x:f>IFERROR(__xludf.DUMMYFUNCTION("""COMPUTED_VALUE"""),"Cataluña - Espanya")</x:f>
      </x:c>
      <x:c r="C983" s="1">
        <x:f>IFERROR(__xludf.DUMMYFUNCTION("""COMPUTED_VALUE"""),"2009")</x:f>
      </x:c>
    </x:row>
    <x:row r="984" spans="1:10">
      <x:c r="A984" s="1" t="s">
        <x:v>993</x:v>
      </x:c>
      <x:c r="B984" s="1">
        <x:f>IFERROR(__xludf.DUMMYFUNCTION("""COMPUTED_VALUE"""),"Catalunya Nord, la llengua enyorada")</x:f>
      </x:c>
      <x:c r="C984" s="1">
        <x:f>IFERROR(__xludf.DUMMYFUNCTION("""COMPUTED_VALUE"""),"2020")</x:f>
      </x:c>
    </x:row>
    <x:row r="985" spans="1:10">
      <x:c r="A985" s="1" t="s">
        <x:v>994</x:v>
      </x:c>
      <x:c r="B985" s="1">
        <x:f>IFERROR(__xludf.DUMMYFUNCTION("""COMPUTED_VALUE"""),"Catalunya, nou estat d'Europa")</x:f>
      </x:c>
      <x:c r="C985" s="1">
        <x:f>IFERROR(__xludf.DUMMYFUNCTION("""COMPUTED_VALUE"""),"2012")</x:f>
      </x:c>
    </x:row>
    <x:row r="986" spans="1:10">
      <x:c r="A986" s="1" t="s">
        <x:v>995</x:v>
      </x:c>
      <x:c r="B986" s="1">
        <x:f>IFERROR(__xludf.DUMMYFUNCTION("""COMPUTED_VALUE"""),"Catalunya, Über Alles!")</x:f>
      </x:c>
      <x:c r="C986" s="1">
        <x:f>IFERROR(__xludf.DUMMYFUNCTION("""COMPUTED_VALUE"""),"2011")</x:f>
      </x:c>
    </x:row>
    <x:row r="987" spans="1:10">
      <x:c r="A987" s="1" t="s">
        <x:v>996</x:v>
      </x:c>
      <x:c r="B987" s="1">
        <x:f>IFERROR(__xludf.DUMMYFUNCTION("""COMPUTED_VALUE"""),"Catch and Release")</x:f>
      </x:c>
      <x:c r="C987" s="1">
        <x:f>IFERROR(__xludf.DUMMYFUNCTION("""COMPUTED_VALUE"""),"2006")</x:f>
      </x:c>
    </x:row>
    <x:row r="988" spans="1:10">
      <x:c r="A988" s="1" t="s">
        <x:v>997</x:v>
      </x:c>
      <x:c r="B988" s="1">
        <x:f>IFERROR(__xludf.DUMMYFUNCTION("""COMPUTED_VALUE"""),"Catfish")</x:f>
      </x:c>
      <x:c r="C988" s="1">
        <x:f>IFERROR(__xludf.DUMMYFUNCTION("""COMPUTED_VALUE"""),"2010")</x:f>
      </x:c>
    </x:row>
    <x:row r="989" spans="1:10">
      <x:c r="A989" s="1" t="s">
        <x:v>998</x:v>
      </x:c>
      <x:c r="B989" s="1">
        <x:f>IFERROR(__xludf.DUMMYFUNCTION("""COMPUTED_VALUE"""),"Catwoman")</x:f>
      </x:c>
      <x:c r="C989" s="1">
        <x:f>IFERROR(__xludf.DUMMYFUNCTION("""COMPUTED_VALUE"""),"2004")</x:f>
      </x:c>
    </x:row>
    <x:row r="990" spans="1:10">
      <x:c r="A990" s="1" t="s">
        <x:v>999</x:v>
      </x:c>
      <x:c r="B990" s="1">
        <x:f>IFERROR(__xludf.DUMMYFUNCTION("""COMPUTED_VALUE"""),"Causa especial 20907/2017")</x:f>
      </x:c>
      <x:c r="C990" s="1">
        <x:f>IFERROR(__xludf.DUMMYFUNCTION("""COMPUTED_VALUE"""),"2018")</x:f>
      </x:c>
    </x:row>
    <x:row r="991" spans="1:10">
      <x:c r="A991" s="1" t="s">
        <x:v>1000</x:v>
      </x:c>
      <x:c r="B991" s="1">
        <x:f>IFERROR(__xludf.DUMMYFUNCTION("""COMPUTED_VALUE"""),"Cava, l'esclat de les bombolles")</x:f>
      </x:c>
      <x:c r="C991" s="1">
        <x:f>IFERROR(__xludf.DUMMYFUNCTION("""COMPUTED_VALUE"""),"2025")</x:f>
      </x:c>
    </x:row>
    <x:row r="992" spans="1:10">
      <x:c r="A992" s="1" t="s">
        <x:v>1001</x:v>
      </x:c>
      <x:c r="B992" s="1">
        <x:f>IFERROR(__xludf.DUMMYFUNCTION("""COMPUTED_VALUE"""),"Cavalca amb el diable")</x:f>
      </x:c>
      <x:c r="C992" s="1">
        <x:f>IFERROR(__xludf.DUMMYFUNCTION("""COMPUTED_VALUE"""),"1999")</x:f>
      </x:c>
    </x:row>
    <x:row r="993" spans="1:10">
      <x:c r="A993" s="1" t="s">
        <x:v>1002</x:v>
      </x:c>
      <x:c r="B993" s="1">
        <x:f>IFERROR(__xludf.DUMMYFUNCTION("""COMPUTED_VALUE"""),"Cavall de guerra")</x:f>
      </x:c>
      <x:c r="C993" s="1">
        <x:f>IFERROR(__xludf.DUMMYFUNCTION("""COMPUTED_VALUE"""),"2011")</x:f>
      </x:c>
    </x:row>
    <x:row r="994" spans="1:10">
      <x:c r="A994" s="1" t="s">
        <x:v>1003</x:v>
      </x:c>
      <x:c r="B994" s="1">
        <x:f>IFERROR(__xludf.DUMMYFUNCTION("""COMPUTED_VALUE"""),"Cavaller")</x:f>
      </x:c>
      <x:c r="C994" s="1">
        <x:f>IFERROR(__xludf.DUMMYFUNCTION("""COMPUTED_VALUE"""),"2022")</x:f>
      </x:c>
    </x:row>
    <x:row r="995" spans="1:10">
      <x:c r="A995" s="1" t="s">
        <x:v>1004</x:v>
      </x:c>
      <x:c r="B995" s="1">
        <x:f>IFERROR(__xludf.DUMMYFUNCTION("""COMPUTED_VALUE"""),"Cavernícola")</x:f>
      </x:c>
      <x:c r="C995" s="1">
        <x:f>IFERROR(__xludf.DUMMYFUNCTION("""COMPUTED_VALUE"""),"2018")</x:f>
      </x:c>
    </x:row>
    <x:row r="996" spans="1:10">
      <x:c r="A996" s="1" t="s">
        <x:v>1005</x:v>
      </x:c>
      <x:c r="B996" s="1">
        <x:f>IFERROR(__xludf.DUMMYFUNCTION("""COMPUTED_VALUE"""),"Cegada de amor")</x:f>
      </x:c>
      <x:c r="C996" s="1">
        <x:f>IFERROR(__xludf.DUMMYFUNCTION("""COMPUTED_VALUE"""),"1994")</x:f>
      </x:c>
    </x:row>
    <x:row r="997" spans="1:10">
      <x:c r="A997" s="1" t="s">
        <x:v>1006</x:v>
      </x:c>
      <x:c r="B997" s="1">
        <x:f>IFERROR(__xludf.DUMMYFUNCTION("""COMPUTED_VALUE"""),"Cel")</x:f>
      </x:c>
      <x:c r="C997" s="1">
        <x:f>IFERROR(__xludf.DUMMYFUNCTION("""COMPUTED_VALUE"""),"2008")</x:f>
      </x:c>
    </x:row>
    <x:row r="998" spans="1:10">
      <x:c r="A998" s="1" t="s">
        <x:v>1007</x:v>
      </x:c>
      <x:c r="B998" s="1">
        <x:f>IFERROR(__xludf.DUMMYFUNCTION("""COMPUTED_VALUE"""),"Cementiri yakuza")</x:f>
      </x:c>
      <x:c r="C998" s="1">
        <x:f>IFERROR(__xludf.DUMMYFUNCTION("""COMPUTED_VALUE"""),"2002")</x:f>
      </x:c>
    </x:row>
    <x:row r="999" spans="1:10">
      <x:c r="A999" s="1" t="s">
        <x:v>1008</x:v>
      </x:c>
      <x:c r="B999" s="1">
        <x:f>IFERROR(__xludf.DUMMYFUNCTION("""COMPUTED_VALUE"""),"Cendres")</x:f>
      </x:c>
      <x:c r="C999" s="1">
        <x:f>IFERROR(__xludf.DUMMYFUNCTION("""COMPUTED_VALUE"""),"2013")</x:f>
      </x:c>
    </x:row>
    <x:row r="1000" spans="1:10">
      <x:c r="A1000" s="1" t="s">
        <x:v>1009</x:v>
      </x:c>
      <x:c r="B1000" s="1">
        <x:f>IFERROR(__xludf.DUMMYFUNCTION("""COMPUTED_VALUE"""),"Cent noies")</x:f>
      </x:c>
      <x:c r="C1000" s="1">
        <x:f>IFERROR(__xludf.DUMMYFUNCTION("""COMPUTED_VALUE"""),"2000")</x:f>
      </x:c>
    </x:row>
    <x:row r="1001" spans="1:10">
      <x:c r="A1001" s="1" t="s">
        <x:v>1010</x:v>
      </x:c>
      <x:c r="B1001" s="1">
        <x:f>IFERROR(__xludf.DUMMYFUNCTION("""COMPUTED_VALUE"""),"Centaures del desert")</x:f>
      </x:c>
      <x:c r="C1001" s="1">
        <x:f>IFERROR(__xludf.DUMMYFUNCTION("""COMPUTED_VALUE"""),"1956")</x:f>
      </x:c>
    </x:row>
    <x:row r="1002" spans="1:10">
      <x:c r="A1002" s="1" t="s">
        <x:v>1011</x:v>
      </x:c>
      <x:c r="B1002" s="1">
        <x:f>IFERROR(__xludf.DUMMYFUNCTION("""COMPUTED_VALUE"""),"Cerimònia d'obertura dels Jocs Olímpics d'estiu de 1992")</x:f>
      </x:c>
      <x:c r="C1002" s="1">
        <x:f>IFERROR(__xludf.DUMMYFUNCTION("""COMPUTED_VALUE"""),"1992")</x:f>
      </x:c>
    </x:row>
    <x:row r="1003" spans="1:10">
      <x:c r="A1003" s="1" t="s">
        <x:v>1012</x:v>
      </x:c>
      <x:c r="B1003" s="1">
        <x:f>IFERROR(__xludf.DUMMYFUNCTION("""COMPUTED_VALUE"""),"Cèsar ha de morir")</x:f>
      </x:c>
      <x:c r="C1003" s="1">
        <x:f>IFERROR(__xludf.DUMMYFUNCTION("""COMPUTED_VALUE"""),"2012")</x:f>
      </x:c>
    </x:row>
    <x:row r="1004" spans="1:10">
      <x:c r="A1004" s="1" t="s">
        <x:v>1013</x:v>
      </x:c>
      <x:c r="B1004" s="1">
        <x:f>IFERROR(__xludf.DUMMYFUNCTION("""COMPUTED_VALUE"""),"Cèsar i Cleopatra")</x:f>
      </x:c>
      <x:c r="C1004" s="1">
        <x:f>IFERROR(__xludf.DUMMYFUNCTION("""COMPUTED_VALUE"""),"1945")</x:f>
      </x:c>
    </x:row>
    <x:row r="1005" spans="1:10">
      <x:c r="A1005" s="1" t="s">
        <x:v>1014</x:v>
      </x:c>
      <x:c r="B1005" s="1">
        <x:f>IFERROR(__xludf.DUMMYFUNCTION("""COMPUTED_VALUE"""),"Cézanne i jo")</x:f>
      </x:c>
      <x:c r="C1005" s="1">
        <x:f>IFERROR(__xludf.DUMMYFUNCTION("""COMPUTED_VALUE"""),"2016")</x:f>
      </x:c>
    </x:row>
    <x:row r="1006" spans="1:10">
      <x:c r="A1006" s="1" t="s">
        <x:v>1015</x:v>
      </x:c>
      <x:c r="B1006" s="1">
        <x:f>IFERROR(__xludf.DUMMYFUNCTION("""COMPUTED_VALUE"""),"Champagne!")</x:f>
      </x:c>
      <x:c r="C1006" s="1">
        <x:f>IFERROR(__xludf.DUMMYFUNCTION("""COMPUTED_VALUE"""),"2022")</x:f>
      </x:c>
    </x:row>
    <x:row r="1007" spans="1:10">
      <x:c r="A1007" s="1" t="s">
        <x:v>1016</x:v>
      </x:c>
      <x:c r="B1007" s="1">
        <x:f>IFERROR(__xludf.DUMMYFUNCTION("""COMPUTED_VALUE"""),"Chanson d'amour")</x:f>
      </x:c>
      <x:c r="C1007" s="1">
        <x:f>IFERROR(__xludf.DUMMYFUNCTION("""COMPUTED_VALUE"""),"2006")</x:f>
      </x:c>
    </x:row>
    <x:row r="1008" spans="1:10">
      <x:c r="A1008" s="1" t="s">
        <x:v>1017</x:v>
      </x:c>
      <x:c r="B1008" s="1">
        <x:f>IFERROR(__xludf.DUMMYFUNCTION("""COMPUTED_VALUE"""),"Chaperone [VOSC]")</x:f>
      </x:c>
      <x:c r="C1008" s="1">
        <x:f>IFERROR(__xludf.DUMMYFUNCTION("""COMPUTED_VALUE"""),"2024")</x:f>
      </x:c>
    </x:row>
    <x:row r="1009" spans="1:10">
      <x:c r="A1009" s="1" t="s">
        <x:v>1018</x:v>
      </x:c>
      <x:c r="B1009" s="1">
        <x:f>IFERROR(__xludf.DUMMYFUNCTION("""COMPUTED_VALUE"""),"Chaplin")</x:f>
      </x:c>
      <x:c r="C1009" s="1">
        <x:f>IFERROR(__xludf.DUMMYFUNCTION("""COMPUTED_VALUE"""),"1992")</x:f>
      </x:c>
    </x:row>
    <x:row r="1010" spans="1:10">
      <x:c r="A1010" s="1" t="s">
        <x:v>1019</x:v>
      </x:c>
      <x:c r="B1010" s="1">
        <x:f>IFERROR(__xludf.DUMMYFUNCTION("""COMPUTED_VALUE"""),"Chappie")</x:f>
      </x:c>
      <x:c r="C1010" s="1">
        <x:f>IFERROR(__xludf.DUMMYFUNCTION("""COMPUTED_VALUE"""),"2015")</x:f>
      </x:c>
    </x:row>
    <x:row r="1011" spans="1:10">
      <x:c r="A1011" s="1" t="s">
        <x:v>1020</x:v>
      </x:c>
      <x:c r="B1011" s="1">
        <x:f>IFERROR(__xludf.DUMMYFUNCTION("""COMPUTED_VALUE"""),"Charlie Brown i Snoopy")</x:f>
      </x:c>
      <x:c r="C1011" s="1">
        <x:f>IFERROR(__xludf.DUMMYFUNCTION("""COMPUTED_VALUE"""),"2015")</x:f>
      </x:c>
    </x:row>
    <x:row r="1012" spans="1:10">
      <x:c r="A1012" s="1" t="s">
        <x:v>1021</x:v>
      </x:c>
      <x:c r="B1012" s="1">
        <x:f>IFERROR(__xludf.DUMMYFUNCTION("""COMPUTED_VALUE"""),"Charlie Hebdo: Davant dels assassins")</x:f>
      </x:c>
      <x:c r="C1012" s="1">
        <x:f>IFERROR(__xludf.DUMMYFUNCTION("""COMPUTED_VALUE"""),"2015")</x:f>
      </x:c>
    </x:row>
    <x:row r="1013" spans="1:10">
      <x:c r="A1013" s="1" t="s">
        <x:v>1022</x:v>
      </x:c>
      <x:c r="B1013" s="1">
        <x:f>IFERROR(__xludf.DUMMYFUNCTION("""COMPUTED_VALUE"""),"Charlie i la fàbrica de xocolata")</x:f>
      </x:c>
      <x:c r="C1013" s="1">
        <x:f>IFERROR(__xludf.DUMMYFUNCTION("""COMPUTED_VALUE"""),"2005")</x:f>
      </x:c>
    </x:row>
    <x:row r="1014" spans="1:10">
      <x:c r="A1014" s="1" t="s">
        <x:v>1023</x:v>
      </x:c>
      <x:c r="B1014" s="1">
        <x:f>IFERROR(__xludf.DUMMYFUNCTION("""COMPUTED_VALUE"""),"Chato, l'apatxe")</x:f>
      </x:c>
      <x:c r="C1014" s="1">
        <x:f>IFERROR(__xludf.DUMMYFUNCTION("""COMPUTED_VALUE"""),"1972")</x:f>
      </x:c>
    </x:row>
    <x:row r="1015" spans="1:10">
      <x:c r="A1015" s="1" t="s">
        <x:v>1024</x:v>
      </x:c>
      <x:c r="B1015" s="1">
        <x:f>IFERROR(__xludf.DUMMYFUNCTION("""COMPUTED_VALUE"""),"Cher Ami")</x:f>
      </x:c>
      <x:c r="C1015" s="1">
        <x:f>IFERROR(__xludf.DUMMYFUNCTION("""COMPUTED_VALUE"""),"2008")</x:f>
      </x:c>
    </x:row>
    <x:row r="1016" spans="1:10">
      <x:c r="A1016" s="1" t="s">
        <x:v>1025</x:v>
      </x:c>
      <x:c r="B1016" s="1">
        <x:f>IFERROR(__xludf.DUMMYFUNCTION("""COMPUTED_VALUE"""),"Chéri")</x:f>
      </x:c>
      <x:c r="C1016" s="1">
        <x:f>IFERROR(__xludf.DUMMYFUNCTION("""COMPUTED_VALUE"""),"2009")</x:f>
      </x:c>
    </x:row>
    <x:row r="1017" spans="1:10">
      <x:c r="A1017" s="1" t="s">
        <x:v>1026</x:v>
      </x:c>
      <x:c r="B1017" s="1">
        <x:f>IFERROR(__xludf.DUMMYFUNCTION("""COMPUTED_VALUE"""),"Cherry Falls")</x:f>
      </x:c>
      <x:c r="C1017" s="1">
        <x:f>IFERROR(__xludf.DUMMYFUNCTION("""COMPUTED_VALUE"""),"2000")</x:f>
      </x:c>
    </x:row>
    <x:row r="1018" spans="1:10">
      <x:c r="A1018" s="1" t="s">
        <x:v>1027</x:v>
      </x:c>
      <x:c r="B1018" s="1">
        <x:f>IFERROR(__xludf.DUMMYFUNCTION("""COMPUTED_VALUE"""),"Chicken Little")</x:f>
      </x:c>
      <x:c r="C1018" s="1">
        <x:f>IFERROR(__xludf.DUMMYFUNCTION("""COMPUTED_VALUE"""),"2005")</x:f>
      </x:c>
    </x:row>
    <x:row r="1019" spans="1:10">
      <x:c r="A1019" s="1" t="s">
        <x:v>1028</x:v>
      </x:c>
      <x:c r="B1019" s="1">
        <x:f>IFERROR(__xludf.DUMMYFUNCTION("""COMPUTED_VALUE"""),"Chicken Run")</x:f>
      </x:c>
      <x:c r="C1019" s="1">
        <x:f>IFERROR(__xludf.DUMMYFUNCTION("""COMPUTED_VALUE"""),"2000")</x:f>
      </x:c>
    </x:row>
    <x:row r="1020" spans="1:10">
      <x:c r="A1020" s="1" t="s">
        <x:v>1029</x:v>
      </x:c>
      <x:c r="B1020" s="1">
        <x:f>IFERROR(__xludf.DUMMYFUNCTION("""COMPUTED_VALUE"""),"Chicken Run: L'albada dels nuggets")</x:f>
      </x:c>
      <x:c r="C1020" s="1">
        <x:f>IFERROR(__xludf.DUMMYFUNCTION("""COMPUTED_VALUE"""),"2023")</x:f>
      </x:c>
    </x:row>
    <x:row r="1021" spans="1:10">
      <x:c r="A1021" s="1" t="s">
        <x:v>1030</x:v>
      </x:c>
      <x:c r="B1021" s="1">
        <x:f>IFERROR(__xludf.DUMMYFUNCTION("""COMPUTED_VALUE"""),"Chico i Rita")</x:f>
      </x:c>
      <x:c r="C1021" s="1">
        <x:f>IFERROR(__xludf.DUMMYFUNCTION("""COMPUTED_VALUE"""),"2010")</x:f>
      </x:c>
    </x:row>
    <x:row r="1022" spans="1:10">
      <x:c r="A1022" s="1" t="s">
        <x:v>1031</x:v>
      </x:c>
      <x:c r="B1022" s="1">
        <x:f>IFERROR(__xludf.DUMMYFUNCTION("""COMPUTED_VALUE"""),"Child's Pose (Mare i fill)")</x:f>
      </x:c>
      <x:c r="C1022" s="1">
        <x:f>IFERROR(__xludf.DUMMYFUNCTION("""COMPUTED_VALUE"""),"2013")</x:f>
      </x:c>
    </x:row>
    <x:row r="1023" spans="1:10">
      <x:c r="A1023" s="1" t="s">
        <x:v>1032</x:v>
      </x:c>
      <x:c r="B1023" s="1">
        <x:f>IFERROR(__xludf.DUMMYFUNCTION("""COMPUTED_VALUE"""),"Chisum")</x:f>
      </x:c>
      <x:c r="C1023" s="1">
        <x:f>IFERROR(__xludf.DUMMYFUNCTION("""COMPUTED_VALUE"""),"1970")</x:f>
      </x:c>
    </x:row>
    <x:row r="1024" spans="1:10">
      <x:c r="A1024" s="1" t="s">
        <x:v>1033</x:v>
      </x:c>
      <x:c r="B1024" s="1">
        <x:f>IFERROR(__xludf.DUMMYFUNCTION("""COMPUTED_VALUE"""),"Chloe")</x:f>
      </x:c>
      <x:c r="C1024" s="1">
        <x:f>IFERROR(__xludf.DUMMYFUNCTION("""COMPUTED_VALUE"""),"2009")</x:f>
      </x:c>
    </x:row>
    <x:row r="1025" spans="1:10">
      <x:c r="A1025" s="1" t="s">
        <x:v>1034</x:v>
      </x:c>
      <x:c r="B1025" s="1">
        <x:f>IFERROR(__xludf.DUMMYFUNCTION("""COMPUTED_VALUE"""),"Chocolat")</x:f>
      </x:c>
      <x:c r="C1025" s="1">
        <x:f>IFERROR(__xludf.DUMMYFUNCTION("""COMPUTED_VALUE"""),"2000")</x:f>
      </x:c>
    </x:row>
    <x:row r="1026" spans="1:10">
      <x:c r="A1026" s="1" t="s">
        <x:v>1035</x:v>
      </x:c>
      <x:c r="B1026" s="1">
        <x:f>IFERROR(__xludf.DUMMYFUNCTION("""COMPUTED_VALUE"""),"Chris el Suís [VOSC]")</x:f>
      </x:c>
      <x:c r="C1026" s="1">
        <x:f>IFERROR(__xludf.DUMMYFUNCTION("""COMPUTED_VALUE"""),"2018")</x:f>
      </x:c>
    </x:row>
    <x:row r="1027" spans="1:10">
      <x:c r="A1027" s="1" t="s">
        <x:v>1036</x:v>
      </x:c>
      <x:c r="B1027" s="1">
        <x:f>IFERROR(__xludf.DUMMYFUNCTION("""COMPUTED_VALUE"""),"Christine")</x:f>
      </x:c>
      <x:c r="C1027" s="1">
        <x:f>IFERROR(__xludf.DUMMYFUNCTION("""COMPUTED_VALUE"""),"1983")</x:f>
      </x:c>
    </x:row>
    <x:row r="1028" spans="1:10">
      <x:c r="A1028" s="1" t="s">
        <x:v>1037</x:v>
      </x:c>
      <x:c r="B1028" s="1">
        <x:f>IFERROR(__xludf.DUMMYFUNCTION("""COMPUTED_VALUE"""),"Christopher Reeve, el Superman etern")</x:f>
      </x:c>
      <x:c r="C1028" s="1">
        <x:f>IFERROR(__xludf.DUMMYFUNCTION("""COMPUTED_VALUE"""),"2024")</x:f>
      </x:c>
    </x:row>
    <x:row r="1029" spans="1:10">
      <x:c r="A1029" s="1" t="s">
        <x:v>1038</x:v>
      </x:c>
      <x:c r="B1029" s="1">
        <x:f>IFERROR(__xludf.DUMMYFUNCTION("""COMPUTED_VALUE"""),"Chronos")</x:f>
      </x:c>
      <x:c r="C1029" s="1">
        <x:f>IFERROR(__xludf.DUMMYFUNCTION("""COMPUTED_VALUE"""),"1985")</x:f>
      </x:c>
    </x:row>
    <x:row r="1030" spans="1:10">
      <x:c r="A1030" s="1" t="s">
        <x:v>1039</x:v>
      </x:c>
      <x:c r="B1030" s="1">
        <x:f>IFERROR(__xludf.DUMMYFUNCTION("""COMPUTED_VALUE"""),"Chuck Norris contra el comunisme")</x:f>
      </x:c>
      <x:c r="C1030" s="1">
        <x:f>IFERROR(__xludf.DUMMYFUNCTION("""COMPUTED_VALUE"""),"2015")</x:f>
      </x:c>
    </x:row>
    <x:row r="1031" spans="1:10">
      <x:c r="A1031" s="1" t="s">
        <x:v>1040</x:v>
      </x:c>
      <x:c r="B1031" s="1">
        <x:f>IFERROR(__xludf.DUMMYFUNCTION("""COMPUTED_VALUE"""),"Chuecatown")</x:f>
      </x:c>
      <x:c r="C1031" s="1">
        <x:f>IFERROR(__xludf.DUMMYFUNCTION("""COMPUTED_VALUE"""),"2007")</x:f>
      </x:c>
    </x:row>
    <x:row r="1032" spans="1:10">
      <x:c r="A1032" s="1" t="s">
        <x:v>1041</x:v>
      </x:c>
      <x:c r="B1032" s="1">
        <x:f>IFERROR(__xludf.DUMMYFUNCTION("""COMPUTED_VALUE"""),"Churchill")</x:f>
      </x:c>
      <x:c r="C1032" s="1">
        <x:f>IFERROR(__xludf.DUMMYFUNCTION("""COMPUTED_VALUE"""),"2017")</x:f>
      </x:c>
    </x:row>
    <x:row r="1033" spans="1:10">
      <x:c r="A1033" s="1" t="s">
        <x:v>1042</x:v>
      </x:c>
      <x:c r="B1033" s="1">
        <x:f>IFERROR(__xludf.DUMMYFUNCTION("""COMPUTED_VALUE"""),"Cibervenjança")</x:f>
      </x:c>
      <x:c r="C1033" s="1">
        <x:f>IFERROR(__xludf.DUMMYFUNCTION("""COMPUTED_VALUE"""),"1995")</x:f>
      </x:c>
    </x:row>
    <x:row r="1034" spans="1:10">
      <x:c r="A1034" s="1" t="s">
        <x:v>1043</x:v>
      </x:c>
      <x:c r="B1034" s="1">
        <x:f>IFERROR(__xludf.DUMMYFUNCTION("""COMPUTED_VALUE"""),"Ciència-ficció")</x:f>
      </x:c>
      <x:c r="C1034" s="1">
        <x:f>IFERROR(__xludf.DUMMYFUNCTION("""COMPUTED_VALUE"""),"2002")</x:f>
      </x:c>
    </x:row>
    <x:row r="1035" spans="1:10">
      <x:c r="A1035" s="1" t="s">
        <x:v>1044</x:v>
      </x:c>
      <x:c r="B1035" s="1">
        <x:f>IFERROR(__xludf.DUMMYFUNCTION("""COMPUTED_VALUE"""),"Cigne negre")</x:f>
      </x:c>
      <x:c r="C1035" s="1">
        <x:f>IFERROR(__xludf.DUMMYFUNCTION("""COMPUTED_VALUE"""),"2010")</x:f>
      </x:c>
    </x:row>
    <x:row r="1036" spans="1:10">
      <x:c r="A1036" s="1" t="s">
        <x:v>1045</x:v>
      </x:c>
      <x:c r="B1036" s="1">
        <x:f>IFERROR(__xludf.DUMMYFUNCTION("""COMPUTED_VALUE"""),"Cigonyes")</x:f>
      </x:c>
      <x:c r="C1036" s="1">
        <x:f>IFERROR(__xludf.DUMMYFUNCTION("""COMPUTED_VALUE"""),"2016")</x:f>
      </x:c>
    </x:row>
    <x:row r="1037" spans="1:10">
      <x:c r="A1037" s="1" t="s">
        <x:v>1046</x:v>
      </x:c>
      <x:c r="B1037" s="1">
        <x:f>IFERROR(__xludf.DUMMYFUNCTION("""COMPUTED_VALUE"""),"Cimarron")</x:f>
      </x:c>
      <x:c r="C1037" s="1">
        <x:f>IFERROR(__xludf.DUMMYFUNCTION("""COMPUTED_VALUE"""),"1960")</x:f>
      </x:c>
    </x:row>
    <x:row r="1038" spans="1:10">
      <x:c r="A1038" s="1" t="s">
        <x:v>1047</x:v>
      </x:c>
      <x:c r="B1038" s="1">
        <x:f>IFERROR(__xludf.DUMMYFUNCTION("""COMPUTED_VALUE"""),"Cims Borrascosos")</x:f>
      </x:c>
      <x:c r="C1038" s="1">
        <x:f>IFERROR(__xludf.DUMMYFUNCTION("""COMPUTED_VALUE"""),"1939")</x:f>
      </x:c>
    </x:row>
    <x:row r="1039" spans="1:10">
      <x:c r="A1039" s="1" t="s">
        <x:v>1048</x:v>
      </x:c>
      <x:c r="B1039" s="1">
        <x:f>IFERROR(__xludf.DUMMYFUNCTION("""COMPUTED_VALUE"""),"Cinc dies a Saigon")</x:f>
      </x:c>
      <x:c r="C1039" s="1">
        <x:f>IFERROR(__xludf.DUMMYFUNCTION("""COMPUTED_VALUE"""),"2007")</x:f>
      </x:c>
    </x:row>
    <x:row r="1040" spans="1:10">
      <x:c r="A1040" s="1" t="s">
        <x:v>1049</x:v>
      </x:c>
      <x:c r="B1040" s="1">
        <x:f>IFERROR(__xludf.DUMMYFUNCTION("""COMPUTED_VALUE"""),"Cinc minuts de glòria")</x:f>
      </x:c>
      <x:c r="C1040" s="1">
        <x:f>IFERROR(__xludf.DUMMYFUNCTION("""COMPUTED_VALUE"""),"2009")</x:f>
      </x:c>
    </x:row>
    <x:row r="1041" spans="1:10">
      <x:c r="A1041" s="1" t="s">
        <x:v>1050</x:v>
      </x:c>
      <x:c r="B1041" s="1">
        <x:f>IFERROR(__xludf.DUMMYFUNCTION("""COMPUTED_VALUE"""),"Cineastes contra magnats")</x:f>
      </x:c>
      <x:c r="C1041" s="1">
        <x:f>IFERROR(__xludf.DUMMYFUNCTION("""COMPUTED_VALUE"""),"2005")</x:f>
      </x:c>
    </x:row>
    <x:row r="1042" spans="1:10">
      <x:c r="A1042" s="1" t="s">
        <x:v>1051</x:v>
      </x:c>
      <x:c r="B1042" s="1">
        <x:f>IFERROR(__xludf.DUMMYFUNCTION("""COMPUTED_VALUE"""),"Cineastes en acció")</x:f>
      </x:c>
      <x:c r="C1042" s="1">
        <x:f>IFERROR(__xludf.DUMMYFUNCTION("""COMPUTED_VALUE"""),"2005")</x:f>
      </x:c>
    </x:row>
    <x:row r="1043" spans="1:10">
      <x:c r="A1043" s="1" t="s">
        <x:v>1052</x:v>
      </x:c>
      <x:c r="B1043" s="1">
        <x:f>IFERROR(__xludf.DUMMYFUNCTION("""COMPUTED_VALUE"""),"Cinema Paradiso")</x:f>
      </x:c>
      <x:c r="C1043" s="1">
        <x:f>IFERROR(__xludf.DUMMYFUNCTION("""COMPUTED_VALUE"""),"1988")</x:f>
      </x:c>
    </x:row>
    <x:row r="1044" spans="1:10">
      <x:c r="A1044" s="1" t="s">
        <x:v>1053</x:v>
      </x:c>
      <x:c r="B1044" s="1">
        <x:f>IFERROR(__xludf.DUMMYFUNCTION("""COMPUTED_VALUE"""),"Cinquanta ombres alliberades")</x:f>
      </x:c>
      <x:c r="C1044" s="1">
        <x:f>IFERROR(__xludf.DUMMYFUNCTION("""COMPUTED_VALUE"""),"2018")</x:f>
      </x:c>
    </x:row>
    <x:row r="1045" spans="1:10">
      <x:c r="A1045" s="1" t="s">
        <x:v>1054</x:v>
      </x:c>
      <x:c r="B1045" s="1">
        <x:f>IFERROR(__xludf.DUMMYFUNCTION("""COMPUTED_VALUE"""),"Cinquanta ombres d'en Grey")</x:f>
      </x:c>
      <x:c r="C1045" s="1">
        <x:f>IFERROR(__xludf.DUMMYFUNCTION("""COMPUTED_VALUE"""),"2015")</x:f>
      </x:c>
    </x:row>
    <x:row r="1046" spans="1:10">
      <x:c r="A1046" s="1" t="s">
        <x:v>1055</x:v>
      </x:c>
      <x:c r="B1046" s="1">
        <x:f>IFERROR(__xludf.DUMMYFUNCTION("""COMPUTED_VALUE"""),"Cinquanta-cinc dies a Pequìn")</x:f>
      </x:c>
      <x:c r="C1046" s="1">
        <x:f>IFERROR(__xludf.DUMMYFUNCTION("""COMPUTED_VALUE"""),"1963")</x:f>
      </x:c>
    </x:row>
    <x:row r="1047" spans="1:10">
      <x:c r="A1047" s="1" t="s">
        <x:v>1056</x:v>
      </x:c>
      <x:c r="B1047" s="1">
        <x:f>IFERROR(__xludf.DUMMYFUNCTION("""COMPUTED_VALUE"""),"Cinturó Negre")</x:f>
      </x:c>
      <x:c r="C1047" s="1">
        <x:f>IFERROR(__xludf.DUMMYFUNCTION("""COMPUTED_VALUE"""),"1992")</x:f>
      </x:c>
    </x:row>
    <x:row r="1048" spans="1:10">
      <x:c r="A1048" s="1" t="s">
        <x:v>1057</x:v>
      </x:c>
      <x:c r="B1048" s="1">
        <x:f>IFERROR(__xludf.DUMMYFUNCTION("""COMPUTED_VALUE"""),"Cinturó vermell")</x:f>
      </x:c>
      <x:c r="C1048" s="1">
        <x:f>IFERROR(__xludf.DUMMYFUNCTION("""COMPUTED_VALUE"""),"2008")</x:f>
      </x:c>
    </x:row>
    <x:row r="1049" spans="1:10">
      <x:c r="A1049" s="1" t="s">
        <x:v>1058</x:v>
      </x:c>
      <x:c r="B1049" s="1">
        <x:f>IFERROR(__xludf.DUMMYFUNCTION("""COMPUTED_VALUE"""),"Circuit")</x:f>
      </x:c>
      <x:c r="C1049" s="1">
        <x:f>IFERROR(__xludf.DUMMYFUNCTION("""COMPUTED_VALUE"""),"2010")</x:f>
      </x:c>
    </x:row>
    <x:row r="1050" spans="1:10">
      <x:c r="A1050" s="1" t="s">
        <x:v>1059</x:v>
      </x:c>
      <x:c r="B1050" s="1">
        <x:f>IFERROR(__xludf.DUMMYFUNCTION("""COMPUTED_VALUE"""),"Circuitry Man")</x:f>
      </x:c>
      <x:c r="C1050" s="1">
        <x:f>IFERROR(__xludf.DUMMYFUNCTION("""COMPUTED_VALUE"""),"1990")</x:f>
      </x:c>
    </x:row>
    <x:row r="1051" spans="1:10">
      <x:c r="A1051" s="1" t="s">
        <x:v>1060</x:v>
      </x:c>
      <x:c r="B1051" s="1">
        <x:f>IFERROR(__xludf.DUMMYFUNCTION("""COMPUTED_VALUE"""),"Cirkus Columbia")</x:f>
      </x:c>
      <x:c r="C1051" s="1">
        <x:f>IFERROR(__xludf.DUMMYFUNCTION("""COMPUTED_VALUE"""),"2010")</x:f>
      </x:c>
    </x:row>
    <x:row r="1052" spans="1:10">
      <x:c r="A1052" s="1" t="s">
        <x:v>1061</x:v>
      </x:c>
      <x:c r="B1052" s="1">
        <x:f>IFERROR(__xludf.DUMMYFUNCTION("""COMPUTED_VALUE"""),"Cirlot. La Mirada de Bronwyn")</x:f>
      </x:c>
      <x:c r="C1052" s="1">
        <x:f>IFERROR(__xludf.DUMMYFUNCTION("""COMPUTED_VALUE"""),"2005")</x:f>
      </x:c>
    </x:row>
    <x:row r="1053" spans="1:10">
      <x:c r="A1053" s="1" t="s">
        <x:v>1062</x:v>
      </x:c>
      <x:c r="B1053" s="1">
        <x:f>IFERROR(__xludf.DUMMYFUNCTION("""COMPUTED_VALUE"""),"Cisjordània, l'altra guerra")</x:f>
      </x:c>
      <x:c r="C1053" s="1">
        <x:f>IFERROR(__xludf.DUMMYFUNCTION("""COMPUTED_VALUE"""),"2023")</x:f>
      </x:c>
    </x:row>
    <x:row r="1054" spans="1:10">
      <x:c r="A1054" s="1" t="s">
        <x:v>1063</x:v>
      </x:c>
      <x:c r="B1054" s="1">
        <x:f>IFERROR(__xludf.DUMMYFUNCTION("""COMPUTED_VALUE"""),"Cita a cegues")</x:f>
      </x:c>
      <x:c r="C1054" s="1">
        <x:f>IFERROR(__xludf.DUMMYFUNCTION("""COMPUTED_VALUE"""),"1987")</x:f>
      </x:c>
    </x:row>
    <x:row r="1055" spans="1:10">
      <x:c r="A1055" s="1" t="s">
        <x:v>1064</x:v>
      </x:c>
      <x:c r="B1055" s="1">
        <x:f>IFERROR(__xludf.DUMMYFUNCTION("""COMPUTED_VALUE"""),"Cita d'amor")</x:f>
      </x:c>
      <x:c r="C1055" s="1">
        <x:f>IFERROR(__xludf.DUMMYFUNCTION("""COMPUTED_VALUE"""),"1939")</x:f>
      </x:c>
    </x:row>
    <x:row r="1056" spans="1:10">
      <x:c r="A1056" s="1" t="s">
        <x:v>1065</x:v>
      </x:c>
      <x:c r="B1056" s="1">
        <x:f>IFERROR(__xludf.DUMMYFUNCTION("""COMPUTED_VALUE"""),"Cita mortal")</x:f>
      </x:c>
      <x:c r="C1056" s="1">
        <x:f>IFERROR(__xludf.DUMMYFUNCTION("""COMPUTED_VALUE"""),"2021")</x:f>
      </x:c>
    </x:row>
    <x:row r="1057" spans="1:10">
      <x:c r="A1057" s="1" t="s">
        <x:v>1066</x:v>
      </x:c>
      <x:c r="B1057" s="1">
        <x:f>IFERROR(__xludf.DUMMYFUNCTION("""COMPUTED_VALUE"""),"City for Sale")</x:f>
      </x:c>
      <x:c r="C1057" s="1">
        <x:f>IFERROR(__xludf.DUMMYFUNCTION("""COMPUTED_VALUE"""),"2018")</x:f>
      </x:c>
    </x:row>
    <x:row r="1058" spans="1:10">
      <x:c r="A1058" s="1" t="s">
        <x:v>1067</x:v>
      </x:c>
      <x:c r="B1058" s="1">
        <x:f>IFERROR(__xludf.DUMMYFUNCTION("""COMPUTED_VALUE"""),"City Lights [VOSC]")</x:f>
      </x:c>
      <x:c r="C1058" s="1">
        <x:f>IFERROR(__xludf.DUMMYFUNCTION("""COMPUTED_VALUE"""),"1931")</x:f>
      </x:c>
    </x:row>
    <x:row r="1059" spans="1:10">
      <x:c r="A1059" s="1" t="s">
        <x:v>1068</x:v>
      </x:c>
      <x:c r="B1059" s="1">
        <x:f>IFERROR(__xludf.DUMMYFUNCTION("""COMPUTED_VALUE"""),"City of Angels")</x:f>
      </x:c>
      <x:c r="C1059" s="1">
        <x:f>IFERROR(__xludf.DUMMYFUNCTION("""COMPUTED_VALUE"""),"1998")</x:f>
      </x:c>
    </x:row>
    <x:row r="1060" spans="1:10">
      <x:c r="A1060" s="1" t="s">
        <x:v>1069</x:v>
      </x:c>
      <x:c r="B1060" s="1">
        <x:f>IFERROR(__xludf.DUMMYFUNCTION("""COMPUTED_VALUE"""),"City of Ember: A la recerca de la llum")</x:f>
      </x:c>
      <x:c r="C1060" s="1">
        <x:f>IFERROR(__xludf.DUMMYFUNCTION("""COMPUTED_VALUE"""),"2008")</x:f>
      </x:c>
    </x:row>
    <x:row r="1061" spans="1:10">
      <x:c r="A1061" s="1" t="s">
        <x:v>1070</x:v>
      </x:c>
      <x:c r="B1061" s="1">
        <x:f>IFERROR(__xludf.DUMMYFUNCTION("""COMPUTED_VALUE"""),"Ciutadà Kane [VOSC]")</x:f>
      </x:c>
      <x:c r="C1061" s="1">
        <x:f>IFERROR(__xludf.DUMMYFUNCTION("""COMPUTED_VALUE"""),"1941")</x:f>
      </x:c>
    </x:row>
    <x:row r="1062" spans="1:10">
      <x:c r="A1062" s="1" t="s">
        <x:v>1071</x:v>
      </x:c>
      <x:c r="B1062" s="1">
        <x:f>IFERROR(__xludf.DUMMYFUNCTION("""COMPUTED_VALUE"""),"Ciutat 44")</x:f>
      </x:c>
      <x:c r="C1062" s="1">
        <x:f>IFERROR(__xludf.DUMMYFUNCTION("""COMPUTED_VALUE"""),"2014")</x:f>
      </x:c>
    </x:row>
    <x:row r="1063" spans="1:10">
      <x:c r="A1063" s="1" t="s">
        <x:v>1072</x:v>
      </x:c>
      <x:c r="B1063" s="1">
        <x:f>IFERROR(__xludf.DUMMYFUNCTION("""COMPUTED_VALUE"""),"Ciutat astral")</x:f>
      </x:c>
      <x:c r="C1063" s="1">
        <x:f>IFERROR(__xludf.DUMMYFUNCTION("""COMPUTED_VALUE"""),"2010")</x:f>
      </x:c>
    </x:row>
    <x:row r="1064" spans="1:10">
      <x:c r="A1064" s="1" t="s">
        <x:v>1073</x:v>
      </x:c>
      <x:c r="B1064" s="1">
        <x:f>IFERROR(__xludf.DUMMYFUNCTION("""COMPUTED_VALUE"""),"Ciutat de vida i mort")</x:f>
      </x:c>
      <x:c r="C1064" s="1">
        <x:f>IFERROR(__xludf.DUMMYFUNCTION("""COMPUTED_VALUE"""),"2009")</x:f>
      </x:c>
    </x:row>
    <x:row r="1065" spans="1:10">
      <x:c r="A1065" s="1" t="s">
        <x:v>1074</x:v>
      </x:c>
      <x:c r="B1065" s="1">
        <x:f>IFERROR(__xludf.DUMMYFUNCTION("""COMPUTED_VALUE"""),"Ciutat del silenci")</x:f>
      </x:c>
      <x:c r="C1065" s="1">
        <x:f>IFERROR(__xludf.DUMMYFUNCTION("""COMPUTED_VALUE"""),"2007")</x:f>
      </x:c>
    </x:row>
    <x:row r="1066" spans="1:10">
      <x:c r="A1066" s="1" t="s">
        <x:v>1075</x:v>
      </x:c>
      <x:c r="B1066" s="1">
        <x:f>IFERROR(__xludf.DUMMYFUNCTION("""COMPUTED_VALUE"""),"Ciutat Morta")</x:f>
      </x:c>
      <x:c r="C1066" s="1">
        <x:f>IFERROR(__xludf.DUMMYFUNCTION("""COMPUTED_VALUE"""),"2014")</x:f>
      </x:c>
    </x:row>
    <x:row r="1067" spans="1:10">
      <x:c r="A1067" s="1" t="s">
        <x:v>1076</x:v>
      </x:c>
      <x:c r="B1067" s="1">
        <x:f>IFERROR(__xludf.DUMMYFUNCTION("""COMPUTED_VALUE"""),"Ciutat Morta (versió no censurada)")</x:f>
      </x:c>
      <x:c r="C1067" s="1">
        <x:f>IFERROR(__xludf.DUMMYFUNCTION("""COMPUTED_VALUE"""),"2014")</x:f>
      </x:c>
    </x:row>
    <x:row r="1068" spans="1:10">
      <x:c r="A1068" s="1" t="s">
        <x:v>1077</x:v>
      </x:c>
      <x:c r="B1068" s="1">
        <x:f>IFERROR(__xludf.DUMMYFUNCTION("""COMPUTED_VALUE"""),"Ciutat ratolí")</x:f>
      </x:c>
      <x:c r="C1068" s="1">
        <x:f>IFERROR(__xludf.DUMMYFUNCTION("""COMPUTED_VALUE"""),"2006")</x:f>
      </x:c>
    </x:row>
    <x:row r="1069" spans="1:10">
      <x:c r="A1069" s="1" t="s">
        <x:v>1078</x:v>
      </x:c>
      <x:c r="B1069" s="1">
        <x:f>IFERROR(__xludf.DUMMYFUNCTION("""COMPUTED_VALUE"""),"Clara")</x:f>
      </x:c>
      <x:c r="C1069" s="1">
        <x:f>IFERROR(__xludf.DUMMYFUNCTION("""COMPUTED_VALUE"""),"2008")</x:f>
      </x:c>
    </x:row>
    <x:row r="1070" spans="1:10">
      <x:c r="A1070" s="1" t="s">
        <x:v>1079</x:v>
      </x:c>
      <x:c r="B1070" s="1">
        <x:f>IFERROR(__xludf.DUMMYFUNCTION("""COMPUTED_VALUE"""),"Clara [VOSC]")</x:f>
      </x:c>
      <x:c r="C1070" s="1">
        <x:f>IFERROR(__xludf.DUMMYFUNCTION("""COMPUTED_VALUE"""),"2018")</x:f>
      </x:c>
    </x:row>
    <x:row r="1071" spans="1:10">
      <x:c r="A1071" s="1" t="s">
        <x:v>1080</x:v>
      </x:c>
      <x:c r="B1071" s="1">
        <x:f>IFERROR(__xludf.DUMMYFUNCTION("""COMPUTED_VALUE"""),"Clara Campoamor, la dona oblidada")</x:f>
      </x:c>
      <x:c r="C1071" s="1">
        <x:f>IFERROR(__xludf.DUMMYFUNCTION("""COMPUTED_VALUE"""),"2011")</x:f>
      </x:c>
    </x:row>
    <x:row r="1072" spans="1:10">
      <x:c r="A1072" s="1" t="s">
        <x:v>1081</x:v>
      </x:c>
      <x:c r="B1072" s="1">
        <x:f>IFERROR(__xludf.DUMMYFUNCTION("""COMPUTED_VALUE"""),"Clara Immerwahr")</x:f>
      </x:c>
      <x:c r="C1072" s="1">
        <x:f>IFERROR(__xludf.DUMMYFUNCTION("""COMPUTED_VALUE"""),"2014")</x:f>
      </x:c>
    </x:row>
    <x:row r="1073" spans="1:10">
      <x:c r="A1073" s="1" t="s">
        <x:v>1082</x:v>
      </x:c>
      <x:c r="B1073" s="1">
        <x:f>IFERROR(__xludf.DUMMYFUNCTION("""COMPUTED_VALUE"""),"Click")</x:f>
      </x:c>
      <x:c r="C1073" s="1">
        <x:f>IFERROR(__xludf.DUMMYFUNCTION("""COMPUTED_VALUE"""),"2006")</x:f>
      </x:c>
    </x:row>
    <x:row r="1074" spans="1:10">
      <x:c r="A1074" s="1" t="s">
        <x:v>1083</x:v>
      </x:c>
      <x:c r="B1074" s="1">
        <x:f>IFERROR(__xludf.DUMMYFUNCTION("""COMPUTED_VALUE"""),"Clifford: La meva petita gran mascota")</x:f>
      </x:c>
      <x:c r="C1074" s="1">
        <x:f>IFERROR(__xludf.DUMMYFUNCTION("""COMPUTED_VALUE"""),"2004")</x:f>
      </x:c>
    </x:row>
    <x:row r="1075" spans="1:10">
      <x:c r="A1075" s="1" t="s">
        <x:v>1084</x:v>
      </x:c>
      <x:c r="B1075" s="1">
        <x:f>IFERROR(__xludf.DUMMYFUNCTION("""COMPUTED_VALUE"""),"Climax [VOSC]")</x:f>
      </x:c>
      <x:c r="C1075" s="1">
        <x:f>IFERROR(__xludf.DUMMYFUNCTION("""COMPUTED_VALUE"""),"2018")</x:f>
      </x:c>
    </x:row>
    <x:row r="1076" spans="1:10">
      <x:c r="A1076" s="1" t="s">
        <x:v>1085</x:v>
      </x:c>
      <x:c r="B1076" s="1">
        <x:f>IFERROR(__xludf.DUMMYFUNCTION("""COMPUTED_VALUE"""),"Clínicament morta")</x:f>
      </x:c>
      <x:c r="C1076" s="1">
        <x:f>IFERROR(__xludf.DUMMYFUNCTION("""COMPUTED_VALUE"""),"1992")</x:f>
      </x:c>
    </x:row>
    <x:row r="1077" spans="1:10">
      <x:c r="A1077" s="1" t="s">
        <x:v>1086</x:v>
      </x:c>
      <x:c r="B1077" s="1">
        <x:f>IFERROR(__xludf.DUMMYFUNCTION("""COMPUTED_VALUE"""),"Close")</x:f>
      </x:c>
      <x:c r="C1077" s="1">
        <x:f>IFERROR(__xludf.DUMMYFUNCTION("""COMPUTED_VALUE"""),"2022")</x:f>
      </x:c>
    </x:row>
    <x:row r="1078" spans="1:10">
      <x:c r="A1078" s="1" t="s">
        <x:v>1087</x:v>
      </x:c>
      <x:c r="B1078" s="1">
        <x:f>IFERROR(__xludf.DUMMYFUNCTION("""COMPUTED_VALUE"""),"Closer")</x:f>
      </x:c>
      <x:c r="C1078" s="1">
        <x:f>IFERROR(__xludf.DUMMYFUNCTION("""COMPUTED_VALUE"""),"2004")</x:f>
      </x:c>
    </x:row>
    <x:row r="1079" spans="1:10">
      <x:c r="A1079" s="1" t="s">
        <x:v>1088</x:v>
      </x:c>
      <x:c r="B1079" s="1">
        <x:f>IFERROR(__xludf.DUMMYFUNCTION("""COMPUTED_VALUE"""),"Club de pares")</x:f>
      </x:c>
      <x:c r="C1079" s="1">
        <x:f>IFERROR(__xludf.DUMMYFUNCTION("""COMPUTED_VALUE"""),"2020")</x:f>
      </x:c>
    </x:row>
    <x:row r="1080" spans="1:10">
      <x:c r="A1080" s="1" t="s">
        <x:v>1089</x:v>
      </x:c>
      <x:c r="B1080" s="1">
        <x:f>IFERROR(__xludf.DUMMYFUNCTION("""COMPUTED_VALUE"""),"Club Disbauxa")</x:f>
      </x:c>
      <x:c r="C1080" s="1">
        <x:f>IFERROR(__xludf.DUMMYFUNCTION("""COMPUTED_VALUE"""),"2004")</x:f>
      </x:c>
    </x:row>
    <x:row r="1081" spans="1:10">
      <x:c r="A1081" s="1" t="s">
        <x:v>1090</x:v>
      </x:c>
      <x:c r="B1081" s="1">
        <x:f>IFERROR(__xludf.DUMMYFUNCTION("""COMPUTED_VALUE"""),"Club Winx: L'aventura màgica")</x:f>
      </x:c>
      <x:c r="C1081" s="1">
        <x:f>IFERROR(__xludf.DUMMYFUNCTION("""COMPUTED_VALUE"""),"2010")</x:f>
      </x:c>
    </x:row>
    <x:row r="1082" spans="1:10">
      <x:c r="A1082" s="1" t="s">
        <x:v>1091</x:v>
      </x:c>
      <x:c r="B1082" s="1">
        <x:f>IFERROR(__xludf.DUMMYFUNCTION("""COMPUTED_VALUE"""),"Cobra")</x:f>
      </x:c>
      <x:c r="C1082" s="1">
        <x:f>IFERROR(__xludf.DUMMYFUNCTION("""COMPUTED_VALUE"""),"1986")</x:f>
      </x:c>
    </x:row>
    <x:row r="1083" spans="1:10">
      <x:c r="A1083" s="1" t="s">
        <x:v>1092</x:v>
      </x:c>
      <x:c r="B1083" s="1">
        <x:f>IFERROR(__xludf.DUMMYFUNCTION("""COMPUTED_VALUE"""),"Coco, de la rebel·lia a la llegenda de Chanel")</x:f>
      </x:c>
      <x:c r="C1083" s="1">
        <x:f>IFERROR(__xludf.DUMMYFUNCTION("""COMPUTED_VALUE"""),"2009")</x:f>
      </x:c>
    </x:row>
    <x:row r="1084" spans="1:10">
      <x:c r="A1084" s="1" t="s">
        <x:v>1093</x:v>
      </x:c>
      <x:c r="B1084" s="1">
        <x:f>IFERROR(__xludf.DUMMYFUNCTION("""COMPUTED_VALUE"""),"Coco, el petit drac")</x:f>
      </x:c>
      <x:c r="C1084" s="1">
        <x:f>IFERROR(__xludf.DUMMYFUNCTION("""COMPUTED_VALUE"""),"2014")</x:f>
      </x:c>
    </x:row>
    <x:row r="1085" spans="1:10">
      <x:c r="A1085" s="1" t="s">
        <x:v>1094</x:v>
      </x:c>
      <x:c r="B1085" s="1">
        <x:f>IFERROR(__xludf.DUMMYFUNCTION("""COMPUTED_VALUE"""),"Cocodril")</x:f>
      </x:c>
      <x:c r="C1085" s="1">
        <x:f>IFERROR(__xludf.DUMMYFUNCTION("""COMPUTED_VALUE"""),"2000")</x:f>
      </x:c>
    </x:row>
    <x:row r="1086" spans="1:10">
      <x:c r="A1086" s="1" t="s">
        <x:v>1095</x:v>
      </x:c>
      <x:c r="B1086" s="1">
        <x:f>IFERROR(__xludf.DUMMYFUNCTION("""COMPUTED_VALUE"""),"Cocodril Dundee a Los Angeles")</x:f>
      </x:c>
      <x:c r="C1086" s="1">
        <x:f>IFERROR(__xludf.DUMMYFUNCTION("""COMPUTED_VALUE"""),"2001")</x:f>
      </x:c>
    </x:row>
    <x:row r="1087" spans="1:10">
      <x:c r="A1087" s="1" t="s">
        <x:v>1096</x:v>
      </x:c>
      <x:c r="B1087" s="1">
        <x:f>IFERROR(__xludf.DUMMYFUNCTION("""COMPUTED_VALUE"""),"Cocoon")</x:f>
      </x:c>
      <x:c r="C1087" s="1">
        <x:f>IFERROR(__xludf.DUMMYFUNCTION("""COMPUTED_VALUE"""),"1985")</x:f>
      </x:c>
    </x:row>
    <x:row r="1088" spans="1:10">
      <x:c r="A1088" s="1" t="s">
        <x:v>1097</x:v>
      </x:c>
      <x:c r="B1088" s="1">
        <x:f>IFERROR(__xludf.DUMMYFUNCTION("""COMPUTED_VALUE"""),"CODA")</x:f>
      </x:c>
      <x:c r="C1088" s="1">
        <x:f>IFERROR(__xludf.DUMMYFUNCTION("""COMPUTED_VALUE"""),"2019")</x:f>
      </x:c>
    </x:row>
    <x:row r="1089" spans="1:10">
      <x:c r="A1089" s="1" t="s">
        <x:v>1098</x:v>
      </x:c>
      <x:c r="B1089" s="1">
        <x:f>IFERROR(__xludf.DUMMYFUNCTION("""COMPUTED_VALUE"""),"Code 46 [VOSC]")</x:f>
      </x:c>
      <x:c r="C1089" s="1">
        <x:f>IFERROR(__xludf.DUMMYFUNCTION("""COMPUTED_VALUE"""),"2003")</x:f>
      </x:c>
    </x:row>
    <x:row r="1090" spans="1:10">
      <x:c r="A1090" s="1" t="s">
        <x:v>1099</x:v>
      </x:c>
      <x:c r="B1090" s="1">
        <x:f>IFERROR(__xludf.DUMMYFUNCTION("""COMPUTED_VALUE"""),"Codi 60")</x:f>
      </x:c>
      <x:c r="C1090" s="1">
        <x:f>IFERROR(__xludf.DUMMYFUNCTION("""COMPUTED_VALUE"""),"2012")</x:f>
      </x:c>
    </x:row>
    <x:row r="1091" spans="1:10">
      <x:c r="A1091" s="1" t="s">
        <x:v>1100</x:v>
      </x:c>
      <x:c r="B1091" s="1">
        <x:f>IFERROR(__xludf.DUMMYFUNCTION("""COMPUTED_VALUE"""),"Codi font")</x:f>
      </x:c>
      <x:c r="C1091" s="1">
        <x:f>IFERROR(__xludf.DUMMYFUNCTION("""COMPUTED_VALUE"""),"2011")</x:f>
      </x:c>
    </x:row>
    <x:row r="1092" spans="1:10">
      <x:c r="A1092" s="1" t="s">
        <x:v>1101</x:v>
      </x:c>
      <x:c r="B1092" s="1">
        <x:f>IFERROR(__xludf.DUMMYFUNCTION("""COMPUTED_VALUE"""),"Codi obert")</x:f>
      </x:c>
      <x:c r="C1092" s="1">
        <x:f>IFERROR(__xludf.DUMMYFUNCTION("""COMPUTED_VALUE"""),"2017")</x:f>
      </x:c>
    </x:row>
    <x:row r="1093" spans="1:10">
      <x:c r="A1093" s="1" t="s">
        <x:v>1102</x:v>
      </x:c>
      <x:c r="B1093" s="1">
        <x:f>IFERROR(__xludf.DUMMYFUNCTION("""COMPUTED_VALUE"""),"Cola, Colita, Colassa (Oda a Barcelona)")</x:f>
      </x:c>
      <x:c r="C1093" s="1">
        <x:f>IFERROR(__xludf.DUMMYFUNCTION("""COMPUTED_VALUE"""),"2015")</x:f>
      </x:c>
    </x:row>
    <x:row r="1094" spans="1:10">
      <x:c r="A1094" s="1" t="s">
        <x:v>1103</x:v>
      </x:c>
      <x:c r="B1094" s="1">
        <x:f>IFERROR(__xludf.DUMMYFUNCTION("""COMPUTED_VALUE"""),"Cold Mountain")</x:f>
      </x:c>
      <x:c r="C1094" s="1">
        <x:f>IFERROR(__xludf.DUMMYFUNCTION("""COMPUTED_VALUE"""),"2003")</x:f>
      </x:c>
    </x:row>
    <x:row r="1095" spans="1:10">
      <x:c r="A1095" s="1" t="s">
        <x:v>1104</x:v>
      </x:c>
      <x:c r="B1095" s="1">
        <x:f>IFERROR(__xludf.DUMMYFUNCTION("""COMPUTED_VALUE"""),"Cold War")</x:f>
      </x:c>
      <x:c r="C1095" s="1">
        <x:f>IFERROR(__xludf.DUMMYFUNCTION("""COMPUTED_VALUE"""),"2018")</x:f>
      </x:c>
    </x:row>
    <x:row r="1096" spans="1:10">
      <x:c r="A1096" s="1" t="s">
        <x:v>1105</x:v>
      </x:c>
      <x:c r="B1096" s="1">
        <x:f>IFERROR(__xludf.DUMMYFUNCTION("""COMPUTED_VALUE"""),"Colette")</x:f>
      </x:c>
      <x:c r="C1096" s="1">
        <x:f>IFERROR(__xludf.DUMMYFUNCTION("""COMPUTED_VALUE"""),"2018")</x:f>
      </x:c>
    </x:row>
    <x:row r="1097" spans="1:10">
      <x:c r="A1097" s="1" t="s">
        <x:v>1106</x:v>
      </x:c>
      <x:c r="B1097" s="1">
        <x:f>IFERROR(__xludf.DUMMYFUNCTION("""COMPUTED_VALUE"""),"Colla al rescat")</x:f>
      </x:c>
      <x:c r="C1097" s="1">
        <x:f>IFERROR(__xludf.DUMMYFUNCTION("""COMPUTED_VALUE"""),"2023")</x:f>
      </x:c>
    </x:row>
    <x:row r="1098" spans="1:10">
      <x:c r="A1098" s="1" t="s">
        <x:v>1107</x:v>
      </x:c>
      <x:c r="B1098" s="1">
        <x:f>IFERROR(__xludf.DUMMYFUNCTION("""COMPUTED_VALUE"""),"Col·laboreu amb el vostre xèrif")</x:f>
      </x:c>
      <x:c r="C1098" s="1">
        <x:f>IFERROR(__xludf.DUMMYFUNCTION("""COMPUTED_VALUE"""),"1969")</x:f>
      </x:c>
    </x:row>
    <x:row r="1099" spans="1:10">
      <x:c r="A1099" s="1" t="s">
        <x:v>1108</x:v>
      </x:c>
      <x:c r="B1099" s="1">
        <x:f>IFERROR(__xludf.DUMMYFUNCTION("""COMPUTED_VALUE"""),"Col·legues al bosc")</x:f>
      </x:c>
      <x:c r="C1099" s="1">
        <x:f>IFERROR(__xludf.DUMMYFUNCTION("""COMPUTED_VALUE"""),"2006")</x:f>
      </x:c>
    </x:row>
    <x:row r="1100" spans="1:10">
      <x:c r="A1100" s="1" t="s">
        <x:v>1109</x:v>
      </x:c>
      <x:c r="B1100" s="1">
        <x:f>IFERROR(__xludf.DUMMYFUNCTION("""COMPUTED_VALUE"""),"Col·legues al bosc 2")</x:f>
      </x:c>
      <x:c r="C1100" s="1">
        <x:f>IFERROR(__xludf.DUMMYFUNCTION("""COMPUTED_VALUE"""),"2008")</x:f>
      </x:c>
    </x:row>
    <x:row r="1101" spans="1:10">
      <x:c r="A1101" s="1" t="s">
        <x:v>1110</x:v>
      </x:c>
      <x:c r="B1101" s="1">
        <x:f>IFERROR(__xludf.DUMMYFUNCTION("""COMPUTED_VALUE"""),"Col·legues al bosc, una aventura de por")</x:f>
      </x:c>
      <x:c r="C1101" s="1">
        <x:f>IFERROR(__xludf.DUMMYFUNCTION("""COMPUTED_VALUE"""),"2015")</x:f>
      </x:c>
    </x:row>
    <x:row r="1102" spans="1:10">
      <x:c r="A1102" s="1" t="s">
        <x:v>1111</x:v>
      </x:c>
      <x:c r="B1102" s="1">
        <x:f>IFERROR(__xludf.DUMMYFUNCTION("""COMPUTED_VALUE"""),"Colom i la Casa Reial Catalana")</x:f>
      </x:c>
      <x:c r="C1102" s="1">
        <x:f>IFERROR(__xludf.DUMMYFUNCTION("""COMPUTED_VALUE"""),"2011")</x:f>
      </x:c>
    </x:row>
    <x:row r="1103" spans="1:10">
      <x:c r="A1103" s="1" t="s">
        <x:v>1112</x:v>
      </x:c>
      <x:c r="B1103" s="1">
        <x:f>IFERROR(__xludf.DUMMYFUNCTION("""COMPUTED_VALUE"""),"Colonia")</x:f>
      </x:c>
      <x:c r="C1103" s="1">
        <x:f>IFERROR(__xludf.DUMMYFUNCTION("""COMPUTED_VALUE"""),"2015")</x:f>
      </x:c>
    </x:row>
    <x:row r="1104" spans="1:10">
      <x:c r="A1104" s="1" t="s">
        <x:v>1113</x:v>
      </x:c>
      <x:c r="B1104" s="1">
        <x:f>IFERROR(__xludf.DUMMYFUNCTION("""COMPUTED_VALUE"""),"Colors vius sobre fons negre")</x:f>
      </x:c>
      <x:c r="C1104" s="1">
        <x:f>IFERROR(__xludf.DUMMYFUNCTION("""COMPUTED_VALUE"""),"2010")</x:f>
      </x:c>
    </x:row>
    <x:row r="1105" spans="1:10">
      <x:c r="A1105" s="1" t="s">
        <x:v>1114</x:v>
      </x:c>
      <x:c r="B1105" s="1">
        <x:f>IFERROR(__xludf.DUMMYFUNCTION("""COMPUTED_VALUE"""),"Com a casa, enlloc")</x:f>
      </x:c>
      <x:c r="C1105" s="1">
        <x:f>IFERROR(__xludf.DUMMYFUNCTION("""COMPUTED_VALUE"""),"2008")</x:f>
      </x:c>
    </x:row>
    <x:row r="1106" spans="1:10">
      <x:c r="A1106" s="1" t="s">
        <x:v>1115</x:v>
      </x:c>
      <x:c r="B1106" s="1">
        <x:f>IFERROR(__xludf.DUMMYFUNCTION("""COMPUTED_VALUE"""),"Com bojos... a buscar l'or")</x:f>
      </x:c>
      <x:c r="C1106" s="1">
        <x:f>IFERROR(__xludf.DUMMYFUNCTION("""COMPUTED_VALUE"""),"2008")</x:f>
      </x:c>
    </x:row>
    <x:row r="1107" spans="1:10">
      <x:c r="A1107" s="1" t="s">
        <x:v>1116</x:v>
      </x:c>
      <x:c r="B1107" s="1">
        <x:f>IFERROR(__xludf.DUMMYFUNCTION("""COMPUTED_VALUE"""),"Com Bruce Lee va canviar el món")</x:f>
      </x:c>
      <x:c r="C1107" s="1">
        <x:f>IFERROR(__xludf.DUMMYFUNCTION("""COMPUTED_VALUE"""),"2009")</x:f>
      </x:c>
    </x:row>
    <x:row r="1108" spans="1:10">
      <x:c r="A1108" s="1" t="s">
        <x:v>1117</x:v>
      </x:c>
      <x:c r="B1108" s="1">
        <x:f>IFERROR(__xludf.DUMMYFUNCTION("""COMPUTED_VALUE"""),"Com eliminar el seu cap")</x:f>
      </x:c>
      <x:c r="C1108" s="1">
        <x:f>IFERROR(__xludf.DUMMYFUNCTION("""COMPUTED_VALUE"""),"1980")</x:f>
      </x:c>
    </x:row>
    <x:row r="1109" spans="1:10">
      <x:c r="A1109" s="1" t="s">
        <x:v>1118</x:v>
      </x:c>
      <x:c r="B1109" s="1">
        <x:f>IFERROR(__xludf.DUMMYFUNCTION("""COMPUTED_VALUE"""),"Com ensinistrar un drac")</x:f>
      </x:c>
      <x:c r="C1109" s="1">
        <x:f>IFERROR(__xludf.DUMMYFUNCTION("""COMPUTED_VALUE"""),"2025")</x:f>
      </x:c>
    </x:row>
    <x:row r="1110" spans="1:10">
      <x:c r="A1110" s="1" t="s">
        <x:v>1119</x:v>
      </x:c>
      <x:c r="B1110" s="1">
        <x:f>IFERROR(__xludf.DUMMYFUNCTION("""COMPUTED_VALUE"""),"Com ensinistrar un drac I")</x:f>
      </x:c>
      <x:c r="C1110" s="1">
        <x:f>IFERROR(__xludf.DUMMYFUNCTION("""COMPUTED_VALUE"""),"2010")</x:f>
      </x:c>
    </x:row>
    <x:row r="1111" spans="1:10">
      <x:c r="A1111" s="1" t="s">
        <x:v>1120</x:v>
      </x:c>
      <x:c r="B1111" s="1">
        <x:f>IFERROR(__xludf.DUMMYFUNCTION("""COMPUTED_VALUE"""),"Com ensinistrar un drac II")</x:f>
      </x:c>
      <x:c r="C1111" s="1">
        <x:f>IFERROR(__xludf.DUMMYFUNCTION("""COMPUTED_VALUE"""),"2014")</x:f>
      </x:c>
    </x:row>
    <x:row r="1112" spans="1:10">
      <x:c r="A1112" s="1" t="s">
        <x:v>1121</x:v>
      </x:c>
      <x:c r="B1112" s="1">
        <x:f>IFERROR(__xludf.DUMMYFUNCTION("""COMPUTED_VALUE"""),"Com ensinistrar un drac III")</x:f>
      </x:c>
      <x:c r="C1112" s="1">
        <x:f>IFERROR(__xludf.DUMMYFUNCTION("""COMPUTED_VALUE"""),"2019")</x:f>
      </x:c>
    </x:row>
    <x:row r="1113" spans="1:10">
      <x:c r="A1113" s="1" t="s">
        <x:v>1122</x:v>
      </x:c>
      <x:c r="B1113" s="1">
        <x:f>IFERROR(__xludf.DUMMYFUNCTION("""COMPUTED_VALUE"""),"Com ensinistrar un drac: El retorn")</x:f>
      </x:c>
      <x:c r="C1113" s="1">
        <x:f>IFERROR(__xludf.DUMMYFUNCTION("""COMPUTED_VALUE"""),"2019")</x:f>
      </x:c>
    </x:row>
    <x:row r="1114" spans="1:10">
      <x:c r="A1114" s="1" t="s">
        <x:v>1123</x:v>
      </x:c>
      <x:c r="B1114" s="1">
        <x:f>IFERROR(__xludf.DUMMYFUNCTION("""COMPUTED_VALUE"""),"Com es va fer... el retaule del flautista")</x:f>
      </x:c>
      <x:c r="C1114" s="1">
        <x:f>IFERROR(__xludf.DUMMYFUNCTION("""COMPUTED_VALUE"""),"2012")</x:f>
      </x:c>
    </x:row>
    <x:row r="1115" spans="1:10">
      <x:c r="A1115" s="1" t="s">
        <x:v>1124</x:v>
      </x:c>
      <x:c r="B1115" s="1">
        <x:f>IFERROR(__xludf.DUMMYFUNCTION("""COMPUTED_VALUE"""),"Com gats i gossos")</x:f>
      </x:c>
      <x:c r="C1115" s="1">
        <x:f>IFERROR(__xludf.DUMMYFUNCTION("""COMPUTED_VALUE"""),"2001")</x:f>
      </x:c>
    </x:row>
    <x:row r="1116" spans="1:10">
      <x:c r="A1116" s="1" t="s">
        <x:v>1125</x:v>
      </x:c>
      <x:c r="B1116" s="1">
        <x:f>IFERROR(__xludf.DUMMYFUNCTION("""COMPUTED_VALUE"""),"Com la vida mateixa")</x:f>
      </x:c>
      <x:c r="C1116" s="1">
        <x:f>IFERROR(__xludf.DUMMYFUNCTION("""COMPUTED_VALUE"""),"2010")</x:f>
      </x:c>
    </x:row>
    <x:row r="1117" spans="1:10">
      <x:c r="A1117" s="1" t="s">
        <x:v>1126</x:v>
      </x:c>
      <x:c r="B1117" s="1">
        <x:f>IFERROR(__xludf.DUMMYFUNCTION("""COMPUTED_VALUE"""),"Com matar el teu cap I")</x:f>
      </x:c>
      <x:c r="C1117" s="1">
        <x:f>IFERROR(__xludf.DUMMYFUNCTION("""COMPUTED_VALUE"""),"2011")</x:f>
      </x:c>
    </x:row>
    <x:row r="1118" spans="1:10">
      <x:c r="A1118" s="1" t="s">
        <x:v>1127</x:v>
      </x:c>
      <x:c r="B1118" s="1">
        <x:f>IFERROR(__xludf.DUMMYFUNCTION("""COMPUTED_VALUE"""),"Com matar el teu cap II")</x:f>
      </x:c>
      <x:c r="C1118" s="1">
        <x:f>IFERROR(__xludf.DUMMYFUNCTION("""COMPUTED_VALUE"""),"2014")</x:f>
      </x:c>
    </x:row>
    <x:row r="1119" spans="1:10">
      <x:c r="A1119" s="1" t="s">
        <x:v>1128</x:v>
      </x:c>
      <x:c r="B1119" s="1">
        <x:f>IFERROR(__xludf.DUMMYFUNCTION("""COMPUTED_VALUE"""),"Com peix a l'aigua")</x:f>
      </x:c>
      <x:c r="C1119" s="1">
        <x:f>IFERROR(__xludf.DUMMYFUNCTION("""COMPUTED_VALUE"""),"1997")</x:f>
      </x:c>
    </x:row>
    <x:row r="1120" spans="1:10">
      <x:c r="A1120" s="1" t="s">
        <x:v>1129</x:v>
      </x:c>
      <x:c r="B1120" s="1">
        <x:f>IFERROR(__xludf.DUMMYFUNCTION("""COMPUTED_VALUE"""),"Com reines")</x:f>
      </x:c>
      <x:c r="C1120" s="1">
        <x:f>IFERROR(__xludf.DUMMYFUNCTION("""COMPUTED_VALUE"""),"2016")</x:f>
      </x:c>
    </x:row>
    <x:row r="1121" spans="1:10">
      <x:c r="A1121" s="1" t="s">
        <x:v>1130</x:v>
      </x:c>
      <x:c r="B1121" s="1">
        <x:f>IFERROR(__xludf.DUMMYFUNCTION("""COMPUTED_VALUE"""),"Com saps si...")</x:f>
      </x:c>
      <x:c r="C1121" s="1">
        <x:f>IFERROR(__xludf.DUMMYFUNCTION("""COMPUTED_VALUE"""),"2010")</x:f>
      </x:c>
    </x:row>
    <x:row r="1122" spans="1:10">
      <x:c r="A1122" s="1" t="s">
        <x:v>1131</x:v>
      </x:c>
      <x:c r="B1122" s="1">
        <x:f>IFERROR(__xludf.DUMMYFUNCTION("""COMPUTED_VALUE"""),"Com un torrent")</x:f>
      </x:c>
      <x:c r="C1122" s="1">
        <x:f>IFERROR(__xludf.DUMMYFUNCTION("""COMPUTED_VALUE"""),"1958")</x:f>
      </x:c>
    </x:row>
    <x:row r="1123" spans="1:10">
      <x:c r="A1123" s="1" t="s">
        <x:v>1132</x:v>
      </x:c>
      <x:c r="B1123" s="1">
        <x:f>IFERROR(__xludf.DUMMYFUNCTION("""COMPUTED_VALUE"""),"Com un tro en un cel serè")</x:f>
      </x:c>
      <x:c r="C1123" s="1">
        <x:f>IFERROR(__xludf.DUMMYFUNCTION("""COMPUTED_VALUE"""),"2021")</x:f>
      </x:c>
    </x:row>
    <x:row r="1124" spans="1:10">
      <x:c r="A1124" s="1" t="s">
        <x:v>1133</x:v>
      </x:c>
      <x:c r="B1124" s="1">
        <x:f>IFERROR(__xludf.DUMMYFUNCTION("""COMPUTED_VALUE"""),"Com vaig celebrar la fi del món")</x:f>
      </x:c>
      <x:c r="C1124" s="1">
        <x:f>IFERROR(__xludf.DUMMYFUNCTION("""COMPUTED_VALUE"""),"2006")</x:f>
      </x:c>
    </x:row>
    <x:row r="1125" spans="1:10">
      <x:c r="A1125" s="1" t="s">
        <x:v>1134</x:v>
      </x:c>
      <x:c r="B1125" s="1">
        <x:f>IFERROR(__xludf.DUMMYFUNCTION("""COMPUTED_VALUE"""),"Comancheria")</x:f>
      </x:c>
      <x:c r="C1125" s="1">
        <x:f>IFERROR(__xludf.DUMMYFUNCTION("""COMPUTED_VALUE"""),"2016")</x:f>
      </x:c>
    </x:row>
    <x:row r="1126" spans="1:10">
      <x:c r="A1126" s="1" t="s">
        <x:v>1135</x:v>
      </x:c>
      <x:c r="B1126" s="1">
        <x:f>IFERROR(__xludf.DUMMYFUNCTION("""COMPUTED_VALUE"""),"Comandament perdut")</x:f>
      </x:c>
      <x:c r="C1126" s="1">
        <x:f>IFERROR(__xludf.DUMMYFUNCTION("""COMPUTED_VALUE"""),"1966")</x:f>
      </x:c>
    </x:row>
    <x:row r="1127" spans="1:10">
      <x:c r="A1127" s="1" t="s">
        <x:v>1136</x:v>
      </x:c>
      <x:c r="B1127" s="1">
        <x:f>IFERROR(__xludf.DUMMYFUNCTION("""COMPUTED_VALUE"""),"Comando Pitó")</x:f>
      </x:c>
      <x:c r="C1127" s="1">
        <x:f>IFERROR(__xludf.DUMMYFUNCTION("""COMPUTED_VALUE"""),"2002")</x:f>
      </x:c>
    </x:row>
    <x:row r="1128" spans="1:10">
      <x:c r="A1128" s="1" t="s">
        <x:v>1137</x:v>
      </x:c>
      <x:c r="B1128" s="1">
        <x:f>IFERROR(__xludf.DUMMYFUNCTION("""COMPUTED_VALUE"""),"Combat al cel")</x:f>
      </x:c>
      <x:c r="C1128" s="1">
        <x:f>IFERROR(__xludf.DUMMYFUNCTION("""COMPUTED_VALUE"""),"2018")</x:f>
      </x:c>
    </x:row>
    <x:row r="1129" spans="1:10">
      <x:c r="A1129" s="1" t="s">
        <x:v>1138</x:v>
      </x:c>
      <x:c r="B1129" s="1">
        <x:f>IFERROR(__xludf.DUMMYFUNCTION("""COMPUTED_VALUE"""),"Combat trucat")</x:f>
      </x:c>
      <x:c r="C1129" s="1">
        <x:f>IFERROR(__xludf.DUMMYFUNCTION("""COMPUTED_VALUE"""),"1949")</x:f>
      </x:c>
    </x:row>
    <x:row r="1130" spans="1:10">
      <x:c r="A1130" s="1" t="s">
        <x:v>1139</x:v>
      </x:c>
      <x:c r="B1130" s="1">
        <x:f>IFERROR(__xludf.DUMMYFUNCTION("""COMPUTED_VALUE"""),"Comboi")</x:f>
      </x:c>
      <x:c r="C1130" s="1">
        <x:f>IFERROR(__xludf.DUMMYFUNCTION("""COMPUTED_VALUE"""),"1978")</x:f>
      </x:c>
    </x:row>
    <x:row r="1131" spans="1:10">
      <x:c r="A1131" s="1" t="s">
        <x:v>1140</x:v>
      </x:c>
      <x:c r="B1131" s="1">
        <x:f>IFERROR(__xludf.DUMMYFUNCTION("""COMPUTED_VALUE"""),"Comediants, amb el sol a la maleta")</x:f>
      </x:c>
      <x:c r="C1131" s="1">
        <x:f>IFERROR(__xludf.DUMMYFUNCTION("""COMPUTED_VALUE"""),"2013")</x:f>
      </x:c>
    </x:row>
    <x:row r="1132" spans="1:10">
      <x:c r="A1132" s="1" t="s">
        <x:v>1141</x:v>
      </x:c>
      <x:c r="B1132" s="1">
        <x:f>IFERROR(__xludf.DUMMYFUNCTION("""COMPUTED_VALUE"""),"Cómeme el coco, negro")</x:f>
      </x:c>
      <x:c r="C1132" s="1">
        <x:f>IFERROR(__xludf.DUMMYFUNCTION("""COMPUTED_VALUE"""),"2007")</x:f>
      </x:c>
    </x:row>
    <x:row r="1133" spans="1:10">
      <x:c r="A1133" s="1" t="s">
        <x:v>1142</x:v>
      </x:c>
      <x:c r="B1133" s="1">
        <x:f>IFERROR(__xludf.DUMMYFUNCTION("""COMPUTED_VALUE"""),"Comiat de soltera")</x:f>
      </x:c>
      <x:c r="C1133" s="1">
        <x:f>IFERROR(__xludf.DUMMYFUNCTION("""COMPUTED_VALUE"""),"2012")</x:f>
      </x:c>
    </x:row>
    <x:row r="1134" spans="1:10">
      <x:c r="A1134" s="1" t="s">
        <x:v>1143</x:v>
      </x:c>
      <x:c r="B1134" s="1">
        <x:f>IFERROR(__xludf.DUMMYFUNCTION("""COMPUTED_VALUE"""),"Companyia perillosa")</x:f>
      </x:c>
      <x:c r="C1134" s="1">
        <x:f>IFERROR(__xludf.DUMMYFUNCTION("""COMPUTED_VALUE"""),"2015")</x:f>
      </x:c>
    </x:row>
    <x:row r="1135" spans="1:10">
      <x:c r="A1135" s="1" t="s">
        <x:v>1144</x:v>
      </x:c>
      <x:c r="B1135" s="1">
        <x:f>IFERROR(__xludf.DUMMYFUNCTION("""COMPUTED_VALUE"""),"Companys, procés a Catalunya")</x:f>
      </x:c>
      <x:c r="C1135" s="1">
        <x:f>IFERROR(__xludf.DUMMYFUNCTION("""COMPUTED_VALUE"""),"1979")</x:f>
      </x:c>
    </x:row>
    <x:row r="1136" spans="1:10">
      <x:c r="A1136" s="1" t="s">
        <x:v>1145</x:v>
      </x:c>
      <x:c r="B1136" s="1">
        <x:f>IFERROR(__xludf.DUMMYFUNCTION("""COMPUTED_VALUE"""),"Competència oficial")</x:f>
      </x:c>
      <x:c r="C1136" s="1">
        <x:f>IFERROR(__xludf.DUMMYFUNCTION("""COMPUTED_VALUE"""),"2021")</x:f>
      </x:c>
    </x:row>
    <x:row r="1137" spans="1:10">
      <x:c r="A1137" s="1" t="s">
        <x:v>1146</x:v>
      </x:c>
      <x:c r="B1137" s="1">
        <x:f>IFERROR(__xludf.DUMMYFUNCTION("""COMPUTED_VALUE"""),"Comportar-se com adults")</x:f>
      </x:c>
      <x:c r="C1137" s="1">
        <x:f>IFERROR(__xludf.DUMMYFUNCTION("""COMPUTED_VALUE"""),"2019")</x:f>
      </x:c>
    </x:row>
    <x:row r="1138" spans="1:10">
      <x:c r="A1138" s="1" t="s">
        <x:v>1147</x:v>
      </x:c>
      <x:c r="B1138" s="1">
        <x:f>IFERROR(__xludf.DUMMYFUNCTION("""COMPUTED_VALUE"""),"Comprar, llençar, comprar")</x:f>
      </x:c>
      <x:c r="C1138" s="1">
        <x:f>IFERROR(__xludf.DUMMYFUNCTION("""COMPUTED_VALUE"""),"2010")</x:f>
      </x:c>
    </x:row>
    <x:row r="1139" spans="1:10">
      <x:c r="A1139" s="1" t="s">
        <x:v>1148</x:v>
      </x:c>
      <x:c r="B1139" s="1">
        <x:f>IFERROR(__xludf.DUMMYFUNCTION("""COMPUTED_VALUE"""),"Compromís per festes")</x:f>
      </x:c>
      <x:c r="C1139" s="1">
        <x:f>IFERROR(__xludf.DUMMYFUNCTION("""COMPUTED_VALUE"""),"2011")</x:f>
      </x:c>
    </x:row>
    <x:row r="1140" spans="1:10">
      <x:c r="A1140" s="1" t="s">
        <x:v>1149</x:v>
      </x:c>
      <x:c r="B1140" s="1">
        <x:f>IFERROR(__xludf.DUMMYFUNCTION("""COMPUTED_VALUE"""),"Compta amb mi")</x:f>
      </x:c>
      <x:c r="C1140" s="1">
        <x:f>IFERROR(__xludf.DUMMYFUNCTION("""COMPUTED_VALUE"""),"1986")</x:f>
      </x:c>
    </x:row>
    <x:row r="1141" spans="1:10">
      <x:c r="A1141" s="1" t="s">
        <x:v>1150</x:v>
      </x:c>
      <x:c r="B1141" s="1">
        <x:f>IFERROR(__xludf.DUMMYFUNCTION("""COMPUTED_VALUE"""),"Compte amb la família Blue")</x:f>
      </x:c>
      <x:c r="C1141" s="1">
        <x:f>IFERROR(__xludf.DUMMYFUNCTION("""COMPUTED_VALUE"""),"1994")</x:f>
      </x:c>
    </x:row>
    <x:row r="1142" spans="1:10">
      <x:c r="A1142" s="1" t="s">
        <x:v>1151</x:v>
      </x:c>
      <x:c r="B1142" s="1">
        <x:f>IFERROR(__xludf.DUMMYFUNCTION("""COMPUTED_VALUE"""),"Compte enrere")</x:f>
      </x:c>
      <x:c r="C1142" s="1">
        <x:f>IFERROR(__xludf.DUMMYFUNCTION("""COMPUTED_VALUE"""),"2010")</x:f>
      </x:c>
    </x:row>
    <x:row r="1143" spans="1:10">
      <x:c r="A1143" s="1" t="s">
        <x:v>1152</x:v>
      </x:c>
      <x:c r="B1143" s="1">
        <x:f>IFERROR(__xludf.DUMMYFUNCTION("""COMPUTED_VALUE"""),"Compte enrere")</x:f>
      </x:c>
      <x:c r="C1143" s="1">
        <x:f>IFERROR(__xludf.DUMMYFUNCTION("""COMPUTED_VALUE"""),"2019")</x:f>
      </x:c>
    </x:row>
    <x:row r="1144" spans="1:10">
      <x:c r="A1144" s="1" t="s">
        <x:v>1153</x:v>
      </x:c>
      <x:c r="B1144" s="1">
        <x:f>IFERROR(__xludf.DUMMYFUNCTION("""COMPUTED_VALUE"""),"Compte impagat")</x:f>
      </x:c>
      <x:c r="C1144" s="1">
        <x:f>IFERROR(__xludf.DUMMYFUNCTION("""COMPUTED_VALUE"""),"2018")</x:f>
      </x:c>
    </x:row>
    <x:row r="1145" spans="1:10">
      <x:c r="A1145" s="1" t="s">
        <x:v>1154</x:v>
      </x:c>
      <x:c r="B1145" s="1">
        <x:f>IFERROR(__xludf.DUMMYFUNCTION("""COMPUTED_VALUE"""),"Comptes pendents")</x:f>
      </x:c>
      <x:c r="C1145" s="1">
        <x:f>IFERROR(__xludf.DUMMYFUNCTION("""COMPUTED_VALUE"""),"1997")</x:f>
      </x:c>
    </x:row>
    <x:row r="1146" spans="1:10">
      <x:c r="A1146" s="1" t="s">
        <x:v>1155</x:v>
      </x:c>
      <x:c r="B1146" s="1">
        <x:f>IFERROR(__xludf.DUMMYFUNCTION("""COMPUTED_VALUE"""),"Comtes. L'origen de Catalunya")</x:f>
      </x:c>
      <x:c r="C1146" s="1">
        <x:f>IFERROR(__xludf.DUMMYFUNCTION("""COMPUTED_VALUE"""),"2017")</x:f>
      </x:c>
    </x:row>
    <x:row r="1147" spans="1:10">
      <x:c r="A1147" s="1" t="s">
        <x:v>1156</x:v>
      </x:c>
      <x:c r="B1147" s="1">
        <x:f>IFERROR(__xludf.DUMMYFUNCTION("""COMPUTED_VALUE"""),"Conan el destructor")</x:f>
      </x:c>
      <x:c r="C1147" s="1">
        <x:f>IFERROR(__xludf.DUMMYFUNCTION("""COMPUTED_VALUE"""),"1984")</x:f>
      </x:c>
    </x:row>
    <x:row r="1148" spans="1:10">
      <x:c r="A1148" s="1" t="s">
        <x:v>1157</x:v>
      </x:c>
      <x:c r="B1148" s="1">
        <x:f>IFERROR(__xludf.DUMMYFUNCTION("""COMPUTED_VALUE"""),"Concepción Arenal, la visitadora de presons")</x:f>
      </x:c>
      <x:c r="C1148" s="1">
        <x:f>IFERROR(__xludf.DUMMYFUNCTION("""COMPUTED_VALUE"""),"2012")</x:f>
      </x:c>
    </x:row>
    <x:row r="1149" spans="1:10">
      <x:c r="A1149" s="1" t="s">
        <x:v>1158</x:v>
      </x:c>
      <x:c r="B1149" s="1">
        <x:f>IFERROR(__xludf.DUMMYFUNCTION("""COMPUTED_VALUE"""),"Concert ''Volem acollir''")</x:f>
      </x:c>
      <x:c r="C1149" s="1">
        <x:f>IFERROR(__xludf.DUMMYFUNCTION("""COMPUTED_VALUE"""),"2017")</x:f>
      </x:c>
    </x:row>
    <x:row r="1150" spans="1:10">
      <x:c r="A1150" s="1" t="s">
        <x:v>1159</x:v>
      </x:c>
      <x:c r="B1150" s="1">
        <x:f>IFERROR(__xludf.DUMMYFUNCTION("""COMPUTED_VALUE"""),"Concert 50 Anys Companyia Elèctrica Dharma")</x:f>
      </x:c>
      <x:c r="C1150" s="1">
        <x:f>IFERROR(__xludf.DUMMYFUNCTION("""COMPUTED_VALUE"""),"2023")</x:f>
      </x:c>
    </x:row>
    <x:row r="1151" spans="1:10">
      <x:c r="A1151" s="1" t="s">
        <x:v>1160</x:v>
      </x:c>
      <x:c r="B1151" s="1">
        <x:f>IFERROR(__xludf.DUMMYFUNCTION("""COMPUTED_VALUE"""),"Concert Búhos 15 Anys")</x:f>
      </x:c>
      <x:c r="C1151" s="1">
        <x:f>IFERROR(__xludf.DUMMYFUNCTION("""COMPUTED_VALUE"""),"2022")</x:f>
      </x:c>
    </x:row>
    <x:row r="1152" spans="1:10">
      <x:c r="A1152" s="1" t="s">
        <x:v>1161</x:v>
      </x:c>
      <x:c r="B1152" s="1">
        <x:f>IFERROR(__xludf.DUMMYFUNCTION("""COMPUTED_VALUE"""),"Concert Catarres Simfònic: Fins que arribi l'alba")</x:f>
      </x:c>
      <x:c r="C1152" s="1">
        <x:f>IFERROR(__xludf.DUMMYFUNCTION("""COMPUTED_VALUE"""),"2019")</x:f>
      </x:c>
    </x:row>
    <x:row r="1153" spans="1:10">
      <x:c r="A1153" s="1" t="s">
        <x:v>1162</x:v>
      </x:c>
      <x:c r="B1153" s="1">
        <x:f>IFERROR(__xludf.DUMMYFUNCTION("""COMPUTED_VALUE"""),"Concert comiat Stay Homas")</x:f>
      </x:c>
      <x:c r="C1153" s="1">
        <x:f>IFERROR(__xludf.DUMMYFUNCTION("""COMPUTED_VALUE"""),"2025")</x:f>
      </x:c>
    </x:row>
    <x:row r="1154" spans="1:10">
      <x:c r="A1154" s="1" t="s">
        <x:v>1163</x:v>
      </x:c>
      <x:c r="B1154" s="1">
        <x:f>IFERROR(__xludf.DUMMYFUNCTION("""COMPUTED_VALUE"""),"Concert Companyia Elèctrica Dharma: recordant Josep Fortuny")</x:f>
      </x:c>
      <x:c r="C1154" s="1">
        <x:f>IFERROR(__xludf.DUMMYFUNCTION("""COMPUTED_VALUE"""),"2025")</x:f>
      </x:c>
    </x:row>
    <x:row r="1155" spans="1:10">
      <x:c r="A1155" s="1" t="s">
        <x:v>1164</x:v>
      </x:c>
      <x:c r="B1155" s="1">
        <x:f>IFERROR(__xludf.DUMMYFUNCTION("""COMPUTED_VALUE"""),"Concert de Buhos ‘Penedès Sempre dempeus’ a Vilafranca del Penedès")</x:f>
      </x:c>
      <x:c r="C1155" s="1">
        <x:f>IFERROR(__xludf.DUMMYFUNCTION("""COMPUTED_VALUE"""),"2024")</x:f>
      </x:c>
    </x:row>
    <x:row r="1156" spans="1:10">
      <x:c r="A1156" s="1" t="s">
        <x:v>1165</x:v>
      </x:c>
      <x:c r="B1156" s="1">
        <x:f>IFERROR(__xludf.DUMMYFUNCTION("""COMPUTED_VALUE"""),"Concert de Lluís Llach al Camp Nou")</x:f>
      </x:c>
      <x:c r="C1156" s="1">
        <x:f>IFERROR(__xludf.DUMMYFUNCTION("""COMPUTED_VALUE"""),"1985")</x:f>
      </x:c>
    </x:row>
    <x:row r="1157" spans="1:10">
      <x:c r="A1157" s="1" t="s">
        <x:v>1166</x:v>
      </x:c>
      <x:c r="B1157" s="1">
        <x:f>IFERROR(__xludf.DUMMYFUNCTION("""COMPUTED_VALUE"""),"Concert de Pau Vallvé a la Sala Apolo")</x:f>
      </x:c>
      <x:c r="C1157" s="1">
        <x:f>IFERROR(__xludf.DUMMYFUNCTION("""COMPUTED_VALUE"""),"2023")</x:f>
      </x:c>
    </x:row>
    <x:row r="1158" spans="1:10">
      <x:c r="A1158" s="1" t="s">
        <x:v>1167</x:v>
      </x:c>
      <x:c r="B1158" s="1">
        <x:f>IFERROR(__xludf.DUMMYFUNCTION("""COMPUTED_VALUE"""),"Concert del centenari Salvador Espriu")</x:f>
      </x:c>
      <x:c r="C1158" s="1">
        <x:f>IFERROR(__xludf.DUMMYFUNCTION("""COMPUTED_VALUE"""),"2013")</x:f>
      </x:c>
    </x:row>
    <x:row r="1159" spans="1:10">
      <x:c r="A1159" s="1" t="s">
        <x:v>1168</x:v>
      </x:c>
      <x:c r="B1159" s="1">
        <x:f>IFERROR(__xludf.DUMMYFUNCTION("""COMPUTED_VALUE"""),"Concert Gossos a l'Auditori")</x:f>
      </x:c>
      <x:c r="C1159" s="1">
        <x:f>IFERROR(__xludf.DUMMYFUNCTION("""COMPUTED_VALUE"""),"2018")</x:f>
      </x:c>
    </x:row>
    <x:row r="1160" spans="1:10">
      <x:c r="A1160" s="1" t="s">
        <x:v>1169</x:v>
      </x:c>
      <x:c r="B1160" s="1">
        <x:f>IFERROR(__xludf.DUMMYFUNCTION("""COMPUTED_VALUE"""),"Concert Homenatge Núria Feliu")</x:f>
      </x:c>
      <x:c r="C1160" s="1">
        <x:f>IFERROR(__xludf.DUMMYFUNCTION("""COMPUTED_VALUE"""),"2024")</x:f>
      </x:c>
    </x:row>
    <x:row r="1161" spans="1:10">
      <x:c r="A1161" s="1" t="s">
        <x:v>1170</x:v>
      </x:c>
      <x:c r="B1161" s="1">
        <x:f>IFERROR(__xludf.DUMMYFUNCTION("""COMPUTED_VALUE"""),"Concert Leonard Cohen - Barcelona")</x:f>
      </x:c>
      <x:c r="C1161" s="1">
        <x:f>IFERROR(__xludf.DUMMYFUNCTION("""COMPUTED_VALUE"""),"1993")</x:f>
      </x:c>
    </x:row>
    <x:row r="1162" spans="1:10">
      <x:c r="A1162" s="1" t="s">
        <x:v>1171</x:v>
      </x:c>
      <x:c r="B1162" s="1">
        <x:f>IFERROR(__xludf.DUMMYFUNCTION("""COMPUTED_VALUE"""),"Concert Lluís Llach al Palau Sant Jordi")</x:f>
      </x:c>
      <x:c r="C1162" s="1">
        <x:f>IFERROR(__xludf.DUMMYFUNCTION("""COMPUTED_VALUE"""),"2021")</x:f>
      </x:c>
    </x:row>
    <x:row r="1163" spans="1:10">
      <x:c r="A1163" s="1" t="s">
        <x:v>1172</x:v>
      </x:c>
      <x:c r="B1163" s="1">
        <x:f>IFERROR(__xludf.DUMMYFUNCTION("""COMPUTED_VALUE"""),"Concert Manel a la sala Apolo")</x:f>
      </x:c>
      <x:c r="C1163" s="1">
        <x:f>IFERROR(__xludf.DUMMYFUNCTION("""COMPUTED_VALUE"""),"2022")</x:f>
      </x:c>
    </x:row>
    <x:row r="1164" spans="1:10">
      <x:c r="A1164" s="1" t="s">
        <x:v>1173</x:v>
      </x:c>
      <x:c r="B1164" s="1">
        <x:f>IFERROR(__xludf.DUMMYFUNCTION("""COMPUTED_VALUE"""),"Concert Roger Mas 25 anys de Flors")</x:f>
      </x:c>
      <x:c r="C1164" s="1">
        <x:f>IFERROR(__xludf.DUMMYFUNCTION("""COMPUTED_VALUE"""),"2022")</x:f>
      </x:c>
    </x:row>
    <x:row r="1165" spans="1:10">
      <x:c r="A1165" s="1" t="s">
        <x:v>1174</x:v>
      </x:c>
      <x:c r="B1165" s="1">
        <x:f>IFERROR(__xludf.DUMMYFUNCTION("""COMPUTED_VALUE"""),"Concert The Tyets")</x:f>
      </x:c>
      <x:c r="C1165" s="1">
        <x:f>IFERROR(__xludf.DUMMYFUNCTION("""COMPUTED_VALUE"""),"2024")</x:f>
      </x:c>
    </x:row>
    <x:row r="1166" spans="1:10">
      <x:c r="A1166" s="1" t="s">
        <x:v>1175</x:v>
      </x:c>
      <x:c r="B1166" s="1">
        <x:f>IFERROR(__xludf.DUMMYFUNCTION("""COMPUTED_VALUE"""),"Concert Tricentenari 1714 - Catalunya 1714")</x:f>
      </x:c>
      <x:c r="C1166" s="1">
        <x:f>IFERROR(__xludf.DUMMYFUNCTION("""COMPUTED_VALUE"""),"2014")</x:f>
      </x:c>
    </x:row>
    <x:row r="1167" spans="1:10">
      <x:c r="A1167" s="1" t="s">
        <x:v>1176</x:v>
      </x:c>
      <x:c r="B1167" s="1">
        <x:f>IFERROR(__xludf.DUMMYFUNCTION("""COMPUTED_VALUE"""),"Concert. Andrea Motis i Joan Chamorro Grup al Teatre Coliseum de Barcelona")</x:f>
      </x:c>
      <x:c r="C1167" s="1">
        <x:f>IFERROR(__xludf.DUMMYFUNCTION("""COMPUTED_VALUE"""),"2011")</x:f>
      </x:c>
    </x:row>
    <x:row r="1168" spans="1:10">
      <x:c r="A1168" s="1" t="s">
        <x:v>1177</x:v>
      </x:c>
      <x:c r="B1168" s="1">
        <x:f>IFERROR(__xludf.DUMMYFUNCTION("""COMPUTED_VALUE"""),"Conclave")</x:f>
      </x:c>
      <x:c r="C1168" s="1">
        <x:f>IFERROR(__xludf.DUMMYFUNCTION("""COMPUTED_VALUE"""),"2024")</x:f>
      </x:c>
    </x:row>
    <x:row r="1169" spans="1:10">
      <x:c r="A1169" s="1" t="s">
        <x:v>1178</x:v>
      </x:c>
      <x:c r="B1169" s="1">
        <x:f>IFERROR(__xludf.DUMMYFUNCTION("""COMPUTED_VALUE"""),"Condemnats")</x:f>
      </x:c>
      <x:c r="C1169" s="1">
        <x:f>IFERROR(__xludf.DUMMYFUNCTION("""COMPUTED_VALUE"""),"2013")</x:f>
      </x:c>
    </x:row>
    <x:row r="1170" spans="1:10">
      <x:c r="A1170" s="1" t="s">
        <x:v>1179</x:v>
      </x:c>
      <x:c r="B1170" s="1">
        <x:f>IFERROR(__xludf.DUMMYFUNCTION("""COMPUTED_VALUE"""),"Coneix el seu amant?")</x:f>
      </x:c>
      <x:c r="C1170" s="1">
        <x:f>IFERROR(__xludf.DUMMYFUNCTION("""COMPUTED_VALUE"""),"2012")</x:f>
      </x:c>
    </x:row>
    <x:row r="1171" spans="1:10">
      <x:c r="A1171" s="1" t="s">
        <x:v>1180</x:v>
      </x:c>
      <x:c r="B1171" s="1">
        <x:f>IFERROR(__xludf.DUMMYFUNCTION("""COMPUTED_VALUE"""),"Coneixent l'Astrid")</x:f>
      </x:c>
      <x:c r="C1171" s="1">
        <x:f>IFERROR(__xludf.DUMMYFUNCTION("""COMPUTED_VALUE"""),"2018")</x:f>
      </x:c>
    </x:row>
    <x:row r="1172" spans="1:10">
      <x:c r="A1172" s="1" t="s">
        <x:v>1181</x:v>
      </x:c>
      <x:c r="B1172" s="1">
        <x:f>IFERROR(__xludf.DUMMYFUNCTION("""COMPUTED_VALUE"""),"Coneixent la Matsuko")</x:f>
      </x:c>
      <x:c r="C1172" s="1">
        <x:f>IFERROR(__xludf.DUMMYFUNCTION("""COMPUTED_VALUE"""),"2006")</x:f>
      </x:c>
    </x:row>
    <x:row r="1173" spans="1:10">
      <x:c r="A1173" s="1" t="s">
        <x:v>1182</x:v>
      </x:c>
      <x:c r="B1173" s="1">
        <x:f>IFERROR(__xludf.DUMMYFUNCTION("""COMPUTED_VALUE"""),"Coneixeràs l'home dels teus somnis")</x:f>
      </x:c>
      <x:c r="C1173" s="1">
        <x:f>IFERROR(__xludf.DUMMYFUNCTION("""COMPUTED_VALUE"""),"2010")</x:f>
      </x:c>
    </x:row>
    <x:row r="1174" spans="1:10">
      <x:c r="A1174" s="1" t="s">
        <x:v>1183</x:v>
      </x:c>
      <x:c r="B1174" s="1">
        <x:f>IFERROR(__xludf.DUMMYFUNCTION("""COMPUTED_VALUE"""),"Confia en mi")</x:f>
      </x:c>
      <x:c r="C1174" s="1">
        <x:f>IFERROR(__xludf.DUMMYFUNCTION("""COMPUTED_VALUE"""),"2010")</x:f>
      </x:c>
    </x:row>
    <x:row r="1175" spans="1:10">
      <x:c r="A1175" s="1" t="s">
        <x:v>1184</x:v>
      </x:c>
      <x:c r="B1175" s="1">
        <x:f>IFERROR(__xludf.DUMMYFUNCTION("""COMPUTED_VALUE"""),"Confiança cega")</x:f>
      </x:c>
      <x:c r="C1175" s="1">
        <x:f>IFERROR(__xludf.DUMMYFUNCTION("""COMPUTED_VALUE"""),"2004")</x:f>
      </x:c>
    </x:row>
    <x:row r="1176" spans="1:10">
      <x:c r="A1176" s="1" t="s">
        <x:v>1185</x:v>
      </x:c>
      <x:c r="B1176" s="1">
        <x:f>IFERROR(__xludf.DUMMYFUNCTION("""COMPUTED_VALUE"""),"Confidence")</x:f>
      </x:c>
      <x:c r="C1176" s="1">
        <x:f>IFERROR(__xludf.DUMMYFUNCTION("""COMPUTED_VALUE"""),"2003")</x:f>
      </x:c>
    </x:row>
    <x:row r="1177" spans="1:10">
      <x:c r="A1177" s="1" t="s">
        <x:v>1186</x:v>
      </x:c>
      <x:c r="B1177" s="1">
        <x:f>IFERROR(__xludf.DUMMYFUNCTION("""COMPUTED_VALUE"""),"Confinament")</x:f>
      </x:c>
      <x:c r="C1177" s="1">
        <x:f>IFERROR(__xludf.DUMMYFUNCTION("""COMPUTED_VALUE"""),"2010")</x:f>
      </x:c>
    </x:row>
    <x:row r="1178" spans="1:10">
      <x:c r="A1178" s="1" t="s">
        <x:v>1187</x:v>
      </x:c>
      <x:c r="B1178" s="1">
        <x:f>IFERROR(__xludf.DUMMYFUNCTION("""COMPUTED_VALUE"""),"Conflicte d'interessos")</x:f>
      </x:c>
      <x:c r="C1178" s="1">
        <x:f>IFERROR(__xludf.DUMMYFUNCTION("""COMPUTED_VALUE"""),"1998")</x:f>
      </x:c>
    </x:row>
    <x:row r="1179" spans="1:10">
      <x:c r="A1179" s="1" t="s">
        <x:v>1188</x:v>
      </x:c>
      <x:c r="B1179" s="1">
        <x:f>IFERROR(__xludf.DUMMYFUNCTION("""COMPUTED_VALUE"""),"Confuci")</x:f>
      </x:c>
      <x:c r="C1179" s="1">
        <x:f>IFERROR(__xludf.DUMMYFUNCTION("""COMPUTED_VALUE"""),"2010")</x:f>
      </x:c>
    </x:row>
    <x:row r="1180" spans="1:10">
      <x:c r="A1180" s="1" t="s">
        <x:v>1189</x:v>
      </x:c>
      <x:c r="B1180" s="1">
        <x:f>IFERROR(__xludf.DUMMYFUNCTION("""COMPUTED_VALUE"""),"Conills, el malson del pagès")</x:f>
      </x:c>
      <x:c r="C1180" s="1">
        <x:f>IFERROR(__xludf.DUMMYFUNCTION("""COMPUTED_VALUE"""),"2025")</x:f>
      </x:c>
    </x:row>
    <x:row r="1181" spans="1:10">
      <x:c r="A1181" s="1" t="s">
        <x:v>1190</x:v>
      </x:c>
      <x:c r="B1181" s="1">
        <x:f>IFERROR(__xludf.DUMMYFUNCTION("""COMPUTED_VALUE"""),"Connexió Marsella")</x:f>
      </x:c>
      <x:c r="C1181" s="1">
        <x:f>IFERROR(__xludf.DUMMYFUNCTION("""COMPUTED_VALUE"""),"2014")</x:f>
      </x:c>
    </x:row>
    <x:row r="1182" spans="1:10">
      <x:c r="A1182" s="1" t="s">
        <x:v>1191</x:v>
      </x:c>
      <x:c r="B1182" s="1">
        <x:f>IFERROR(__xludf.DUMMYFUNCTION("""COMPUTED_VALUE"""),"Connexió perillosa")</x:f>
      </x:c>
      <x:c r="C1182" s="1">
        <x:f>IFERROR(__xludf.DUMMYFUNCTION("""COMPUTED_VALUE"""),"2016")</x:f>
      </x:c>
    </x:row>
    <x:row r="1183" spans="1:10">
      <x:c r="A1183" s="1" t="s">
        <x:v>1192</x:v>
      </x:c>
      <x:c r="B1183" s="1">
        <x:f>IFERROR(__xludf.DUMMYFUNCTION("""COMPUTED_VALUE"""),"Conseqüències")</x:f>
      </x:c>
      <x:c r="C1183" s="1">
        <x:f>IFERROR(__xludf.DUMMYFUNCTION("""COMPUTED_VALUE"""),"2023")</x:f>
      </x:c>
    </x:row>
    <x:row r="1184" spans="1:10">
      <x:c r="A1184" s="1" t="s">
        <x:v>1193</x:v>
      </x:c>
      <x:c r="B1184" s="1">
        <x:f>IFERROR(__xludf.DUMMYFUNCTION("""COMPUTED_VALUE"""),"Conspiració")</x:f>
      </x:c>
      <x:c r="C1184" s="1">
        <x:f>IFERROR(__xludf.DUMMYFUNCTION("""COMPUTED_VALUE"""),"1997")</x:f>
      </x:c>
    </x:row>
    <x:row r="1185" spans="1:10">
      <x:c r="A1185" s="1" t="s">
        <x:v>1194</x:v>
      </x:c>
      <x:c r="B1185" s="1">
        <x:f>IFERROR(__xludf.DUMMYFUNCTION("""COMPUTED_VALUE"""),"Conspiració Wander")</x:f>
      </x:c>
      <x:c r="C1185" s="1">
        <x:f>IFERROR(__xludf.DUMMYFUNCTION("""COMPUTED_VALUE"""),"2020")</x:f>
      </x:c>
    </x:row>
    <x:row r="1186" spans="1:10">
      <x:c r="A1186" s="1" t="s">
        <x:v>1195</x:v>
      </x:c>
      <x:c r="B1186" s="1">
        <x:f>IFERROR(__xludf.DUMMYFUNCTION("""COMPUTED_VALUE"""),"Constantine")</x:f>
      </x:c>
      <x:c r="C1186" s="1">
        <x:f>IFERROR(__xludf.DUMMYFUNCTION("""COMPUTED_VALUE"""),"2005")</x:f>
      </x:c>
    </x:row>
    <x:row r="1187" spans="1:10">
      <x:c r="A1187" s="1" t="s">
        <x:v>1196</x:v>
      </x:c>
      <x:c r="B1187" s="1">
        <x:f>IFERROR(__xludf.DUMMYFUNCTION("""COMPUTED_VALUE"""),"Construint el canvi")</x:f>
      </x:c>
      <x:c r="C1187" s="1">
        <x:f>IFERROR(__xludf.DUMMYFUNCTION("""COMPUTED_VALUE"""),"2026")</x:f>
      </x:c>
    </x:row>
    <x:row r="1188" spans="1:10">
      <x:c r="A1188" s="1" t="s">
        <x:v>1197</x:v>
      </x:c>
      <x:c r="B1188" s="1">
        <x:f>IFERROR(__xludf.DUMMYFUNCTION("""COMPUTED_VALUE"""),"Consumits")</x:f>
      </x:c>
      <x:c r="C1188" s="1">
        <x:f>IFERROR(__xludf.DUMMYFUNCTION("""COMPUTED_VALUE"""),"2016")</x:f>
      </x:c>
    </x:row>
    <x:row r="1189" spans="1:10">
      <x:c r="A1189" s="1" t="s">
        <x:v>1198</x:v>
      </x:c>
      <x:c r="B1189" s="1">
        <x:f>IFERROR(__xludf.DUMMYFUNCTION("""COMPUTED_VALUE"""),"Contact")</x:f>
      </x:c>
      <x:c r="C1189" s="1">
        <x:f>IFERROR(__xludf.DUMMYFUNCTION("""COMPUTED_VALUE"""),"1997")</x:f>
      </x:c>
    </x:row>
    <x:row r="1190" spans="1:10">
      <x:c r="A1190" s="1" t="s">
        <x:v>1199</x:v>
      </x:c>
      <x:c r="B1190" s="1">
        <x:f>IFERROR(__xludf.DUMMYFUNCTION("""COMPUTED_VALUE"""),"Contagi")</x:f>
      </x:c>
      <x:c r="C1190" s="1">
        <x:f>IFERROR(__xludf.DUMMYFUNCTION("""COMPUTED_VALUE"""),"2011")</x:f>
      </x:c>
    </x:row>
    <x:row r="1191" spans="1:10">
      <x:c r="A1191" s="1" t="s">
        <x:v>1200</x:v>
      </x:c>
      <x:c r="B1191" s="1">
        <x:f>IFERROR(__xludf.DUMMYFUNCTION("""COMPUTED_VALUE"""),"Conte d'hivern")</x:f>
      </x:c>
      <x:c r="C1191" s="1">
        <x:f>IFERROR(__xludf.DUMMYFUNCTION("""COMPUTED_VALUE"""),"2014")</x:f>
      </x:c>
    </x:row>
    <x:row r="1192" spans="1:10">
      <x:c r="A1192" s="1" t="s">
        <x:v>1201</x:v>
      </x:c>
      <x:c r="B1192" s="1">
        <x:f>IFERROR(__xludf.DUMMYFUNCTION("""COMPUTED_VALUE"""),"Conte de Nadal")</x:f>
      </x:c>
      <x:c r="C1192" s="1">
        <x:f>IFERROR(__xludf.DUMMYFUNCTION("""COMPUTED_VALUE"""),"2001")</x:f>
      </x:c>
    </x:row>
    <x:row r="1193" spans="1:10">
      <x:c r="A1193" s="1" t="s">
        <x:v>1202</x:v>
      </x:c>
      <x:c r="B1193" s="1">
        <x:f>IFERROR(__xludf.DUMMYFUNCTION("""COMPUTED_VALUE"""),"Contes de por per explicar-los a les fosques")</x:f>
      </x:c>
      <x:c r="C1193" s="1">
        <x:f>IFERROR(__xludf.DUMMYFUNCTION("""COMPUTED_VALUE"""),"2019")</x:f>
      </x:c>
    </x:row>
    <x:row r="1194" spans="1:10">
      <x:c r="A1194" s="1" t="s">
        <x:v>1203</x:v>
      </x:c>
      <x:c r="B1194" s="1">
        <x:f>IFERROR(__xludf.DUMMYFUNCTION("""COMPUTED_VALUE"""),"Contra")</x:f>
      </x:c>
      <x:c r="C1194" s="1">
        <x:f>IFERROR(__xludf.DUMMYFUNCTION("""COMPUTED_VALUE"""),"2020")</x:f>
      </x:c>
    </x:row>
    <x:row r="1195" spans="1:10">
      <x:c r="A1195" s="1" t="s">
        <x:v>1204</x:v>
      </x:c>
      <x:c r="B1195" s="1">
        <x:f>IFERROR(__xludf.DUMMYFUNCTION("""COMPUTED_VALUE"""),"Contra rellotge")</x:f>
      </x:c>
      <x:c r="C1195" s="1">
        <x:f>IFERROR(__xludf.DUMMYFUNCTION("""COMPUTED_VALUE"""),"2003")</x:f>
      </x:c>
    </x:row>
    <x:row r="1196" spans="1:10">
      <x:c r="A1196" s="1" t="s">
        <x:v>1205</x:v>
      </x:c>
      <x:c r="B1196" s="1">
        <x:f>IFERROR(__xludf.DUMMYFUNCTION("""COMPUTED_VALUE"""),"Contra rellotge")</x:f>
      </x:c>
      <x:c r="C1196" s="1">
        <x:f>IFERROR(__xludf.DUMMYFUNCTION("""COMPUTED_VALUE"""),"2012")</x:f>
      </x:c>
    </x:row>
    <x:row r="1197" spans="1:10">
      <x:c r="A1197" s="1" t="s">
        <x:v>1206</x:v>
      </x:c>
      <x:c r="B1197" s="1">
        <x:f>IFERROR(__xludf.DUMMYFUNCTION("""COMPUTED_VALUE"""),"Contratemps")</x:f>
      </x:c>
      <x:c r="C1197" s="1">
        <x:f>IFERROR(__xludf.DUMMYFUNCTION("""COMPUTED_VALUE"""),"2016")</x:f>
      </x:c>
    </x:row>
    <x:row r="1198" spans="1:10">
      <x:c r="A1198" s="1" t="s">
        <x:v>1207</x:v>
      </x:c>
      <x:c r="B1198" s="1">
        <x:f>IFERROR(__xludf.DUMMYFUNCTION("""COMPUTED_VALUE"""),"Control")</x:f>
      </x:c>
      <x:c r="C1198" s="1">
        <x:f>IFERROR(__xludf.DUMMYFUNCTION("""COMPUTED_VALUE"""),"2007")</x:f>
      </x:c>
    </x:row>
    <x:row r="1199" spans="1:10">
      <x:c r="A1199" s="1" t="s">
        <x:v>1208</x:v>
      </x:c>
      <x:c r="B1199" s="1">
        <x:f>IFERROR(__xludf.DUMMYFUNCTION("""COMPUTED_VALUE"""),"Cookie's Fortune")</x:f>
      </x:c>
      <x:c r="C1199" s="1">
        <x:f>IFERROR(__xludf.DUMMYFUNCTION("""COMPUTED_VALUE"""),"1999")</x:f>
      </x:c>
    </x:row>
    <x:row r="1200" spans="1:10">
      <x:c r="A1200" s="1" t="s">
        <x:v>1209</x:v>
      </x:c>
      <x:c r="B1200" s="1">
        <x:f>IFERROR(__xludf.DUMMYFUNCTION("""COMPUTED_VALUE"""),"Cop a Hawaii")</x:f>
      </x:c>
      <x:c r="C1200" s="1">
        <x:f>IFERROR(__xludf.DUMMYFUNCTION("""COMPUTED_VALUE"""),"2004")</x:f>
      </x:c>
    </x:row>
    <x:row r="1201" spans="1:10">
      <x:c r="A1201" s="1" t="s">
        <x:v>1210</x:v>
      </x:c>
      <x:c r="B1201" s="1">
        <x:f>IFERROR(__xludf.DUMMYFUNCTION("""COMPUTED_VALUE"""),"Cop d'efecte")</x:f>
      </x:c>
      <x:c r="C1201" s="1">
        <x:f>IFERROR(__xludf.DUMMYFUNCTION("""COMPUTED_VALUE"""),"2012")</x:f>
      </x:c>
    </x:row>
    <x:row r="1202" spans="1:10">
      <x:c r="A1202" s="1" t="s">
        <x:v>1211</x:v>
      </x:c>
      <x:c r="B1202" s="1">
        <x:f>IFERROR(__xludf.DUMMYFUNCTION("""COMPUTED_VALUE"""),"Cop d'estat")</x:f>
      </x:c>
      <x:c r="C1202" s="1">
        <x:f>IFERROR(__xludf.DUMMYFUNCTION("""COMPUTED_VALUE"""),"2015")</x:f>
      </x:c>
    </x:row>
    <x:row r="1203" spans="1:10">
      <x:c r="A1203" s="1" t="s">
        <x:v>1212</x:v>
      </x:c>
      <x:c r="B1203" s="1">
        <x:f>IFERROR(__xludf.DUMMYFUNCTION("""COMPUTED_VALUE"""),"Cop de rock")</x:f>
      </x:c>
      <x:c r="C1203" s="1">
        <x:f>IFERROR(__xludf.DUMMYFUNCTION("""COMPUTED_VALUE"""),"2012")</x:f>
      </x:c>
    </x:row>
    <x:row r="1204" spans="1:10">
      <x:c r="A1204" s="1" t="s">
        <x:v>1213</x:v>
      </x:c>
      <x:c r="B1204" s="1">
        <x:f>IFERROR(__xludf.DUMMYFUNCTION("""COMPUTED_VALUE"""),"Cop Land")</x:f>
      </x:c>
      <x:c r="C1204" s="1">
        <x:f>IFERROR(__xludf.DUMMYFUNCTION("""COMPUTED_VALUE"""),"1997")</x:f>
      </x:c>
    </x:row>
    <x:row r="1205" spans="1:10">
      <x:c r="A1205" s="1" t="s">
        <x:v>1214</x:v>
      </x:c>
      <x:c r="B1205" s="1">
        <x:f>IFERROR(__xludf.DUMMYFUNCTION("""COMPUTED_VALUE"""),"Còpia certificada")</x:f>
      </x:c>
      <x:c r="C1205" s="1">
        <x:f>IFERROR(__xludf.DUMMYFUNCTION("""COMPUTED_VALUE"""),"2010")</x:f>
      </x:c>
    </x:row>
    <x:row r="1206" spans="1:10">
      <x:c r="A1206" s="1" t="s">
        <x:v>1215</x:v>
      </x:c>
      <x:c r="B1206" s="1">
        <x:f>IFERROR(__xludf.DUMMYFUNCTION("""COMPUTED_VALUE"""),"Copiant Beethoven")</x:f>
      </x:c>
      <x:c r="C1206" s="1">
        <x:f>IFERROR(__xludf.DUMMYFUNCTION("""COMPUTED_VALUE"""),"2006")</x:f>
      </x:c>
    </x:row>
    <x:row r="1207" spans="1:10">
      <x:c r="A1207" s="1" t="s">
        <x:v>1216</x:v>
      </x:c>
      <x:c r="B1207" s="1">
        <x:f>IFERROR(__xludf.DUMMYFUNCTION("""COMPUTED_VALUE"""),"Copycat")</x:f>
      </x:c>
      <x:c r="C1207" s="1">
        <x:f>IFERROR(__xludf.DUMMYFUNCTION("""COMPUTED_VALUE"""),"1995")</x:f>
      </x:c>
    </x:row>
    <x:row r="1208" spans="1:10">
      <x:c r="A1208" s="1" t="s">
        <x:v>1217</x:v>
      </x:c>
      <x:c r="B1208" s="1">
        <x:f>IFERROR(__xludf.DUMMYFUNCTION("""COMPUTED_VALUE"""),"Cor de tinta")</x:f>
      </x:c>
      <x:c r="C1208" s="1">
        <x:f>IFERROR(__xludf.DUMMYFUNCTION("""COMPUTED_VALUE"""),"2008")</x:f>
      </x:c>
    </x:row>
    <x:row r="1209" spans="1:10">
      <x:c r="A1209" s="1" t="s">
        <x:v>1218</x:v>
      </x:c>
      <x:c r="B1209" s="1">
        <x:f>IFERROR(__xludf.DUMMYFUNCTION("""COMPUTED_VALUE"""),"Cor de tro")</x:f>
      </x:c>
      <x:c r="C1209" s="1">
        <x:f>IFERROR(__xludf.DUMMYFUNCTION("""COMPUTED_VALUE"""),"1992")</x:f>
      </x:c>
    </x:row>
    <x:row r="1210" spans="1:10">
      <x:c r="A1210" s="1" t="s">
        <x:v>1219</x:v>
      </x:c>
      <x:c r="B1210" s="1">
        <x:f>IFERROR(__xludf.DUMMYFUNCTION("""COMPUTED_VALUE"""),"Cor gegant [VOSC]")</x:f>
      </x:c>
      <x:c r="C1210" s="1">
        <x:f>IFERROR(__xludf.DUMMYFUNCTION("""COMPUTED_VALUE"""),"2015")</x:f>
      </x:c>
    </x:row>
    <x:row r="1211" spans="1:10">
      <x:c r="A1211" s="1" t="s">
        <x:v>1220</x:v>
      </x:c>
      <x:c r="B1211" s="1">
        <x:f>IFERROR(__xludf.DUMMYFUNCTION("""COMPUTED_VALUE"""),"Coraline")</x:f>
      </x:c>
      <x:c r="C1211" s="1">
        <x:f>IFERROR(__xludf.DUMMYFUNCTION("""COMPUTED_VALUE"""),"2009")</x:f>
      </x:c>
    </x:row>
    <x:row r="1212" spans="1:10">
      <x:c r="A1212" s="1" t="s">
        <x:v>1221</x:v>
      </x:c>
      <x:c r="B1212" s="1">
        <x:f>IFERROR(__xludf.DUMMYFUNCTION("""COMPUTED_VALUE"""),"Corgi, les mascotes de la reina")</x:f>
      </x:c>
      <x:c r="C1212" s="1">
        <x:f>IFERROR(__xludf.DUMMYFUNCTION("""COMPUTED_VALUE"""),"2019")</x:f>
      </x:c>
    </x:row>
    <x:row r="1213" spans="1:10">
      <x:c r="A1213" s="1" t="s">
        <x:v>1222</x:v>
      </x:c>
      <x:c r="B1213" s="1">
        <x:f>IFERROR(__xludf.DUMMYFUNCTION("""COMPUTED_VALUE"""),"Corina, Corina")</x:f>
      </x:c>
      <x:c r="C1213" s="1">
        <x:f>IFERROR(__xludf.DUMMYFUNCTION("""COMPUTED_VALUE"""),"1994")</x:f>
      </x:c>
    </x:row>
    <x:row r="1214" spans="1:10">
      <x:c r="A1214" s="1" t="s">
        <x:v>1223</x:v>
      </x:c>
      <x:c r="B1214" s="1">
        <x:f>IFERROR(__xludf.DUMMYFUNCTION("""COMPUTED_VALUE"""),"Corporate")</x:f>
      </x:c>
      <x:c r="C1214" s="1">
        <x:f>IFERROR(__xludf.DUMMYFUNCTION("""COMPUTED_VALUE"""),"2017")</x:f>
      </x:c>
    </x:row>
    <x:row r="1215" spans="1:10">
      <x:c r="A1215" s="1" t="s">
        <x:v>1224</x:v>
      </x:c>
      <x:c r="B1215" s="1">
        <x:f>IFERROR(__xludf.DUMMYFUNCTION("""COMPUTED_VALUE"""),"Corre el rumor...")</x:f>
      </x:c>
      <x:c r="C1215" s="1">
        <x:f>IFERROR(__xludf.DUMMYFUNCTION("""COMPUTED_VALUE"""),"2005")</x:f>
      </x:c>
    </x:row>
    <x:row r="1216" spans="1:10">
      <x:c r="A1216" s="1" t="s">
        <x:v>1225</x:v>
      </x:c>
      <x:c r="B1216" s="1">
        <x:f>IFERROR(__xludf.DUMMYFUNCTION("""COMPUTED_VALUE"""),"Corredor de fons")</x:f>
      </x:c>
      <x:c r="C1216" s="1">
        <x:f>IFERROR(__xludf.DUMMYFUNCTION("""COMPUTED_VALUE"""),"2007")</x:f>
      </x:c>
    </x:row>
    <x:row r="1217" spans="1:10">
      <x:c r="A1217" s="1" t="s">
        <x:v>1226</x:v>
      </x:c>
      <x:c r="B1217" s="1">
        <x:f>IFERROR(__xludf.DUMMYFUNCTION("""COMPUTED_VALUE"""),"Corrupció")</x:f>
      </x:c>
      <x:c r="C1217" s="1">
        <x:f>IFERROR(__xludf.DUMMYFUNCTION("""COMPUTED_VALUE"""),"1968")</x:f>
      </x:c>
    </x:row>
    <x:row r="1218" spans="1:10">
      <x:c r="A1218" s="1" t="s">
        <x:v>1227</x:v>
      </x:c>
      <x:c r="B1218" s="1">
        <x:f>IFERROR(__xludf.DUMMYFUNCTION("""COMPUTED_VALUE"""),"Cors a l'Atlàntida")</x:f>
      </x:c>
      <x:c r="C1218" s="1">
        <x:f>IFERROR(__xludf.DUMMYFUNCTION("""COMPUTED_VALUE"""),"2001")</x:f>
      </x:c>
    </x:row>
    <x:row r="1219" spans="1:10">
      <x:c r="A1219" s="1" t="s">
        <x:v>1228</x:v>
      </x:c>
      <x:c r="B1219" s="1">
        <x:f>IFERROR(__xludf.DUMMYFUNCTION("""COMPUTED_VALUE"""),"Cors d'acer")</x:f>
      </x:c>
      <x:c r="C1219" s="1">
        <x:f>IFERROR(__xludf.DUMMYFUNCTION("""COMPUTED_VALUE"""),"2014")</x:f>
      </x:c>
    </x:row>
    <x:row r="1220" spans="1:10">
      <x:c r="A1220" s="1" t="s">
        <x:v>1229</x:v>
      </x:c>
      <x:c r="B1220" s="1">
        <x:f>IFERROR(__xludf.DUMMYFUNCTION("""COMPUTED_VALUE"""),"Cors solitaris")</x:f>
      </x:c>
      <x:c r="C1220" s="1">
        <x:f>IFERROR(__xludf.DUMMYFUNCTION("""COMPUTED_VALUE"""),"2006")</x:f>
      </x:c>
    </x:row>
    <x:row r="1221" spans="1:10">
      <x:c r="A1221" s="1" t="s">
        <x:v>1230</x:v>
      </x:c>
      <x:c r="B1221" s="1">
        <x:f>IFERROR(__xludf.DUMMYFUNCTION("""COMPUTED_VALUE"""),"Cors valents")</x:f>
      </x:c>
      <x:c r="C1221" s="1">
        <x:f>IFERROR(__xludf.DUMMYFUNCTION("""COMPUTED_VALUE"""),"2021")</x:f>
      </x:c>
    </x:row>
    <x:row r="1222" spans="1:10">
      <x:c r="A1222" s="1" t="s">
        <x:v>1231</x:v>
      </x:c>
      <x:c r="B1222" s="1">
        <x:f>IFERROR(__xludf.DUMMYFUNCTION("""COMPUTED_VALUE"""),"Cortina esquinçada")</x:f>
      </x:c>
      <x:c r="C1222" s="1">
        <x:f>IFERROR(__xludf.DUMMYFUNCTION("""COMPUTED_VALUE"""),"1966")</x:f>
      </x:c>
    </x:row>
    <x:row r="1223" spans="1:10">
      <x:c r="A1223" s="1" t="s">
        <x:v>1232</x:v>
      </x:c>
      <x:c r="B1223" s="1">
        <x:f>IFERROR(__xludf.DUMMYFUNCTION("""COMPUTED_VALUE"""),"Corto Maltès (La cort secreta dels arcans)")</x:f>
      </x:c>
      <x:c r="C1223" s="1">
        <x:f>IFERROR(__xludf.DUMMYFUNCTION("""COMPUTED_VALUE"""),"2002")</x:f>
      </x:c>
    </x:row>
    <x:row r="1224" spans="1:10">
      <x:c r="A1224" s="1" t="s">
        <x:v>1233</x:v>
      </x:c>
      <x:c r="B1224" s="1">
        <x:f>IFERROR(__xludf.DUMMYFUNCTION("""COMPUTED_VALUE"""),"Cos i ànima")</x:f>
      </x:c>
      <x:c r="C1224" s="1">
        <x:f>IFERROR(__xludf.DUMMYFUNCTION("""COMPUTED_VALUE"""),"1947")</x:f>
      </x:c>
    </x:row>
    <x:row r="1225" spans="1:10">
      <x:c r="A1225" s="1" t="s">
        <x:v>1234</x:v>
      </x:c>
      <x:c r="B1225" s="1">
        <x:f>IFERROR(__xludf.DUMMYFUNCTION("""COMPUTED_VALUE"""),"Coses a fer abans de morir")</x:f>
      </x:c>
      <x:c r="C1225" s="1">
        <x:f>IFERROR(__xludf.DUMMYFUNCTION("""COMPUTED_VALUE"""),"2020")</x:f>
      </x:c>
    </x:row>
    <x:row r="1226" spans="1:10">
      <x:c r="A1226" s="1" t="s">
        <x:v>1235</x:v>
      </x:c>
      <x:c r="B1226" s="1">
        <x:f>IFERROR(__xludf.DUMMYFUNCTION("""COMPUTED_VALUE"""),"Coses de l'edat")</x:f>
      </x:c>
      <x:c r="C1226" s="1">
        <x:f>IFERROR(__xludf.DUMMYFUNCTION("""COMPUTED_VALUE"""),"2017")</x:f>
      </x:c>
    </x:row>
    <x:row r="1227" spans="1:10">
      <x:c r="A1227" s="1" t="s">
        <x:v>1236</x:v>
      </x:c>
      <x:c r="B1227" s="1">
        <x:f>IFERROR(__xludf.DUMMYFUNCTION("""COMPUTED_VALUE"""),"Coses que no et vaig dir mai")</x:f>
      </x:c>
      <x:c r="C1227" s="1">
        <x:f>IFERROR(__xludf.DUMMYFUNCTION("""COMPUTED_VALUE"""),"1996")</x:f>
      </x:c>
    </x:row>
    <x:row r="1228" spans="1:10">
      <x:c r="A1228" s="1" t="s">
        <x:v>1237</x:v>
      </x:c>
      <x:c r="B1228" s="1">
        <x:f>IFERROR(__xludf.DUMMYFUNCTION("""COMPUTED_VALUE"""),"Coses que passen...")</x:f>
      </x:c>
      <x:c r="C1228" s="1">
        <x:f>IFERROR(__xludf.DUMMYFUNCTION("""COMPUTED_VALUE"""),"2006")</x:f>
      </x:c>
    </x:row>
    <x:row r="1229" spans="1:10">
      <x:c r="A1229" s="1" t="s">
        <x:v>1238</x:v>
      </x:c>
      <x:c r="B1229" s="1">
        <x:f>IFERROR(__xludf.DUMMYFUNCTION("""COMPUTED_VALUE"""),"Cosmopolis")</x:f>
      </x:c>
      <x:c r="C1229" s="1">
        <x:f>IFERROR(__xludf.DUMMYFUNCTION("""COMPUTED_VALUE"""),"2012")</x:f>
      </x:c>
    </x:row>
    <x:row r="1230" spans="1:10">
      <x:c r="A1230" s="1" t="s">
        <x:v>1239</x:v>
      </x:c>
      <x:c r="B1230" s="1">
        <x:f>IFERROR(__xludf.DUMMYFUNCTION("""COMPUTED_VALUE"""),"Cotxes de segona mà")</x:f>
      </x:c>
      <x:c r="C1230" s="1">
        <x:f>IFERROR(__xludf.DUMMYFUNCTION("""COMPUTED_VALUE"""),"1980")</x:f>
      </x:c>
    </x:row>
    <x:row r="1231" spans="1:10">
      <x:c r="A1231" s="1" t="s">
        <x:v>1240</x:v>
      </x:c>
      <x:c r="B1231" s="1">
        <x:f>IFERROR(__xludf.DUMMYFUNCTION("""COMPUTED_VALUE"""),"Couleur de peau Miel [VOSC]")</x:f>
      </x:c>
      <x:c r="C1231" s="1">
        <x:f>IFERROR(__xludf.DUMMYFUNCTION("""COMPUTED_VALUE"""),"2012")</x:f>
      </x:c>
    </x:row>
    <x:row r="1232" spans="1:10">
      <x:c r="A1232" s="1" t="s">
        <x:v>1241</x:v>
      </x:c>
      <x:c r="B1232" s="1">
        <x:f>IFERROR(__xludf.DUMMYFUNCTION("""COMPUTED_VALUE"""),"Country Strong")</x:f>
      </x:c>
      <x:c r="C1232" s="1">
        <x:f>IFERROR(__xludf.DUMMYFUNCTION("""COMPUTED_VALUE"""),"2010")</x:f>
      </x:c>
    </x:row>
    <x:row r="1233" spans="1:10">
      <x:c r="A1233" s="1" t="s">
        <x:v>1242</x:v>
      </x:c>
      <x:c r="B1233" s="1">
        <x:f>IFERROR(__xludf.DUMMYFUNCTION("""COMPUTED_VALUE"""),"Coure, robatoris i estralls")</x:f>
      </x:c>
      <x:c r="C1233" s="1">
        <x:f>IFERROR(__xludf.DUMMYFUNCTION("""COMPUTED_VALUE"""),"2025")</x:f>
      </x:c>
    </x:row>
    <x:row r="1234" spans="1:10">
      <x:c r="A1234" s="1" t="s">
        <x:v>1243</x:v>
      </x:c>
      <x:c r="B1234" s="1">
        <x:f>IFERROR(__xludf.DUMMYFUNCTION("""COMPUTED_VALUE"""),"Covards")</x:f>
      </x:c>
      <x:c r="C1234" s="1">
        <x:f>IFERROR(__xludf.DUMMYFUNCTION("""COMPUTED_VALUE"""),"2008")</x:f>
      </x:c>
    </x:row>
    <x:row r="1235" spans="1:10">
      <x:c r="A1235" s="1" t="s">
        <x:v>1244</x:v>
      </x:c>
      <x:c r="B1235" s="1">
        <x:f>IFERROR(__xludf.DUMMYFUNCTION("""COMPUTED_VALUE"""),"Cowboy")</x:f>
      </x:c>
      <x:c r="C1235" s="1">
        <x:f>IFERROR(__xludf.DUMMYFUNCTION("""COMPUTED_VALUE"""),"1958")</x:f>
      </x:c>
    </x:row>
    <x:row r="1236" spans="1:10">
      <x:c r="A1236" s="1" t="s">
        <x:v>1245</x:v>
      </x:c>
      <x:c r="B1236" s="1">
        <x:f>IFERROR(__xludf.DUMMYFUNCTION("""COMPUTED_VALUE"""),"Cowboy de Mitjanit")</x:f>
      </x:c>
      <x:c r="C1236" s="1">
        <x:f>IFERROR(__xludf.DUMMYFUNCTION("""COMPUTED_VALUE"""),"1969")</x:f>
      </x:c>
    </x:row>
    <x:row r="1237" spans="1:10">
      <x:c r="A1237" s="1" t="s">
        <x:v>1246</x:v>
      </x:c>
      <x:c r="B1237" s="1">
        <x:f>IFERROR(__xludf.DUMMYFUNCTION("""COMPUTED_VALUE"""),"Crank")</x:f>
      </x:c>
      <x:c r="C1237" s="1">
        <x:f>IFERROR(__xludf.DUMMYFUNCTION("""COMPUTED_VALUE"""),"2006")</x:f>
      </x:c>
    </x:row>
    <x:row r="1238" spans="1:10">
      <x:c r="A1238" s="1" t="s">
        <x:v>1247</x:v>
      </x:c>
      <x:c r="B1238" s="1">
        <x:f>IFERROR(__xludf.DUMMYFUNCTION("""COMPUTED_VALUE"""),"Crash")</x:f>
      </x:c>
      <x:c r="C1238" s="1">
        <x:f>IFERROR(__xludf.DUMMYFUNCTION("""COMPUTED_VALUE"""),"2004")</x:f>
      </x:c>
    </x:row>
    <x:row r="1239" spans="1:10">
      <x:c r="A1239" s="1" t="s">
        <x:v>1248</x:v>
      </x:c>
      <x:c r="B1239" s="1">
        <x:f>IFERROR(__xludf.DUMMYFUNCTION("""COMPUTED_VALUE"""),"Cravan vs Cravan")</x:f>
      </x:c>
      <x:c r="C1239" s="1">
        <x:f>IFERROR(__xludf.DUMMYFUNCTION("""COMPUTED_VALUE"""),"2002")</x:f>
      </x:c>
    </x:row>
    <x:row r="1240" spans="1:10">
      <x:c r="A1240" s="1" t="s">
        <x:v>1249</x:v>
      </x:c>
      <x:c r="B1240" s="1">
        <x:f>IFERROR(__xludf.DUMMYFUNCTION("""COMPUTED_VALUE"""),"Crazy in love (Bojos d'amor)")</x:f>
      </x:c>
      <x:c r="C1240" s="1">
        <x:f>IFERROR(__xludf.DUMMYFUNCTION("""COMPUTED_VALUE"""),"2005")</x:f>
      </x:c>
    </x:row>
    <x:row r="1241" spans="1:10">
      <x:c r="A1241" s="1" t="s">
        <x:v>1250</x:v>
      </x:c>
      <x:c r="B1241" s="1">
        <x:f>IFERROR(__xludf.DUMMYFUNCTION("""COMPUTED_VALUE"""),"Creatura")</x:f>
      </x:c>
      <x:c r="C1241" s="1">
        <x:f>IFERROR(__xludf.DUMMYFUNCTION("""COMPUTED_VALUE"""),"2023")</x:f>
      </x:c>
    </x:row>
    <x:row r="1242" spans="1:10">
      <x:c r="A1242" s="1" t="s">
        <x:v>1251</x:v>
      </x:c>
      <x:c r="B1242" s="1">
        <x:f>IFERROR(__xludf.DUMMYFUNCTION("""COMPUTED_VALUE"""),"Creep")</x:f>
      </x:c>
      <x:c r="C1242" s="1">
        <x:f>IFERROR(__xludf.DUMMYFUNCTION("""COMPUTED_VALUE"""),"2004")</x:f>
      </x:c>
    </x:row>
    <x:row r="1243" spans="1:10">
      <x:c r="A1243" s="1" t="s">
        <x:v>1252</x:v>
      </x:c>
      <x:c r="B1243" s="1">
        <x:f>IFERROR(__xludf.DUMMYFUNCTION("""COMPUTED_VALUE"""),"Cremat")</x:f>
      </x:c>
      <x:c r="C1243" s="1">
        <x:f>IFERROR(__xludf.DUMMYFUNCTION("""COMPUTED_VALUE"""),"2015")</x:f>
      </x:c>
    </x:row>
    <x:row r="1244" spans="1:10">
      <x:c r="A1244" s="1" t="s">
        <x:v>1253</x:v>
      </x:c>
      <x:c r="B1244" s="1">
        <x:f>IFERROR(__xludf.DUMMYFUNCTION("""COMPUTED_VALUE"""),"Cremat pel sol")</x:f>
      </x:c>
      <x:c r="C1244" s="1">
        <x:f>IFERROR(__xludf.DUMMYFUNCTION("""COMPUTED_VALUE"""),"1994")</x:f>
      </x:c>
    </x:row>
    <x:row r="1245" spans="1:10">
      <x:c r="A1245" s="1" t="s">
        <x:v>1254</x:v>
      </x:c>
      <x:c r="B1245" s="1">
        <x:f>IFERROR(__xludf.DUMMYFUNCTION("""COMPUTED_VALUE"""),"Cremeu-ho després de llegir-ho")</x:f>
      </x:c>
      <x:c r="C1245" s="1">
        <x:f>IFERROR(__xludf.DUMMYFUNCTION("""COMPUTED_VALUE"""),"2008")</x:f>
      </x:c>
    </x:row>
    <x:row r="1246" spans="1:10">
      <x:c r="A1246" s="1" t="s">
        <x:v>1255</x:v>
      </x:c>
      <x:c r="B1246" s="1">
        <x:f>IFERROR(__xludf.DUMMYFUNCTION("""COMPUTED_VALUE"""),"Crepuscle")</x:f>
      </x:c>
      <x:c r="C1246" s="1">
        <x:f>IFERROR(__xludf.DUMMYFUNCTION("""COMPUTED_VALUE"""),"2008")</x:f>
      </x:c>
    </x:row>
    <x:row r="1247" spans="1:10">
      <x:c r="A1247" s="1" t="s">
        <x:v>1256</x:v>
      </x:c>
      <x:c r="B1247" s="1">
        <x:f>IFERROR(__xludf.DUMMYFUNCTION("""COMPUTED_VALUE"""),"Crescendo")</x:f>
      </x:c>
      <x:c r="C1247" s="1">
        <x:f>IFERROR(__xludf.DUMMYFUNCTION("""COMPUTED_VALUE"""),"2019")</x:f>
      </x:c>
    </x:row>
    <x:row r="1248" spans="1:10">
      <x:c r="A1248" s="1" t="s">
        <x:v>1257</x:v>
      </x:c>
      <x:c r="B1248" s="1">
        <x:f>IFERROR(__xludf.DUMMYFUNCTION("""COMPUTED_VALUE"""),"Creuant el límit")</x:f>
      </x:c>
      <x:c r="C1248" s="1">
        <x:f>IFERROR(__xludf.DUMMYFUNCTION("""COMPUTED_VALUE"""),"2010")</x:f>
      </x:c>
    </x:row>
    <x:row r="1249" spans="1:10">
      <x:c r="A1249" s="1" t="s">
        <x:v>1258</x:v>
      </x:c>
      <x:c r="B1249" s="1">
        <x:f>IFERROR(__xludf.DUMMYFUNCTION("""COMPUTED_VALUE"""),"Criatures oblidades pel món")</x:f>
      </x:c>
      <x:c r="C1249" s="1">
        <x:f>IFERROR(__xludf.DUMMYFUNCTION("""COMPUTED_VALUE"""),"1971")</x:f>
      </x:c>
    </x:row>
    <x:row r="1250" spans="1:10">
      <x:c r="A1250" s="1" t="s">
        <x:v>1259</x:v>
      </x:c>
      <x:c r="B1250" s="1">
        <x:f>IFERROR(__xludf.DUMMYFUNCTION("""COMPUTED_VALUE"""),"Crida llibertat")</x:f>
      </x:c>
      <x:c r="C1250" s="1">
        <x:f>IFERROR(__xludf.DUMMYFUNCTION("""COMPUTED_VALUE"""),"1987")</x:f>
      </x:c>
    </x:row>
    <x:row r="1251" spans="1:10">
      <x:c r="A1251" s="1" t="s">
        <x:v>1260</x:v>
      </x:c>
      <x:c r="B1251" s="1">
        <x:f>IFERROR(__xludf.DUMMYFUNCTION("""COMPUTED_VALUE"""),"Crim perfecte")</x:f>
      </x:c>
      <x:c r="C1251" s="1">
        <x:f>IFERROR(__xludf.DUMMYFUNCTION("""COMPUTED_VALUE"""),"1954")</x:f>
      </x:c>
    </x:row>
    <x:row r="1252" spans="1:10">
      <x:c r="A1252" s="1" t="s">
        <x:v>1261</x:v>
      </x:c>
      <x:c r="B1252" s="1">
        <x:f>IFERROR(__xludf.DUMMYFUNCTION("""COMPUTED_VALUE"""),"Crims silenciosos")</x:f>
      </x:c>
      <x:c r="C1252" s="1">
        <x:f>IFERROR(__xludf.DUMMYFUNCTION("""COMPUTED_VALUE"""),"2017")</x:f>
      </x:c>
    </x:row>
    <x:row r="1253" spans="1:10">
      <x:c r="A1253" s="1" t="s">
        <x:v>1262</x:v>
      </x:c>
      <x:c r="B1253" s="1">
        <x:f>IFERROR(__xludf.DUMMYFUNCTION("""COMPUTED_VALUE"""),"Croades: atrapat al passat")</x:f>
      </x:c>
      <x:c r="C1253" s="1">
        <x:f>IFERROR(__xludf.DUMMYFUNCTION("""COMPUTED_VALUE"""),"2006")</x:f>
      </x:c>
    </x:row>
    <x:row r="1254" spans="1:10">
      <x:c r="A1254" s="1" t="s">
        <x:v>1263</x:v>
      </x:c>
      <x:c r="B1254" s="1">
        <x:f>IFERROR(__xludf.DUMMYFUNCTION("""COMPUTED_VALUE"""),"Cromosoma 3")</x:f>
      </x:c>
      <x:c r="C1254" s="1">
        <x:f>IFERROR(__xludf.DUMMYFUNCTION("""COMPUTED_VALUE"""),"1979")</x:f>
      </x:c>
    </x:row>
    <x:row r="1255" spans="1:10">
      <x:c r="A1255" s="1" t="s">
        <x:v>1264</x:v>
      </x:c>
      <x:c r="B1255" s="1">
        <x:f>IFERROR(__xludf.DUMMYFUNCTION("""COMPUTED_VALUE"""),"Crònica d'un engany")</x:f>
      </x:c>
      <x:c r="C1255" s="1">
        <x:f>IFERROR(__xludf.DUMMYFUNCTION("""COMPUTED_VALUE"""),"2008")</x:f>
      </x:c>
    </x:row>
    <x:row r="1256" spans="1:10">
      <x:c r="A1256" s="1" t="s">
        <x:v>1265</x:v>
      </x:c>
      <x:c r="B1256" s="1">
        <x:f>IFERROR(__xludf.DUMMYFUNCTION("""COMPUTED_VALUE"""),"Cròniques diplomàtiques")</x:f>
      </x:c>
      <x:c r="C1256" s="1">
        <x:f>IFERROR(__xludf.DUMMYFUNCTION("""COMPUTED_VALUE"""),"2013")</x:f>
      </x:c>
    </x:row>
    <x:row r="1257" spans="1:10">
      <x:c r="A1257" s="1" t="s">
        <x:v>1266</x:v>
      </x:c>
      <x:c r="B1257" s="1">
        <x:f>IFERROR(__xludf.DUMMYFUNCTION("""COMPUTED_VALUE"""),"Crosby, Stills, Nash &amp; Young a Wembley")</x:f>
      </x:c>
      <x:c r="C1257" s="1">
        <x:f>IFERROR(__xludf.DUMMYFUNCTION("""COMPUTED_VALUE"""),"1974")</x:f>
      </x:c>
    </x:row>
    <x:row r="1258" spans="1:10">
      <x:c r="A1258" s="1" t="s">
        <x:v>1267</x:v>
      </x:c>
      <x:c r="B1258" s="1">
        <x:f>IFERROR(__xludf.DUMMYFUNCTION("""COMPUTED_VALUE"""),"Cruïlla de camins")</x:f>
      </x:c>
      <x:c r="C1258" s="1">
        <x:f>IFERROR(__xludf.DUMMYFUNCTION("""COMPUTED_VALUE"""),"2012")</x:f>
      </x:c>
    </x:row>
    <x:row r="1259" spans="1:10">
      <x:c r="A1259" s="1" t="s">
        <x:v>1268</x:v>
      </x:c>
      <x:c r="B1259" s="1">
        <x:f>IFERROR(__xludf.DUMMYFUNCTION("""COMPUTED_VALUE"""),"Crupier")</x:f>
      </x:c>
      <x:c r="C1259" s="1">
        <x:f>IFERROR(__xludf.DUMMYFUNCTION("""COMPUTED_VALUE"""),"1998")</x:f>
      </x:c>
    </x:row>
    <x:row r="1260" spans="1:10">
      <x:c r="A1260" s="1" t="s">
        <x:v>1269</x:v>
      </x:c>
      <x:c r="B1260" s="1">
        <x:f>IFERROR(__xludf.DUMMYFUNCTION("""COMPUTED_VALUE"""),"Crusader")</x:f>
      </x:c>
      <x:c r="C1260" s="1">
        <x:f>IFERROR(__xludf.DUMMYFUNCTION("""COMPUTED_VALUE"""),"2005")</x:f>
      </x:c>
    </x:row>
    <x:row r="1261" spans="1:10">
      <x:c r="A1261" s="1" t="s">
        <x:v>1270</x:v>
      </x:c>
      <x:c r="B1261" s="1">
        <x:f>IFERROR(__xludf.DUMMYFUNCTION("""COMPUTED_VALUE"""),"Cry Wolf")</x:f>
      </x:c>
      <x:c r="C1261" s="1">
        <x:f>IFERROR(__xludf.DUMMYFUNCTION("""COMPUTED_VALUE"""),"2005")</x:f>
      </x:c>
    </x:row>
    <x:row r="1262" spans="1:10">
      <x:c r="A1262" s="1" t="s">
        <x:v>1271</x:v>
      </x:c>
      <x:c r="B1262" s="1">
        <x:f>IFERROR(__xludf.DUMMYFUNCTION("""COMPUTED_VALUE"""),"Cuba")</x:f>
      </x:c>
      <x:c r="C1262" s="1">
        <x:f>IFERROR(__xludf.DUMMYFUNCTION("""COMPUTED_VALUE"""),"1979")</x:f>
      </x:c>
    </x:row>
    <x:row r="1263" spans="1:10">
      <x:c r="A1263" s="1" t="s">
        <x:v>1272</x:v>
      </x:c>
      <x:c r="B1263" s="1">
        <x:f>IFERROR(__xludf.DUMMYFUNCTION("""COMPUTED_VALUE"""),"Culpa meva")</x:f>
      </x:c>
      <x:c r="C1263" s="1">
        <x:f>IFERROR(__xludf.DUMMYFUNCTION("""COMPUTED_VALUE"""),"2023")</x:f>
      </x:c>
    </x:row>
    <x:row r="1264" spans="1:10">
      <x:c r="A1264" s="1" t="s">
        <x:v>1273</x:v>
      </x:c>
      <x:c r="B1264" s="1">
        <x:f>IFERROR(__xludf.DUMMYFUNCTION("""COMPUTED_VALUE"""),"Cure [VOSC]")</x:f>
      </x:c>
      <x:c r="C1264" s="1">
        <x:f>IFERROR(__xludf.DUMMYFUNCTION("""COMPUTED_VALUE"""),"1997")</x:f>
      </x:c>
    </x:row>
    <x:row r="1265" spans="1:10">
      <x:c r="A1265" s="1" t="s">
        <x:v>1274</x:v>
      </x:c>
      <x:c r="B1265" s="1">
        <x:f>IFERROR(__xludf.DUMMYFUNCTION("""COMPUTED_VALUE"""),"Curtcircuit")</x:f>
      </x:c>
      <x:c r="C1265" s="1">
        <x:f>IFERROR(__xludf.DUMMYFUNCTION("""COMPUTED_VALUE"""),"1986")</x:f>
      </x:c>
    </x:row>
    <x:row r="1266" spans="1:10">
      <x:c r="A1266" s="1" t="s">
        <x:v>1275</x:v>
      </x:c>
      <x:c r="B1266" s="1">
        <x:f>IFERROR(__xludf.DUMMYFUNCTION("""COMPUTED_VALUE"""),"Cut Bank")</x:f>
      </x:c>
      <x:c r="C1266" s="1">
        <x:f>IFERROR(__xludf.DUMMYFUNCTION("""COMPUTED_VALUE"""),"2014")</x:f>
      </x:c>
    </x:row>
    <x:row r="1267" spans="1:10">
      <x:c r="A1267" s="1" t="s">
        <x:v>1276</x:v>
      </x:c>
      <x:c r="B1267" s="1">
        <x:f>IFERROR(__xludf.DUMMYFUNCTION("""COMPUTED_VALUE"""),"Cypher")</x:f>
      </x:c>
      <x:c r="C1267" s="1">
        <x:f>IFERROR(__xludf.DUMMYFUNCTION("""COMPUTED_VALUE"""),"2002")</x:f>
      </x:c>
    </x:row>
    <x:row r="1268" spans="1:10">
      <x:c r="A1268" s="1" t="s">
        <x:v>1277</x:v>
      </x:c>
      <x:c r="B1268" s="1">
        <x:f>IFERROR(__xludf.DUMMYFUNCTION("""COMPUTED_VALUE"""),"Cyrano")</x:f>
      </x:c>
      <x:c r="C1268" s="1">
        <x:f>IFERROR(__xludf.DUMMYFUNCTION("""COMPUTED_VALUE"""),"2021")</x:f>
      </x:c>
    </x:row>
    <x:row r="1269" spans="1:10">
      <x:c r="A1269" s="1" t="s">
        <x:v>1278</x:v>
      </x:c>
      <x:c r="B1269" s="1">
        <x:f>IFERROR(__xludf.DUMMYFUNCTION("""COMPUTED_VALUE"""),"Cyrano de Bergerac")</x:f>
      </x:c>
      <x:c r="C1269" s="1">
        <x:f>IFERROR(__xludf.DUMMYFUNCTION("""COMPUTED_VALUE"""),"1990")</x:f>
      </x:c>
    </x:row>
    <x:row r="1270" spans="1:10">
      <x:c r="A1270" s="1" t="s">
        <x:v>1279</x:v>
      </x:c>
      <x:c r="B1270" s="1">
        <x:f>IFERROR(__xludf.DUMMYFUNCTION("""COMPUTED_VALUE"""),"D'aquí a l'eternitat")</x:f>
      </x:c>
      <x:c r="C1270" s="1">
        <x:f>IFERROR(__xludf.DUMMYFUNCTION("""COMPUTED_VALUE"""),"1953")</x:f>
      </x:c>
    </x:row>
    <x:row r="1271" spans="1:10">
      <x:c r="A1271" s="1" t="s">
        <x:v>1280</x:v>
      </x:c>
      <x:c r="B1271" s="1">
        <x:f>IFERROR(__xludf.DUMMYFUNCTION("""COMPUTED_VALUE"""),"D'Artacan i els tres gosqueters")</x:f>
      </x:c>
      <x:c r="C1271" s="1">
        <x:f>IFERROR(__xludf.DUMMYFUNCTION("""COMPUTED_VALUE"""),"2021")</x:f>
      </x:c>
    </x:row>
    <x:row r="1272" spans="1:10">
      <x:c r="A1272" s="1" t="s">
        <x:v>1281</x:v>
      </x:c>
      <x:c r="B1272" s="1">
        <x:f>IFERROR(__xludf.DUMMYFUNCTION("""COMPUTED_VALUE"""),"Daaaaaalí!")</x:f>
      </x:c>
      <x:c r="C1272" s="1">
        <x:f>IFERROR(__xludf.DUMMYFUNCTION("""COMPUTED_VALUE"""),"2023")</x:f>
      </x:c>
    </x:row>
    <x:row r="1273" spans="1:10">
      <x:c r="A1273" s="1" t="s">
        <x:v>1282</x:v>
      </x:c>
      <x:c r="B1273" s="1">
        <x:f>IFERROR(__xludf.DUMMYFUNCTION("""COMPUTED_VALUE"""),"Daddy Cool")</x:f>
      </x:c>
      <x:c r="C1273" s="1">
        <x:f>IFERROR(__xludf.DUMMYFUNCTION("""COMPUTED_VALUE"""),"2017")</x:f>
      </x:c>
    </x:row>
    <x:row r="1274" spans="1:10">
      <x:c r="A1274" s="1" t="s">
        <x:v>1283</x:v>
      </x:c>
      <x:c r="B1274" s="1">
        <x:f>IFERROR(__xludf.DUMMYFUNCTION("""COMPUTED_VALUE"""),"Dagoll Dagom El llegat")</x:f>
      </x:c>
      <x:c r="C1274" s="1">
        <x:f>IFERROR(__xludf.DUMMYFUNCTION("""COMPUTED_VALUE"""),"2024")</x:f>
      </x:c>
    </x:row>
    <x:row r="1275" spans="1:10">
      <x:c r="A1275" s="1" t="s">
        <x:v>1284</x:v>
      </x:c>
      <x:c r="B1275" s="1">
        <x:f>IFERROR(__xludf.DUMMYFUNCTION("""COMPUTED_VALUE"""),"Dagoll Dagom: L'entrevista")</x:f>
      </x:c>
      <x:c r="C1275" s="1">
        <x:f>IFERROR(__xludf.DUMMYFUNCTION("""COMPUTED_VALUE"""),"2024")</x:f>
      </x:c>
    </x:row>
    <x:row r="1276" spans="1:10">
      <x:c r="A1276" s="1" t="s">
        <x:v>1285</x:v>
      </x:c>
      <x:c r="B1276" s="1">
        <x:f>IFERROR(__xludf.DUMMYFUNCTION("""COMPUTED_VALUE"""),"Dagon, la secta del mar")</x:f>
      </x:c>
      <x:c r="C1276" s="1">
        <x:f>IFERROR(__xludf.DUMMYFUNCTION("""COMPUTED_VALUE"""),"2001")</x:f>
      </x:c>
    </x:row>
    <x:row r="1277" spans="1:10">
      <x:c r="A1277" s="1" t="s">
        <x:v>1286</x:v>
      </x:c>
      <x:c r="B1277" s="1">
        <x:f>IFERROR(__xludf.DUMMYFUNCTION("""COMPUTED_VALUE"""),"Dallas Buyers Club")</x:f>
      </x:c>
      <x:c r="C1277" s="1">
        <x:f>IFERROR(__xludf.DUMMYFUNCTION("""COMPUTED_VALUE"""),"2013")</x:f>
      </x:c>
    </x:row>
    <x:row r="1278" spans="1:10">
      <x:c r="A1278" s="1" t="s">
        <x:v>1287</x:v>
      </x:c>
      <x:c r="B1278" s="1">
        <x:f>IFERROR(__xludf.DUMMYFUNCTION("""COMPUTED_VALUE"""),"Dama per un dia")</x:f>
      </x:c>
      <x:c r="C1278" s="1">
        <x:f>IFERROR(__xludf.DUMMYFUNCTION("""COMPUTED_VALUE"""),"1933")</x:f>
      </x:c>
    </x:row>
    <x:row r="1279" spans="1:10">
      <x:c r="A1279" s="1" t="s">
        <x:v>1288</x:v>
      </x:c>
      <x:c r="B1279" s="1">
        <x:f>IFERROR(__xludf.DUMMYFUNCTION("""COMPUTED_VALUE"""),"Danny the dog")</x:f>
      </x:c>
      <x:c r="C1279" s="1">
        <x:f>IFERROR(__xludf.DUMMYFUNCTION("""COMPUTED_VALUE"""),"2005")</x:f>
      </x:c>
    </x:row>
    <x:row r="1280" spans="1:10">
      <x:c r="A1280" s="1" t="s">
        <x:v>1289</x:v>
      </x:c>
      <x:c r="B1280" s="1">
        <x:f>IFERROR(__xludf.DUMMYFUNCTION("""COMPUTED_VALUE"""),"Dansa de la Mort de Verges")</x:f>
      </x:c>
      <x:c r="C1280" s="1">
        <x:f>IFERROR(__xludf.DUMMYFUNCTION("""COMPUTED_VALUE"""),"2021")</x:f>
      </x:c>
    </x:row>
    <x:row r="1281" spans="1:10">
      <x:c r="A1281" s="1" t="s">
        <x:v>1290</x:v>
      </x:c>
      <x:c r="B1281" s="1">
        <x:f>IFERROR(__xludf.DUMMYFUNCTION("""COMPUTED_VALUE"""),"Danys col·laterals")</x:f>
      </x:c>
      <x:c r="C1281" s="1">
        <x:f>IFERROR(__xludf.DUMMYFUNCTION("""COMPUTED_VALUE"""),"2002")</x:f>
      </x:c>
    </x:row>
    <x:row r="1282" spans="1:10">
      <x:c r="A1282" s="1" t="s">
        <x:v>1291</x:v>
      </x:c>
      <x:c r="B1282" s="1">
        <x:f>IFERROR(__xludf.DUMMYFUNCTION("""COMPUTED_VALUE"""),"Dark City")</x:f>
      </x:c>
      <x:c r="C1282" s="1">
        <x:f>IFERROR(__xludf.DUMMYFUNCTION("""COMPUTED_VALUE"""),"1998")</x:f>
      </x:c>
    </x:row>
    <x:row r="1283" spans="1:10">
      <x:c r="A1283" s="1" t="s">
        <x:v>1292</x:v>
      </x:c>
      <x:c r="B1283" s="1">
        <x:f>IFERROR(__xludf.DUMMYFUNCTION("""COMPUTED_VALUE"""),"Darkness")</x:f>
      </x:c>
      <x:c r="C1283" s="1">
        <x:f>IFERROR(__xludf.DUMMYFUNCTION("""COMPUTED_VALUE"""),"2002")</x:f>
      </x:c>
    </x:row>
    <x:row r="1284" spans="1:10">
      <x:c r="A1284" s="1" t="s">
        <x:v>1293</x:v>
      </x:c>
      <x:c r="B1284" s="1">
        <x:f>IFERROR(__xludf.DUMMYFUNCTION("""COMPUTED_VALUE"""),"Darrere de la veritat")</x:f>
      </x:c>
      <x:c r="C1284" s="1">
        <x:f>IFERROR(__xludf.DUMMYFUNCTION("""COMPUTED_VALUE"""),"2023")</x:f>
      </x:c>
    </x:row>
    <x:row r="1285" spans="1:10">
      <x:c r="A1285" s="1" t="s">
        <x:v>1294</x:v>
      </x:c>
      <x:c r="B1285" s="1">
        <x:f>IFERROR(__xludf.DUMMYFUNCTION("""COMPUTED_VALUE"""),"Darrere el cor verd")</x:f>
      </x:c>
      <x:c r="C1285" s="1">
        <x:f>IFERROR(__xludf.DUMMYFUNCTION("""COMPUTED_VALUE"""),"1984")</x:f>
      </x:c>
    </x:row>
    <x:row r="1286" spans="1:10">
      <x:c r="A1286" s="1" t="s">
        <x:v>1295</x:v>
      </x:c>
      <x:c r="B1286" s="1">
        <x:f>IFERROR(__xludf.DUMMYFUNCTION("""COMPUTED_VALUE"""),"Darrere el joc del calamar")</x:f>
      </x:c>
      <x:c r="C1286" s="1">
        <x:f>IFERROR(__xludf.DUMMYFUNCTION("""COMPUTED_VALUE"""),"2022")</x:f>
      </x:c>
    </x:row>
    <x:row r="1287" spans="1:10">
      <x:c r="A1287" s="1" t="s">
        <x:v>1296</x:v>
      </x:c>
      <x:c r="B1287" s="1">
        <x:f>IFERROR(__xludf.DUMMYFUNCTION("""COMPUTED_VALUE"""),"Darrere la pantalla")</x:f>
      </x:c>
      <x:c r="C1287" s="1">
        <x:f>IFERROR(__xludf.DUMMYFUNCTION("""COMPUTED_VALUE"""),"1916")</x:f>
      </x:c>
    </x:row>
    <x:row r="1288" spans="1:10">
      <x:c r="A1288" s="1" t="s">
        <x:v>1297</x:v>
      </x:c>
      <x:c r="B1288" s="1">
        <x:f>IFERROR(__xludf.DUMMYFUNCTION("""COMPUTED_VALUE"""),"Darrere la pista del Marsupilami")</x:f>
      </x:c>
      <x:c r="C1288" s="1">
        <x:f>IFERROR(__xludf.DUMMYFUNCTION("""COMPUTED_VALUE"""),"2012")</x:f>
      </x:c>
    </x:row>
    <x:row r="1289" spans="1:10">
      <x:c r="A1289" s="1" t="s">
        <x:v>1298</x:v>
      </x:c>
      <x:c r="B1289" s="1">
        <x:f>IFERROR(__xludf.DUMMYFUNCTION("""COMPUTED_VALUE"""),"Dave, president per un dia")</x:f>
      </x:c>
      <x:c r="C1289" s="1">
        <x:f>IFERROR(__xludf.DUMMYFUNCTION("""COMPUTED_VALUE"""),"1993")</x:f>
      </x:c>
    </x:row>
    <x:row r="1290" spans="1:10">
      <x:c r="A1290" s="1" t="s">
        <x:v>1299</x:v>
      </x:c>
      <x:c r="B1290" s="1">
        <x:f>IFERROR(__xludf.DUMMYFUNCTION("""COMPUTED_VALUE"""),"Daybreakers")</x:f>
      </x:c>
      <x:c r="C1290" s="1">
        <x:f>IFERROR(__xludf.DUMMYFUNCTION("""COMPUTED_VALUE"""),"2009")</x:f>
      </x:c>
    </x:row>
    <x:row r="1291" spans="1:10">
      <x:c r="A1291" s="1" t="s">
        <x:v>1300</x:v>
      </x:c>
      <x:c r="B1291" s="1">
        <x:f>IFERROR(__xludf.DUMMYFUNCTION("""COMPUTED_VALUE"""),"DC Lliga de Supermascotes")</x:f>
      </x:c>
      <x:c r="C1291" s="1">
        <x:f>IFERROR(__xludf.DUMMYFUNCTION("""COMPUTED_VALUE"""),"2022")</x:f>
      </x:c>
    </x:row>
    <x:row r="1292" spans="1:10">
      <x:c r="A1292" s="1" t="s">
        <x:v>1301</x:v>
      </x:c>
      <x:c r="B1292" s="1">
        <x:f>IFERROR(__xludf.DUMMYFUNCTION("""COMPUTED_VALUE"""),"De 5 a 7")</x:f>
      </x:c>
      <x:c r="C1292" s="1">
        <x:f>IFERROR(__xludf.DUMMYFUNCTION("""COMPUTED_VALUE"""),"2014")</x:f>
      </x:c>
    </x:row>
    <x:row r="1293" spans="1:10">
      <x:c r="A1293" s="1" t="s">
        <x:v>1302</x:v>
      </x:c>
      <x:c r="B1293" s="1">
        <x:f>IFERROR(__xludf.DUMMYFUNCTION("""COMPUTED_VALUE"""),"De bèsties i bestioles")</x:f>
      </x:c>
      <x:c r="C1293" s="1">
        <x:f>IFERROR(__xludf.DUMMYFUNCTION("""COMPUTED_VALUE"""),"1998")</x:f>
      </x:c>
    </x:row>
    <x:row r="1294" spans="1:10">
      <x:c r="A1294" s="1" t="s">
        <x:v>1303</x:v>
      </x:c>
      <x:c r="B1294" s="1">
        <x:f>IFERROR(__xludf.DUMMYFUNCTION("""COMPUTED_VALUE"""),"De boda en boda")</x:f>
      </x:c>
      <x:c r="C1294" s="1">
        <x:f>IFERROR(__xludf.DUMMYFUNCTION("""COMPUTED_VALUE"""),"2005")</x:f>
      </x:c>
    </x:row>
    <x:row r="1295" spans="1:10">
      <x:c r="A1295" s="1" t="s">
        <x:v>1304</x:v>
      </x:c>
      <x:c r="B1295" s="1">
        <x:f>IFERROR(__xludf.DUMMYFUNCTION("""COMPUTED_VALUE"""),"De camí a l'escola")</x:f>
      </x:c>
      <x:c r="C1295" s="1">
        <x:f>IFERROR(__xludf.DUMMYFUNCTION("""COMPUTED_VALUE"""),"2013")</x:f>
      </x:c>
    </x:row>
    <x:row r="1296" spans="1:10">
      <x:c r="A1296" s="1" t="s">
        <x:v>1305</x:v>
      </x:c>
      <x:c r="B1296" s="1">
        <x:f>IFERROR(__xludf.DUMMYFUNCTION("""COMPUTED_VALUE"""),"De Déus i homes")</x:f>
      </x:c>
      <x:c r="C1296" s="1">
        <x:f>IFERROR(__xludf.DUMMYFUNCTION("""COMPUTED_VALUE"""),"2010")</x:f>
      </x:c>
    </x:row>
    <x:row r="1297" spans="1:10">
      <x:c r="A1297" s="1" t="s">
        <x:v>1306</x:v>
      </x:c>
      <x:c r="B1297" s="1">
        <x:f>IFERROR(__xludf.DUMMYFUNCTION("""COMPUTED_VALUE"""),"De Gaulle")</x:f>
      </x:c>
      <x:c r="C1297" s="1">
        <x:f>IFERROR(__xludf.DUMMYFUNCTION("""COMPUTED_VALUE"""),"2020")</x:f>
      </x:c>
    </x:row>
    <x:row r="1298" spans="1:10">
      <x:c r="A1298" s="1" t="s">
        <x:v>1307</x:v>
      </x:c>
      <x:c r="B1298" s="1">
        <x:f>IFERROR(__xludf.DUMMYFUNCTION("""COMPUTED_VALUE"""),"De l'infern a Texas")</x:f>
      </x:c>
      <x:c r="C1298" s="1">
        <x:f>IFERROR(__xludf.DUMMYFUNCTION("""COMPUTED_VALUE"""),"1958")</x:f>
      </x:c>
    </x:row>
    <x:row r="1299" spans="1:10">
      <x:c r="A1299" s="1" t="s">
        <x:v>1308</x:v>
      </x:c>
      <x:c r="B1299" s="1">
        <x:f>IFERROR(__xludf.DUMMYFUNCTION("""COMPUTED_VALUE"""),"De la Gran Via al Paral·lel")</x:f>
      </x:c>
      <x:c r="C1299" s="1">
        <x:f>IFERROR(__xludf.DUMMYFUNCTION("""COMPUTED_VALUE"""),"2008")</x:f>
      </x:c>
    </x:row>
    <x:row r="1300" spans="1:10">
      <x:c r="A1300" s="1" t="s">
        <x:v>1309</x:v>
      </x:c>
      <x:c r="B1300" s="1">
        <x:f>IFERROR(__xludf.DUMMYFUNCTION("""COMPUTED_VALUE"""),"De la superfície a les profunditats de la terra")</x:f>
      </x:c>
      <x:c r="C1300" s="1">
        <x:f>IFERROR(__xludf.DUMMYFUNCTION("""COMPUTED_VALUE"""),"2015")</x:f>
      </x:c>
    </x:row>
    <x:row r="1301" spans="1:10">
      <x:c r="A1301" s="1" t="s">
        <x:v>1310</x:v>
      </x:c>
      <x:c r="B1301" s="1">
        <x:f>IFERROR(__xludf.DUMMYFUNCTION("""COMPUTED_VALUE"""),"De mare només n'hi ha una")</x:f>
      </x:c>
      <x:c r="C1301" s="1">
        <x:f>IFERROR(__xludf.DUMMYFUNCTION("""COMPUTED_VALUE"""),"2016")</x:f>
      </x:c>
    </x:row>
    <x:row r="1302" spans="1:10">
      <x:c r="A1302" s="1" t="s">
        <x:v>1311</x:v>
      </x:c>
      <x:c r="B1302" s="1">
        <x:f>IFERROR(__xludf.DUMMYFUNCTION("""COMPUTED_VALUE"""),"De mica en mica s'omple la pica")</x:f>
      </x:c>
      <x:c r="C1302" s="1">
        <x:f>IFERROR(__xludf.DUMMYFUNCTION("""COMPUTED_VALUE"""),"1984")</x:f>
      </x:c>
    </x:row>
    <x:row r="1303" spans="1:10">
      <x:c r="A1303" s="1" t="s">
        <x:v>1312</x:v>
      </x:c>
      <x:c r="B1303" s="1">
        <x:f>IFERROR(__xludf.DUMMYFUNCTION("""COMPUTED_VALUE"""),"De Nicolas a Sarkozy")</x:f>
      </x:c>
      <x:c r="C1303" s="1">
        <x:f>IFERROR(__xludf.DUMMYFUNCTION("""COMPUTED_VALUE"""),"2011")</x:f>
      </x:c>
    </x:row>
    <x:row r="1304" spans="1:10">
      <x:c r="A1304" s="1" t="s">
        <x:v>1313</x:v>
      </x:c>
      <x:c r="B1304" s="1">
        <x:f>IFERROR(__xludf.DUMMYFUNCTION("""COMPUTED_VALUE"""),"De pares a filles")</x:f>
      </x:c>
      <x:c r="C1304" s="1">
        <x:f>IFERROR(__xludf.DUMMYFUNCTION("""COMPUTED_VALUE"""),"2015")</x:f>
      </x:c>
    </x:row>
    <x:row r="1305" spans="1:10">
      <x:c r="A1305" s="1" t="s">
        <x:v>1314</x:v>
      </x:c>
      <x:c r="B1305" s="1">
        <x:f>IFERROR(__xludf.DUMMYFUNCTION("""COMPUTED_VALUE"""),"De què parlem mentre no parlem de tota aquesta merda?")</x:f>
      </x:c>
      <x:c r="C1305" s="1">
        <x:f>IFERROR(__xludf.DUMMYFUNCTION("""COMPUTED_VALUE"""),"2021")</x:f>
      </x:c>
    </x:row>
    <x:row r="1306" spans="1:10">
      <x:c r="A1306" s="1" t="s">
        <x:v>1315</x:v>
      </x:c>
      <x:c r="B1306" s="1">
        <x:f>IFERROR(__xludf.DUMMYFUNCTION("""COMPUTED_VALUE"""),"De rovell i d'os")</x:f>
      </x:c>
      <x:c r="C1306" s="1">
        <x:f>IFERROR(__xludf.DUMMYFUNCTION("""COMPUTED_VALUE"""),"2012")</x:f>
      </x:c>
    </x:row>
    <x:row r="1307" spans="1:10">
      <x:c r="A1307" s="1" t="s">
        <x:v>1316</x:v>
      </x:c>
      <x:c r="B1307" s="1">
        <x:f>IFERROR(__xludf.DUMMYFUNCTION("""COMPUTED_VALUE"""),"De sobte, l'estiu passat")</x:f>
      </x:c>
      <x:c r="C1307" s="1">
        <x:f>IFERROR(__xludf.DUMMYFUNCTION("""COMPUTED_VALUE"""),"1959")</x:f>
      </x:c>
    </x:row>
    <x:row r="1308" spans="1:10">
      <x:c r="A1308" s="1" t="s">
        <x:v>1317</x:v>
      </x:c>
      <x:c r="B1308" s="1">
        <x:f>IFERROR(__xludf.DUMMYFUNCTION("""COMPUTED_VALUE"""),"De tal pare, tal fill")</x:f>
      </x:c>
      <x:c r="C1308" s="1">
        <x:f>IFERROR(__xludf.DUMMYFUNCTION("""COMPUTED_VALUE"""),"2013")</x:f>
      </x:c>
    </x:row>
    <x:row r="1309" spans="1:10">
      <x:c r="A1309" s="1" t="s">
        <x:v>1318</x:v>
      </x:c>
      <x:c r="B1309" s="1">
        <x:f>IFERROR(__xludf.DUMMYFUNCTION("""COMPUTED_VALUE"""),"De tant bategar se m'ha parat el cor")</x:f>
      </x:c>
      <x:c r="C1309" s="1">
        <x:f>IFERROR(__xludf.DUMMYFUNCTION("""COMPUTED_VALUE"""),"2005")</x:f>
      </x:c>
    </x:row>
    <x:row r="1310" spans="1:10">
      <x:c r="A1310" s="1" t="s">
        <x:v>1319</x:v>
      </x:c>
      <x:c r="B1310" s="1">
        <x:f>IFERROR(__xludf.DUMMYFUNCTION("""COMPUTED_VALUE"""),"De temps en temps")</x:f>
      </x:c>
      <x:c r="C1310" s="1">
        <x:f>IFERROR(__xludf.DUMMYFUNCTION("""COMPUTED_VALUE"""),"2009")</x:f>
      </x:c>
    </x:row>
    <x:row r="1311" spans="1:10">
      <x:c r="A1311" s="1" t="s">
        <x:v>1320</x:v>
      </x:c>
      <x:c r="B1311" s="1">
        <x:f>IFERROR(__xludf.DUMMYFUNCTION("""COMPUTED_VALUE"""),"De tornada a casa")</x:f>
      </x:c>
      <x:c r="C1311" s="1">
        <x:f>IFERROR(__xludf.DUMMYFUNCTION("""COMPUTED_VALUE"""),"2017")</x:f>
      </x:c>
    </x:row>
    <x:row r="1312" spans="1:10">
      <x:c r="A1312" s="1" t="s">
        <x:v>1321</x:v>
      </x:c>
      <x:c r="B1312" s="1">
        <x:f>IFERROR(__xludf.DUMMYFUNCTION("""COMPUTED_VALUE"""),"Dead Man")</x:f>
      </x:c>
      <x:c r="C1312" s="1">
        <x:f>IFERROR(__xludf.DUMMYFUNCTION("""COMPUTED_VALUE"""),"1995")</x:f>
      </x:c>
    </x:row>
    <x:row r="1313" spans="1:10">
      <x:c r="A1313" s="1" t="s">
        <x:v>1322</x:v>
      </x:c>
      <x:c r="B1313" s="1">
        <x:f>IFERROR(__xludf.DUMMYFUNCTION("""COMPUTED_VALUE"""),"Dead Man Down - La venjança de l'home mort")</x:f>
      </x:c>
      <x:c r="C1313" s="1">
        <x:f>IFERROR(__xludf.DUMMYFUNCTION("""COMPUTED_VALUE"""),"2013")</x:f>
      </x:c>
    </x:row>
    <x:row r="1314" spans="1:10">
      <x:c r="A1314" s="1" t="s">
        <x:v>1323</x:v>
      </x:c>
      <x:c r="B1314" s="1">
        <x:f>IFERROR(__xludf.DUMMYFUNCTION("""COMPUTED_VALUE"""),"Dead or Alive")</x:f>
      </x:c>
      <x:c r="C1314" s="1">
        <x:f>IFERROR(__xludf.DUMMYFUNCTION("""COMPUTED_VALUE"""),"2006")</x:f>
      </x:c>
    </x:row>
    <x:row r="1315" spans="1:10">
      <x:c r="A1315" s="1" t="s">
        <x:v>1324</x:v>
      </x:c>
      <x:c r="B1315" s="1">
        <x:f>IFERROR(__xludf.DUMMYFUNCTION("""COMPUTED_VALUE"""),"Dead or Alive: Final")</x:f>
      </x:c>
      <x:c r="C1315" s="1">
        <x:f>IFERROR(__xludf.DUMMYFUNCTION("""COMPUTED_VALUE"""),"2002")</x:f>
      </x:c>
    </x:row>
    <x:row r="1316" spans="1:10">
      <x:c r="A1316" s="1" t="s">
        <x:v>1325</x:v>
      </x:c>
      <x:c r="B1316" s="1">
        <x:f>IFERROR(__xludf.DUMMYFUNCTION("""COMPUTED_VALUE"""),"Dead Slow Ahead [VOSC]")</x:f>
      </x:c>
      <x:c r="C1316" s="1">
        <x:f>IFERROR(__xludf.DUMMYFUNCTION("""COMPUTED_VALUE"""),"2015")</x:f>
      </x:c>
    </x:row>
    <x:row r="1317" spans="1:10">
      <x:c r="A1317" s="1" t="s">
        <x:v>1326</x:v>
      </x:c>
      <x:c r="B1317" s="1">
        <x:f>IFERROR(__xludf.DUMMYFUNCTION("""COMPUTED_VALUE"""),"Death Proof")</x:f>
      </x:c>
      <x:c r="C1317" s="1">
        <x:f>IFERROR(__xludf.DUMMYFUNCTION("""COMPUTED_VALUE"""),"2007")</x:f>
      </x:c>
    </x:row>
    <x:row r="1318" spans="1:10">
      <x:c r="A1318" s="1" t="s">
        <x:v>1327</x:v>
      </x:c>
      <x:c r="B1318" s="1">
        <x:f>IFERROR(__xludf.DUMMYFUNCTION("""COMPUTED_VALUE"""),"Decameró")</x:f>
      </x:c>
      <x:c r="C1318" s="1">
        <x:f>IFERROR(__xludf.DUMMYFUNCTION("""COMPUTED_VALUE"""),"2020")</x:f>
      </x:c>
    </x:row>
    <x:row r="1319" spans="1:10">
      <x:c r="A1319" s="1" t="s">
        <x:v>1328</x:v>
      </x:c>
      <x:c r="B1319" s="1">
        <x:f>IFERROR(__xludf.DUMMYFUNCTION("""COMPUTED_VALUE"""),"Decisió de marxar")</x:f>
      </x:c>
      <x:c r="C1319" s="1">
        <x:f>IFERROR(__xludf.DUMMYFUNCTION("""COMPUTED_VALUE"""),"2022")</x:f>
      </x:c>
    </x:row>
    <x:row r="1320" spans="1:10">
      <x:c r="A1320" s="1" t="s">
        <x:v>1329</x:v>
      </x:c>
      <x:c r="B1320" s="1">
        <x:f>IFERROR(__xludf.DUMMYFUNCTION("""COMPUTED_VALUE"""),"Decisió executiva")</x:f>
      </x:c>
      <x:c r="C1320" s="1">
        <x:f>IFERROR(__xludf.DUMMYFUNCTION("""COMPUTED_VALUE"""),"1996")</x:f>
      </x:c>
    </x:row>
    <x:row r="1321" spans="1:10">
      <x:c r="A1321" s="1" t="s">
        <x:v>1330</x:v>
      </x:c>
      <x:c r="B1321" s="1">
        <x:f>IFERROR(__xludf.DUMMYFUNCTION("""COMPUTED_VALUE"""),"Declaració d'emergència")</x:f>
      </x:c>
      <x:c r="C1321" s="1">
        <x:f>IFERROR(__xludf.DUMMYFUNCTION("""COMPUTED_VALUE"""),"2021")</x:f>
      </x:c>
    </x:row>
    <x:row r="1322" spans="1:10">
      <x:c r="A1322" s="1" t="s">
        <x:v>1331</x:v>
      </x:c>
      <x:c r="B1322" s="1">
        <x:f>IFERROR(__xludf.DUMMYFUNCTION("""COMPUTED_VALUE"""),"Declaració de guerra")</x:f>
      </x:c>
      <x:c r="C1322" s="1">
        <x:f>IFERROR(__xludf.DUMMYFUNCTION("""COMPUTED_VALUE"""),"2011")</x:f>
      </x:c>
    </x:row>
    <x:row r="1323" spans="1:10">
      <x:c r="A1323" s="1" t="s">
        <x:v>1332</x:v>
      </x:c>
      <x:c r="B1323" s="1">
        <x:f>IFERROR(__xludf.DUMMYFUNCTION("""COMPUTED_VALUE"""),"Deep Blue")</x:f>
      </x:c>
      <x:c r="C1323" s="1">
        <x:f>IFERROR(__xludf.DUMMYFUNCTION("""COMPUTED_VALUE"""),"2003")</x:f>
      </x:c>
    </x:row>
    <x:row r="1324" spans="1:10">
      <x:c r="A1324" s="1" t="s">
        <x:v>1333</x:v>
      </x:c>
      <x:c r="B1324" s="1">
        <x:f>IFERROR(__xludf.DUMMYFUNCTION("""COMPUTED_VALUE"""),"Deep Blue Sea")</x:f>
      </x:c>
      <x:c r="C1324" s="1">
        <x:f>IFERROR(__xludf.DUMMYFUNCTION("""COMPUTED_VALUE"""),"1999")</x:f>
      </x:c>
    </x:row>
    <x:row r="1325" spans="1:10">
      <x:c r="A1325" s="1" t="s">
        <x:v>1334</x:v>
      </x:c>
      <x:c r="B1325" s="1">
        <x:f>IFERROR(__xludf.DUMMYFUNCTION("""COMPUTED_VALUE"""),"Deep Purple - Live In Copenhagen")</x:f>
      </x:c>
      <x:c r="C1325" s="1">
        <x:f>IFERROR(__xludf.DUMMYFUNCTION("""COMPUTED_VALUE"""),"1972")</x:f>
      </x:c>
    </x:row>
    <x:row r="1326" spans="1:10">
      <x:c r="A1326" s="1" t="s">
        <x:v>1335</x:v>
      </x:c>
      <x:c r="B1326" s="1">
        <x:f>IFERROR(__xludf.DUMMYFUNCTION("""COMPUTED_VALUE"""),"Deep Rising")</x:f>
      </x:c>
      <x:c r="C1326" s="1">
        <x:f>IFERROR(__xludf.DUMMYFUNCTION("""COMPUTED_VALUE"""),"1998")</x:f>
      </x:c>
    </x:row>
    <x:row r="1327" spans="1:10">
      <x:c r="A1327" s="1" t="s">
        <x:v>1336</x:v>
      </x:c>
      <x:c r="B1327" s="1">
        <x:f>IFERROR(__xludf.DUMMYFUNCTION("""COMPUTED_VALUE"""),"Deepwater horizon")</x:f>
      </x:c>
      <x:c r="C1327" s="1">
        <x:f>IFERROR(__xludf.DUMMYFUNCTION("""COMPUTED_VALUE"""),"2016")</x:f>
      </x:c>
    </x:row>
    <x:row r="1328" spans="1:10">
      <x:c r="A1328" s="1" t="s">
        <x:v>1337</x:v>
      </x:c>
      <x:c r="B1328" s="1">
        <x:f>IFERROR(__xludf.DUMMYFUNCTION("""COMPUTED_VALUE"""),"Defensant l'enemic")</x:f>
      </x:c>
      <x:c r="C1328" s="1">
        <x:f>IFERROR(__xludf.DUMMYFUNCTION("""COMPUTED_VALUE"""),"2007")</x:f>
      </x:c>
    </x:row>
    <x:row r="1329" spans="1:10">
      <x:c r="A1329" s="1" t="s">
        <x:v>1338</x:v>
      </x:c>
      <x:c r="B1329" s="1">
        <x:f>IFERROR(__xludf.DUMMYFUNCTION("""COMPUTED_VALUE"""),"Deixa'm entrar")</x:f>
      </x:c>
      <x:c r="C1329" s="1">
        <x:f>IFERROR(__xludf.DUMMYFUNCTION("""COMPUTED_VALUE"""),"2008")</x:f>
      </x:c>
    </x:row>
    <x:row r="1330" spans="1:10">
      <x:c r="A1330" s="1" t="s">
        <x:v>1339</x:v>
      </x:c>
      <x:c r="B1330" s="1">
        <x:f>IFERROR(__xludf.DUMMYFUNCTION("""COMPUTED_VALUE"""),"Deixa'm viure")</x:f>
      </x:c>
      <x:c r="C1330" s="1">
        <x:f>IFERROR(__xludf.DUMMYFUNCTION("""COMPUTED_VALUE"""),"2013")</x:f>
      </x:c>
    </x:row>
    <x:row r="1331" spans="1:10">
      <x:c r="A1331" s="1" t="s">
        <x:v>1340</x:v>
      </x:c>
      <x:c r="B1331" s="1">
        <x:f>IFERROR(__xludf.DUMMYFUNCTION("""COMPUTED_VALUE"""),"Deixa't anar!")</x:f>
      </x:c>
      <x:c r="C1331" s="1">
        <x:f>IFERROR(__xludf.DUMMYFUNCTION("""COMPUTED_VALUE"""),"2017")</x:f>
      </x:c>
    </x:row>
    <x:row r="1332" spans="1:10">
      <x:c r="A1332" s="1" t="s">
        <x:v>1341</x:v>
      </x:c>
      <x:c r="B1332" s="1">
        <x:f>IFERROR(__xludf.DUMMYFUNCTION("""COMPUTED_VALUE"""),"Deixa't estimar")</x:f>
      </x:c>
      <x:c r="C1332" s="1">
        <x:f>IFERROR(__xludf.DUMMYFUNCTION("""COMPUTED_VALUE"""),"2014")</x:f>
      </x:c>
    </x:row>
    <x:row r="1333" spans="1:10">
      <x:c r="A1333" s="1" t="s">
        <x:v>1342</x:v>
      </x:c>
      <x:c r="B1333" s="1">
        <x:f>IFERROR(__xludf.DUMMYFUNCTION("""COMPUTED_VALUE"""),"Deixa't portar")</x:f>
      </x:c>
      <x:c r="C1333" s="1">
        <x:f>IFERROR(__xludf.DUMMYFUNCTION("""COMPUTED_VALUE"""),"2006")</x:f>
      </x:c>
    </x:row>
    <x:row r="1334" spans="1:10">
      <x:c r="A1334" s="1" t="s">
        <x:v>1343</x:v>
      </x:c>
      <x:c r="B1334" s="1">
        <x:f>IFERROR(__xludf.DUMMYFUNCTION("""COMPUTED_VALUE"""),"Del migdia a les tres")</x:f>
      </x:c>
      <x:c r="C1334" s="1">
        <x:f>IFERROR(__xludf.DUMMYFUNCTION("""COMPUTED_VALUE"""),"1976")</x:f>
      </x:c>
    </x:row>
    <x:row r="1335" spans="1:10">
      <x:c r="A1335" s="1" t="s">
        <x:v>1344</x:v>
      </x:c>
      <x:c r="B1335" s="1">
        <x:f>IFERROR(__xludf.DUMMYFUNCTION("""COMPUTED_VALUE"""),"Del revés")</x:f>
      </x:c>
      <x:c r="C1335" s="1">
        <x:f>IFERROR(__xludf.DUMMYFUNCTION("""COMPUTED_VALUE"""),"2015")</x:f>
      </x:c>
    </x:row>
    <x:row r="1336" spans="1:10">
      <x:c r="A1336" s="1" t="s">
        <x:v>1345</x:v>
      </x:c>
      <x:c r="B1336" s="1">
        <x:f>IFERROR(__xludf.DUMMYFUNCTION("""COMPUTED_VALUE"""),"Del revés 2")</x:f>
      </x:c>
      <x:c r="C1336" s="1">
        <x:f>IFERROR(__xludf.DUMMYFUNCTION("""COMPUTED_VALUE"""),"2024")</x:f>
      </x:c>
    </x:row>
    <x:row r="1337" spans="1:10">
      <x:c r="A1337" s="1" t="s">
        <x:v>1346</x:v>
      </x:c>
      <x:c r="B1337" s="1">
        <x:f>IFERROR(__xludf.DUMMYFUNCTION("""COMPUTED_VALUE"""),"Deliciós")</x:f>
      </x:c>
      <x:c r="C1337" s="1">
        <x:f>IFERROR(__xludf.DUMMYFUNCTION("""COMPUTED_VALUE"""),"2021")</x:f>
      </x:c>
    </x:row>
    <x:row r="1338" spans="1:10">
      <x:c r="A1338" s="1" t="s">
        <x:v>1347</x:v>
      </x:c>
      <x:c r="B1338" s="1">
        <x:f>IFERROR(__xludf.DUMMYFUNCTION("""COMPUTED_VALUE"""),"Delictes i faltes")</x:f>
      </x:c>
      <x:c r="C1338" s="1">
        <x:f>IFERROR(__xludf.DUMMYFUNCTION("""COMPUTED_VALUE"""),"1989")</x:f>
      </x:c>
    </x:row>
    <x:row r="1339" spans="1:10">
      <x:c r="A1339" s="1" t="s">
        <x:v>1348</x:v>
      </x:c>
      <x:c r="B1339" s="1">
        <x:f>IFERROR(__xludf.DUMMYFUNCTION("""COMPUTED_VALUE"""),"Deliverance")</x:f>
      </x:c>
      <x:c r="C1339" s="1">
        <x:f>IFERROR(__xludf.DUMMYFUNCTION("""COMPUTED_VALUE"""),"1972")</x:f>
      </x:c>
    </x:row>
    <x:row r="1340" spans="1:10">
      <x:c r="A1340" s="1" t="s">
        <x:v>1349</x:v>
      </x:c>
      <x:c r="B1340" s="1">
        <x:f>IFERROR(__xludf.DUMMYFUNCTION("""COMPUTED_VALUE"""),"Deliverance Creek")</x:f>
      </x:c>
      <x:c r="C1340" s="1">
        <x:f>IFERROR(__xludf.DUMMYFUNCTION("""COMPUTED_VALUE"""),"2014")</x:f>
      </x:c>
    </x:row>
    <x:row r="1341" spans="1:10">
      <x:c r="A1341" s="1" t="s">
        <x:v>1350</x:v>
      </x:c>
      <x:c r="B1341" s="1">
        <x:f>IFERROR(__xludf.DUMMYFUNCTION("""COMPUTED_VALUE"""),"Demà")</x:f>
      </x:c>
      <x:c r="C1341" s="1">
        <x:f>IFERROR(__xludf.DUMMYFUNCTION("""COMPUTED_VALUE"""),"2015")</x:f>
      </x:c>
    </x:row>
    <x:row r="1342" spans="1:10">
      <x:c r="A1342" s="1" t="s">
        <x:v>1351</x:v>
      </x:c>
      <x:c r="B1342" s="1">
        <x:f>IFERROR(__xludf.DUMMYFUNCTION("""COMPUTED_VALUE"""),"Demà comença tot")</x:f>
      </x:c>
      <x:c r="C1342" s="1">
        <x:f>IFERROR(__xludf.DUMMYFUNCTION("""COMPUTED_VALUE"""),"2016")</x:f>
      </x:c>
    </x:row>
    <x:row r="1343" spans="1:10">
      <x:c r="A1343" s="1" t="s">
        <x:v>1352</x:v>
      </x:c>
      <x:c r="B1343" s="1">
        <x:f>IFERROR(__xludf.DUMMYFUNCTION("""COMPUTED_VALUE"""),"Demà, quan comenci la guerra")</x:f>
      </x:c>
      <x:c r="C1343" s="1">
        <x:f>IFERROR(__xludf.DUMMYFUNCTION("""COMPUTED_VALUE"""),"2010")</x:f>
      </x:c>
    </x:row>
    <x:row r="1344" spans="1:10">
      <x:c r="A1344" s="1" t="s">
        <x:v>1353</x:v>
      </x:c>
      <x:c r="B1344" s="1">
        <x:f>IFERROR(__xludf.DUMMYFUNCTION("""COMPUTED_VALUE"""),"Demolition Man")</x:f>
      </x:c>
      <x:c r="C1344" s="1">
        <x:f>IFERROR(__xludf.DUMMYFUNCTION("""COMPUTED_VALUE"""),"1993")</x:f>
      </x:c>
    </x:row>
    <x:row r="1345" spans="1:10">
      <x:c r="A1345" s="1" t="s">
        <x:v>1354</x:v>
      </x:c>
      <x:c r="B1345" s="1">
        <x:f>IFERROR(__xludf.DUMMYFUNCTION("""COMPUTED_VALUE"""),"Depredadors de l'espai")</x:f>
      </x:c>
      <x:c r="C1345" s="1">
        <x:f>IFERROR(__xludf.DUMMYFUNCTION("""COMPUTED_VALUE"""),"1999")</x:f>
      </x:c>
    </x:row>
    <x:row r="1346" spans="1:10">
      <x:c r="A1346" s="1" t="s">
        <x:v>1355</x:v>
      </x:c>
      <x:c r="B1346" s="1">
        <x:f>IFERROR(__xludf.DUMMYFUNCTION("""COMPUTED_VALUE"""),"Dersu Uzala")</x:f>
      </x:c>
      <x:c r="C1346" s="1">
        <x:f>IFERROR(__xludf.DUMMYFUNCTION("""COMPUTED_VALUE"""),"1975")</x:f>
      </x:c>
    </x:row>
    <x:row r="1347" spans="1:10">
      <x:c r="A1347" s="1" t="s">
        <x:v>1356</x:v>
      </x:c>
      <x:c r="B1347" s="1">
        <x:f>IFERROR(__xludf.DUMMYFUNCTION("""COMPUTED_VALUE"""),"Des de París amb amor")</x:f>
      </x:c>
      <x:c r="C1347" s="1">
        <x:f>IFERROR(__xludf.DUMMYFUNCTION("""COMPUTED_VALUE"""),"2010")</x:f>
      </x:c>
    </x:row>
    <x:row r="1348" spans="1:10">
      <x:c r="A1348" s="1" t="s">
        <x:v>1357</x:v>
      </x:c>
      <x:c r="B1348" s="1">
        <x:f>IFERROR(__xludf.DUMMYFUNCTION("""COMPUTED_VALUE"""),"Des de Rússia amb amor")</x:f>
      </x:c>
      <x:c r="C1348" s="1">
        <x:f>IFERROR(__xludf.DUMMYFUNCTION("""COMPUTED_VALUE"""),"1963")</x:f>
      </x:c>
    </x:row>
    <x:row r="1349" spans="1:10">
      <x:c r="A1349" s="1" t="s">
        <x:v>1358</x:v>
      </x:c>
      <x:c r="B1349" s="1">
        <x:f>IFERROR(__xludf.DUMMYFUNCTION("""COMPUTED_VALUE"""),"Des del meu cel")</x:f>
      </x:c>
      <x:c r="C1349" s="1">
        <x:f>IFERROR(__xludf.DUMMYFUNCTION("""COMPUTED_VALUE"""),"2009")</x:f>
      </x:c>
    </x:row>
    <x:row r="1350" spans="1:10">
      <x:c r="A1350" s="1" t="s">
        <x:v>1359</x:v>
      </x:c>
      <x:c r="B1350" s="1">
        <x:f>IFERROR(__xludf.DUMMYFUNCTION("""COMPUTED_VALUE"""),"Des del Rough")</x:f>
      </x:c>
      <x:c r="C1350" s="1">
        <x:f>IFERROR(__xludf.DUMMYFUNCTION("""COMPUTED_VALUE"""),"2013")</x:f>
      </x:c>
    </x:row>
    <x:row r="1351" spans="1:10">
      <x:c r="A1351" s="1" t="s">
        <x:v>1360</x:v>
      </x:c>
      <x:c r="B1351" s="1">
        <x:f>IFERROR(__xludf.DUMMYFUNCTION("""COMPUTED_VALUE"""),"Desafiament a Little Tokyo")</x:f>
      </x:c>
      <x:c r="C1351" s="1">
        <x:f>IFERROR(__xludf.DUMMYFUNCTION("""COMPUTED_VALUE"""),"1991")</x:f>
      </x:c>
    </x:row>
    <x:row r="1352" spans="1:10">
      <x:c r="A1352" s="1" t="s">
        <x:v>1361</x:v>
      </x:c>
      <x:c r="B1352" s="1">
        <x:f>IFERROR(__xludf.DUMMYFUNCTION("""COMPUTED_VALUE"""),"Desafiament total")</x:f>
      </x:c>
      <x:c r="C1352" s="1">
        <x:f>IFERROR(__xludf.DUMMYFUNCTION("""COMPUTED_VALUE"""),"1990")</x:f>
      </x:c>
    </x:row>
    <x:row r="1353" spans="1:10">
      <x:c r="A1353" s="1" t="s">
        <x:v>1362</x:v>
      </x:c>
      <x:c r="B1353" s="1">
        <x:f>IFERROR(__xludf.DUMMYFUNCTION("""COMPUTED_VALUE"""),"Desafiament total (versió estesa)")</x:f>
      </x:c>
      <x:c r="C1353" s="1">
        <x:f>IFERROR(__xludf.DUMMYFUNCTION("""COMPUTED_VALUE"""),"2012")</x:f>
      </x:c>
    </x:row>
    <x:row r="1354" spans="1:10">
      <x:c r="A1354" s="1" t="s">
        <x:v>1363</x:v>
      </x:c>
      <x:c r="B1354" s="1">
        <x:f>IFERROR(__xludf.DUMMYFUNCTION("""COMPUTED_VALUE"""),"Desapareguda")</x:f>
      </x:c>
      <x:c r="C1354" s="1">
        <x:f>IFERROR(__xludf.DUMMYFUNCTION("""COMPUTED_VALUE"""),"2012")</x:f>
      </x:c>
    </x:row>
    <x:row r="1355" spans="1:10">
      <x:c r="A1355" s="1" t="s">
        <x:v>1364</x:v>
      </x:c>
      <x:c r="B1355" s="1">
        <x:f>IFERROR(__xludf.DUMMYFUNCTION("""COMPUTED_VALUE"""),"Desapareguda a Marsella")</x:f>
      </x:c>
      <x:c r="C1355" s="1">
        <x:f>IFERROR(__xludf.DUMMYFUNCTION("""COMPUTED_VALUE"""),"2020")</x:f>
      </x:c>
    </x:row>
    <x:row r="1356" spans="1:10">
      <x:c r="A1356" s="1" t="s">
        <x:v>1365</x:v>
      </x:c>
      <x:c r="B1356" s="1">
        <x:f>IFERROR(__xludf.DUMMYFUNCTION("""COMPUTED_VALUE"""),"Desapareguts sense rastre")</x:f>
      </x:c>
      <x:c r="C1356" s="1">
        <x:f>IFERROR(__xludf.DUMMYFUNCTION("""COMPUTED_VALUE"""),"2014")</x:f>
      </x:c>
    </x:row>
    <x:row r="1357" spans="1:10">
      <x:c r="A1357" s="1" t="s">
        <x:v>1366</x:v>
      </x:c>
      <x:c r="B1357" s="1">
        <x:f>IFERROR(__xludf.DUMMYFUNCTION("""COMPUTED_VALUE"""),"Desaparicions")</x:f>
      </x:c>
      <x:c r="C1357" s="1">
        <x:f>IFERROR(__xludf.DUMMYFUNCTION("""COMPUTED_VALUE"""),"2003")</x:f>
      </x:c>
    </x:row>
    <x:row r="1358" spans="1:10">
      <x:c r="A1358" s="1" t="s">
        <x:v>1367</x:v>
      </x:c>
      <x:c r="B1358" s="1">
        <x:f>IFERROR(__xludf.DUMMYFUNCTION("""COMPUTED_VALUE"""),"Desaparicions")</x:f>
      </x:c>
      <x:c r="C1358" s="1">
        <x:f>IFERROR(__xludf.DUMMYFUNCTION("""COMPUTED_VALUE"""),"2006")</x:f>
      </x:c>
    </x:row>
    <x:row r="1359" spans="1:10">
      <x:c r="A1359" s="1" t="s">
        <x:v>1368</x:v>
      </x:c>
      <x:c r="B1359" s="1">
        <x:f>IFERROR(__xludf.DUMMYFUNCTION("""COMPUTED_VALUE"""),"Descàrregues assassines")</x:f>
      </x:c>
      <x:c r="C1359" s="1">
        <x:f>IFERROR(__xludf.DUMMYFUNCTION("""COMPUTED_VALUE"""),"1988")</x:f>
      </x:c>
    </x:row>
    <x:row r="1360" spans="1:10">
      <x:c r="A1360" s="1" t="s">
        <x:v>1369</x:v>
      </x:c>
      <x:c r="B1360" s="1">
        <x:f>IFERROR(__xludf.DUMMYFUNCTION("""COMPUTED_VALUE"""),"Descens a les tenebres")</x:f>
      </x:c>
      <x:c r="C1360" s="1">
        <x:f>IFERROR(__xludf.DUMMYFUNCTION("""COMPUTED_VALUE"""),"2002")</x:f>
      </x:c>
    </x:row>
    <x:row r="1361" spans="1:10">
      <x:c r="A1361" s="1" t="s">
        <x:v>1370</x:v>
      </x:c>
      <x:c r="B1361" s="1">
        <x:f>IFERROR(__xludf.DUMMYFUNCTION("""COMPUTED_VALUE"""),"Desclassificats")</x:f>
      </x:c>
      <x:c r="C1361" s="1">
        <x:f>IFERROR(__xludf.DUMMYFUNCTION("""COMPUTED_VALUE"""),"2012")</x:f>
      </x:c>
    </x:row>
    <x:row r="1362" spans="1:10">
      <x:c r="A1362" s="1" t="s">
        <x:v>1371</x:v>
      </x:c>
      <x:c r="B1362" s="1">
        <x:f>IFERROR(__xludf.DUMMYFUNCTION("""COMPUTED_VALUE"""),"Descobrint els Robinsons")</x:f>
      </x:c>
      <x:c r="C1362" s="1">
        <x:f>IFERROR(__xludf.DUMMYFUNCTION("""COMPUTED_VALUE"""),"2007")</x:f>
      </x:c>
    </x:row>
    <x:row r="1363" spans="1:10">
      <x:c r="A1363" s="1" t="s">
        <x:v>1372</x:v>
      </x:c>
      <x:c r="B1363" s="1">
        <x:f>IFERROR(__xludf.DUMMYFUNCTION("""COMPUTED_VALUE"""),"Descobrir el País de Mai Més")</x:f>
      </x:c>
      <x:c r="C1363" s="1">
        <x:f>IFERROR(__xludf.DUMMYFUNCTION("""COMPUTED_VALUE"""),"2004")</x:f>
      </x:c>
    </x:row>
    <x:row r="1364" spans="1:10">
      <x:c r="A1364" s="1" t="s">
        <x:v>1373</x:v>
      </x:c>
      <x:c r="B1364" s="1">
        <x:f>IFERROR(__xludf.DUMMYFUNCTION("""COMPUTED_VALUE"""),"Desconnectats")</x:f>
      </x:c>
      <x:c r="C1364" s="1">
        <x:f>IFERROR(__xludf.DUMMYFUNCTION("""COMPUTED_VALUE"""),"2025")</x:f>
      </x:c>
    </x:row>
    <x:row r="1365" spans="1:10">
      <x:c r="A1365" s="1" t="s">
        <x:v>1374</x:v>
      </x:c>
      <x:c r="B1365" s="1">
        <x:f>IFERROR(__xludf.DUMMYFUNCTION("""COMPUTED_VALUE"""),"Desert")</x:f>
      </x:c>
      <x:c r="C1365" s="1">
        <x:f>IFERROR(__xludf.DUMMYFUNCTION("""COMPUTED_VALUE"""),"2015")</x:f>
      </x:c>
    </x:row>
    <x:row r="1366" spans="1:10">
      <x:c r="A1366" s="1" t="s">
        <x:v>1375</x:v>
      </x:c>
      <x:c r="B1366" s="1">
        <x:f>IFERROR(__xludf.DUMMYFUNCTION("""COMPUTED_VALUE"""),"Desierto")</x:f>
      </x:c>
      <x:c r="C1366" s="1">
        <x:f>IFERROR(__xludf.DUMMYFUNCTION("""COMPUTED_VALUE"""),"2015")</x:f>
      </x:c>
    </x:row>
    <x:row r="1367" spans="1:10">
      <x:c r="A1367" s="1" t="s">
        <x:v>1376</x:v>
      </x:c>
      <x:c r="B1367" s="1">
        <x:f>IFERROR(__xludf.DUMMYFUNCTION("""COMPUTED_VALUE"""),"Desitjant estimar")</x:f>
      </x:c>
      <x:c r="C1367" s="1">
        <x:f>IFERROR(__xludf.DUMMYFUNCTION("""COMPUTED_VALUE"""),"2000")</x:f>
      </x:c>
    </x:row>
    <x:row r="1368" spans="1:10">
      <x:c r="A1368" s="1" t="s">
        <x:v>1377</x:v>
      </x:c>
      <x:c r="B1368" s="1">
        <x:f>IFERROR(__xludf.DUMMYFUNCTION("""COMPUTED_VALUE"""),"Desitjant llibertat")</x:f>
      </x:c>
      <x:c r="C1368" s="1">
        <x:f>IFERROR(__xludf.DUMMYFUNCTION("""COMPUTED_VALUE"""),"2004")</x:f>
      </x:c>
    </x:row>
    <x:row r="1369" spans="1:10">
      <x:c r="A1369" s="1" t="s">
        <x:v>1378</x:v>
      </x:c>
      <x:c r="B1369" s="1">
        <x:f>IFERROR(__xludf.DUMMYFUNCTION("""COMPUTED_VALUE"""),"Deslliureu-nos del mal")</x:f>
      </x:c>
      <x:c r="C1369" s="1">
        <x:f>IFERROR(__xludf.DUMMYFUNCTION("""COMPUTED_VALUE"""),"2014")</x:f>
      </x:c>
    </x:row>
    <x:row r="1370" spans="1:10">
      <x:c r="A1370" s="1" t="s">
        <x:v>1379</x:v>
      </x:c>
      <x:c r="B1370" s="1">
        <x:f>IFERROR(__xludf.DUMMYFUNCTION("""COMPUTED_VALUE"""),"Desmembrats")</x:f>
      </x:c>
      <x:c r="C1370" s="1">
        <x:f>IFERROR(__xludf.DUMMYFUNCTION("""COMPUTED_VALUE"""),"2006")</x:f>
      </x:c>
    </x:row>
    <x:row r="1371" spans="1:10">
      <x:c r="A1371" s="1" t="s">
        <x:v>1380</x:v>
      </x:c>
      <x:c r="B1371" s="1">
        <x:f>IFERROR(__xludf.DUMMYFUNCTION("""COMPUTED_VALUE"""),"Desmuntant Harry")</x:f>
      </x:c>
      <x:c r="C1371" s="1">
        <x:f>IFERROR(__xludf.DUMMYFUNCTION("""COMPUTED_VALUE"""),"1997")</x:f>
      </x:c>
    </x:row>
    <x:row r="1372" spans="1:10">
      <x:c r="A1372" s="1" t="s">
        <x:v>1381</x:v>
      </x:c>
      <x:c r="B1372" s="1">
        <x:f>IFERROR(__xludf.DUMMYFUNCTION("""COMPUTED_VALUE"""),"Desmuntant Leonardo")</x:f>
      </x:c>
      <x:c r="C1372" s="1">
        <x:f>IFERROR(__xludf.DUMMYFUNCTION("""COMPUTED_VALUE"""),"2014")</x:f>
      </x:c>
    </x:row>
    <x:row r="1373" spans="1:10">
      <x:c r="A1373" s="1" t="s">
        <x:v>1382</x:v>
      </x:c>
      <x:c r="B1373" s="1">
        <x:f>IFERROR(__xludf.DUMMYFUNCTION("""COMPUTED_VALUE"""),"Despenjant la lluna")</x:f>
      </x:c>
      <x:c r="C1373" s="1">
        <x:f>IFERROR(__xludf.DUMMYFUNCTION("""COMPUTED_VALUE"""),"2004")</x:f>
      </x:c>
    </x:row>
    <x:row r="1374" spans="1:10">
      <x:c r="A1374" s="1" t="s">
        <x:v>1383</x:v>
      </x:c>
      <x:c r="B1374" s="1">
        <x:f>IFERROR(__xludf.DUMMYFUNCTION("""COMPUTED_VALUE"""),"Desperado")</x:f>
      </x:c>
      <x:c r="C1374" s="1">
        <x:f>IFERROR(__xludf.DUMMYFUNCTION("""COMPUTED_VALUE"""),"1995")</x:f>
      </x:c>
    </x:row>
    <x:row r="1375" spans="1:10">
      <x:c r="A1375" s="1" t="s">
        <x:v>1384</x:v>
      </x:c>
      <x:c r="B1375" s="1">
        <x:f>IFERROR(__xludf.DUMMYFUNCTION("""COMPUTED_VALUE"""),"Despertant en Ned")</x:f>
      </x:c>
      <x:c r="C1375" s="1">
        <x:f>IFERROR(__xludf.DUMMYFUNCTION("""COMPUTED_VALUE"""),"1998")</x:f>
      </x:c>
    </x:row>
    <x:row r="1376" spans="1:10">
      <x:c r="A1376" s="1" t="s">
        <x:v>1385</x:v>
      </x:c>
      <x:c r="B1376" s="1">
        <x:f>IFERROR(__xludf.DUMMYFUNCTION("""COMPUTED_VALUE"""),"Despertar")</x:f>
      </x:c>
      <x:c r="C1376" s="1">
        <x:f>IFERROR(__xludf.DUMMYFUNCTION("""COMPUTED_VALUE"""),"1990")</x:f>
      </x:c>
    </x:row>
    <x:row r="1377" spans="1:10">
      <x:c r="A1377" s="1" t="s">
        <x:v>1386</x:v>
      </x:c>
      <x:c r="B1377" s="1">
        <x:f>IFERROR(__xludf.DUMMYFUNCTION("""COMPUTED_VALUE"""),"Després de la pluja")</x:f>
      </x:c>
      <x:c r="C1377" s="1">
        <x:f>IFERROR(__xludf.DUMMYFUNCTION("""COMPUTED_VALUE"""),"2007")</x:f>
      </x:c>
    </x:row>
    <x:row r="1378" spans="1:10">
      <x:c r="A1378" s="1" t="s">
        <x:v>1387</x:v>
      </x:c>
      <x:c r="B1378" s="1">
        <x:f>IFERROR(__xludf.DUMMYFUNCTION("""COMPUTED_VALUE"""),"Després de nosaltres")</x:f>
      </x:c>
      <x:c r="C1378" s="1">
        <x:f>IFERROR(__xludf.DUMMYFUNCTION("""COMPUTED_VALUE"""),"2016")</x:f>
      </x:c>
    </x:row>
    <x:row r="1379" spans="1:10">
      <x:c r="A1379" s="1" t="s">
        <x:v>1388</x:v>
      </x:c>
      <x:c r="B1379" s="1">
        <x:f>IFERROR(__xludf.DUMMYFUNCTION("""COMPUTED_VALUE"""),"Després del casament")</x:f>
      </x:c>
      <x:c r="C1379" s="1">
        <x:f>IFERROR(__xludf.DUMMYFUNCTION("""COMPUTED_VALUE"""),"2019")</x:f>
      </x:c>
    </x:row>
    <x:row r="1380" spans="1:10">
      <x:c r="A1380" s="1" t="s">
        <x:v>1389</x:v>
      </x:c>
      <x:c r="B1380" s="1">
        <x:f>IFERROR(__xludf.DUMMYFUNCTION("""COMPUTED_VALUE"""),"Després del Maig")</x:f>
      </x:c>
      <x:c r="C1380" s="1">
        <x:f>IFERROR(__xludf.DUMMYFUNCTION("""COMPUTED_VALUE"""),"2012")</x:f>
      </x:c>
    </x:row>
    <x:row r="1381" spans="1:10">
      <x:c r="A1381" s="1" t="s">
        <x:v>1390</x:v>
      </x:c>
      <x:c r="B1381" s="1">
        <x:f>IFERROR(__xludf.DUMMYFUNCTION("""COMPUTED_VALUE"""),"Destí paradís")</x:f>
      </x:c>
      <x:c r="C1381" s="1">
        <x:f>IFERROR(__xludf.DUMMYFUNCTION("""COMPUTED_VALUE"""),"2006")</x:f>
      </x:c>
    </x:row>
    <x:row r="1382" spans="1:10">
      <x:c r="A1382" s="1" t="s">
        <x:v>1391</x:v>
      </x:c>
      <x:c r="B1382" s="1">
        <x:f>IFERROR(__xludf.DUMMYFUNCTION("""COMPUTED_VALUE"""),"Destinació final 3")</x:f>
      </x:c>
      <x:c r="C1382" s="1">
        <x:f>IFERROR(__xludf.DUMMYFUNCTION("""COMPUTED_VALUE"""),"2006")</x:f>
      </x:c>
    </x:row>
    <x:row r="1383" spans="1:10">
      <x:c r="A1383" s="1" t="s">
        <x:v>1392</x:v>
      </x:c>
      <x:c r="B1383" s="1">
        <x:f>IFERROR(__xludf.DUMMYFUNCTION("""COMPUTED_VALUE"""),"Destinació final 4")</x:f>
      </x:c>
      <x:c r="C1383" s="1">
        <x:f>IFERROR(__xludf.DUMMYFUNCTION("""COMPUTED_VALUE"""),"2009")</x:f>
      </x:c>
    </x:row>
    <x:row r="1384" spans="1:10">
      <x:c r="A1384" s="1" t="s">
        <x:v>1393</x:v>
      </x:c>
      <x:c r="B1384" s="1">
        <x:f>IFERROR(__xludf.DUMMYFUNCTION("""COMPUTED_VALUE"""),"Destinació final 5")</x:f>
      </x:c>
      <x:c r="C1384" s="1">
        <x:f>IFERROR(__xludf.DUMMYFUNCTION("""COMPUTED_VALUE"""),"2011")</x:f>
      </x:c>
    </x:row>
    <x:row r="1385" spans="1:10">
      <x:c r="A1385" s="1" t="s">
        <x:v>1394</x:v>
      </x:c>
      <x:c r="B1385" s="1">
        <x:f>IFERROR(__xludf.DUMMYFUNCTION("""COMPUTED_VALUE"""),"Destinació Marràqueix")</x:f>
      </x:c>
      <x:c r="C1385" s="1">
        <x:f>IFERROR(__xludf.DUMMYFUNCTION("""COMPUTED_VALUE"""),"2013")</x:f>
      </x:c>
    </x:row>
    <x:row r="1386" spans="1:10">
      <x:c r="A1386" s="1" t="s">
        <x:v>1395</x:v>
      </x:c>
      <x:c r="B1386" s="1">
        <x:f>IFERROR(__xludf.DUMMYFUNCTION("""COMPUTED_VALUE"""),"Destins")</x:f>
      </x:c>
      <x:c r="C1386" s="1">
        <x:f>IFERROR(__xludf.DUMMYFUNCTION("""COMPUTED_VALUE"""),"2017")</x:f>
      </x:c>
    </x:row>
    <x:row r="1387" spans="1:10">
      <x:c r="A1387" s="1" t="s">
        <x:v>1396</x:v>
      </x:c>
      <x:c r="B1387" s="1">
        <x:f>IFERROR(__xludf.DUMMYFUNCTION("""COMPUTED_VALUE"""),"Desvelades")</x:f>
      </x:c>
      <x:c r="C1387" s="1">
        <x:f>IFERROR(__xludf.DUMMYFUNCTION("""COMPUTED_VALUE"""),"2018")</x:f>
      </x:c>
    </x:row>
    <x:row r="1388" spans="1:10">
      <x:c r="A1388" s="1" t="s">
        <x:v>1397</x:v>
      </x:c>
      <x:c r="B1388" s="1">
        <x:f>IFERROR(__xludf.DUMMYFUNCTION("""COMPUTED_VALUE"""),"Desviació")</x:f>
      </x:c>
      <x:c r="C1388" s="1">
        <x:f>IFERROR(__xludf.DUMMYFUNCTION("""COMPUTED_VALUE"""),"1945")</x:f>
      </x:c>
    </x:row>
    <x:row r="1389" spans="1:10">
      <x:c r="A1389" s="1" t="s">
        <x:v>1398</x:v>
      </x:c>
      <x:c r="B1389" s="1">
        <x:f>IFERROR(__xludf.DUMMYFUNCTION("""COMPUTED_VALUE"""),"Desxifrant l'Enigma")</x:f>
      </x:c>
      <x:c r="C1389" s="1">
        <x:f>IFERROR(__xludf.DUMMYFUNCTION("""COMPUTED_VALUE"""),"2014")</x:f>
      </x:c>
    </x:row>
    <x:row r="1390" spans="1:10">
      <x:c r="A1390" s="1" t="s">
        <x:v>1399</x:v>
      </x:c>
      <x:c r="B1390" s="1">
        <x:f>IFERROR(__xludf.DUMMYFUNCTION("""COMPUTED_VALUE"""),"Detectiu Conan: Black Iron Mystery Train")</x:f>
      </x:c>
      <x:c r="C1390" s="1">
        <x:f>IFERROR(__xludf.DUMMYFUNCTION("""COMPUTED_VALUE"""),"2023")</x:f>
      </x:c>
    </x:row>
    <x:row r="1391" spans="1:10">
      <x:c r="A1391" s="1" t="s">
        <x:v>1400</x:v>
      </x:c>
      <x:c r="B1391" s="1">
        <x:f>IFERROR(__xludf.DUMMYFUNCTION("""COMPUTED_VALUE"""),"Detroit")</x:f>
      </x:c>
      <x:c r="C1391" s="1">
        <x:f>IFERROR(__xludf.DUMMYFUNCTION("""COMPUTED_VALUE"""),"2017")</x:f>
      </x:c>
    </x:row>
    <x:row r="1392" spans="1:10">
      <x:c r="A1392" s="1" t="s">
        <x:v>1401</x:v>
      </x:c>
      <x:c r="B1392" s="1">
        <x:f>IFERROR(__xludf.DUMMYFUNCTION("""COMPUTED_VALUE"""),"Déu meu, però què ens has fet?")</x:f>
      </x:c>
      <x:c r="C1392" s="1">
        <x:f>IFERROR(__xludf.DUMMYFUNCTION("""COMPUTED_VALUE"""),"2021")</x:f>
      </x:c>
    </x:row>
    <x:row r="1393" spans="1:10">
      <x:c r="A1393" s="1" t="s">
        <x:v>1402</x:v>
      </x:c>
      <x:c r="B1393" s="1">
        <x:f>IFERROR(__xludf.DUMMYFUNCTION("""COMPUTED_VALUE"""),"Déu meu, però què t'hem fet?")</x:f>
      </x:c>
      <x:c r="C1393" s="1">
        <x:f>IFERROR(__xludf.DUMMYFUNCTION("""COMPUTED_VALUE"""),"2014")</x:f>
      </x:c>
    </x:row>
    <x:row r="1394" spans="1:10">
      <x:c r="A1394" s="1" t="s">
        <x:v>1403</x:v>
      </x:c>
      <x:c r="B1394" s="1">
        <x:f>IFERROR(__xludf.DUMMYFUNCTION("""COMPUTED_VALUE"""),"Déu meu, però què t'hem fet... ara?")</x:f>
      </x:c>
      <x:c r="C1394" s="1">
        <x:f>IFERROR(__xludf.DUMMYFUNCTION("""COMPUTED_VALUE"""),"2019")</x:f>
      </x:c>
    </x:row>
    <x:row r="1395" spans="1:10">
      <x:c r="A1395" s="1" t="s">
        <x:v>1404</x:v>
      </x:c>
      <x:c r="B1395" s="1">
        <x:f>IFERROR(__xludf.DUMMYFUNCTION("""COMPUTED_VALUE"""),"Deu negrets")</x:f>
      </x:c>
      <x:c r="C1395" s="1">
        <x:f>IFERROR(__xludf.DUMMYFUNCTION("""COMPUTED_VALUE"""),"1974")</x:f>
      </x:c>
    </x:row>
    <x:row r="1396" spans="1:10">
      <x:c r="A1396" s="1" t="s">
        <x:v>1405</x:v>
      </x:c>
      <x:c r="B1396" s="1">
        <x:f>IFERROR(__xludf.DUMMYFUNCTION("""COMPUTED_VALUE"""),"Deu ser que ningú és perfecte")</x:f>
      </x:c>
      <x:c r="C1396" s="1">
        <x:f>IFERROR(__xludf.DUMMYFUNCTION("""COMPUTED_VALUE"""),"2006")</x:f>
      </x:c>
    </x:row>
    <x:row r="1397" spans="1:10">
      <x:c r="A1397" s="1" t="s">
        <x:v>1406</x:v>
      </x:c>
      <x:c r="B1397" s="1">
        <x:f>IFERROR(__xludf.DUMMYFUNCTION("""COMPUTED_VALUE"""),"Déu, per què ets tan idiota?")</x:f>
      </x:c>
      <x:c r="C1397" s="1">
        <x:f>IFERROR(__xludf.DUMMYFUNCTION("""COMPUTED_VALUE"""),"2020")</x:f>
      </x:c>
    </x:row>
    <x:row r="1398" spans="1:10">
      <x:c r="A1398" s="1" t="s">
        <x:v>1407</x:v>
      </x:c>
      <x:c r="B1398" s="1">
        <x:f>IFERROR(__xludf.DUMMYFUNCTION("""COMPUTED_VALUE"""),"Deute de sang")</x:f>
      </x:c>
      <x:c r="C1398" s="1">
        <x:f>IFERROR(__xludf.DUMMYFUNCTION("""COMPUTED_VALUE"""),"2002")</x:f>
      </x:c>
    </x:row>
    <x:row r="1399" spans="1:10">
      <x:c r="A1399" s="1" t="s">
        <x:v>1408</x:v>
      </x:c>
      <x:c r="B1399" s="1">
        <x:f>IFERROR(__xludf.DUMMYFUNCTION("""COMPUTED_VALUE"""),"Devoció fatal")</x:f>
      </x:c>
      <x:c r="C1399" s="1">
        <x:f>IFERROR(__xludf.DUMMYFUNCTION("""COMPUTED_VALUE"""),"2021")</x:f>
      </x:c>
    </x:row>
    <x:row r="1400" spans="1:10">
      <x:c r="A1400" s="1" t="s">
        <x:v>1409</x:v>
      </x:c>
      <x:c r="B1400" s="1">
        <x:f>IFERROR(__xludf.DUMMYFUNCTION("""COMPUTED_VALUE"""),"Devotion. Una història d'herois")</x:f>
      </x:c>
      <x:c r="C1400" s="1">
        <x:f>IFERROR(__xludf.DUMMYFUNCTION("""COMPUTED_VALUE"""),"2022")</x:f>
      </x:c>
    </x:row>
    <x:row r="1401" spans="1:10">
      <x:c r="A1401" s="1" t="s">
        <x:v>1410</x:v>
      </x:c>
      <x:c r="B1401" s="1">
        <x:f>IFERROR(__xludf.DUMMYFUNCTION("""COMPUTED_VALUE"""),"Di Di Hollywood")</x:f>
      </x:c>
      <x:c r="C1401" s="1">
        <x:f>IFERROR(__xludf.DUMMYFUNCTION("""COMPUTED_VALUE"""),"2010")</x:f>
      </x:c>
    </x:row>
    <x:row r="1402" spans="1:10">
      <x:c r="A1402" s="1" t="s">
        <x:v>1411</x:v>
      </x:c>
      <x:c r="B1402" s="1">
        <x:f>IFERROR(__xludf.DUMMYFUNCTION("""COMPUTED_VALUE"""),"Dia de patriotes")</x:f>
      </x:c>
      <x:c r="C1402" s="1">
        <x:f>IFERROR(__xludf.DUMMYFUNCTION("""COMPUTED_VALUE"""),"2016")</x:f>
      </x:c>
    </x:row>
    <x:row r="1403" spans="1:10">
      <x:c r="A1403" s="1" t="s">
        <x:v>1412</x:v>
      </x:c>
      <x:c r="B1403" s="1">
        <x:f>IFERROR(__xludf.DUMMYFUNCTION("""COMPUTED_VALUE"""),"Dia de pluja a Nova York")</x:f>
      </x:c>
      <x:c r="C1403" s="1">
        <x:f>IFERROR(__xludf.DUMMYFUNCTION("""COMPUTED_VALUE"""),"2019")</x:f>
      </x:c>
    </x:row>
    <x:row r="1404" spans="1:10">
      <x:c r="A1404" s="1" t="s">
        <x:v>1413</x:v>
      </x:c>
      <x:c r="B1404" s="1">
        <x:f>IFERROR(__xludf.DUMMYFUNCTION("""COMPUTED_VALUE"""),"Dia i nit")</x:f>
      </x:c>
      <x:c r="C1404" s="1">
        <x:f>IFERROR(__xludf.DUMMYFUNCTION("""COMPUTED_VALUE"""),"2010")</x:f>
      </x:c>
    </x:row>
    <x:row r="1405" spans="1:10">
      <x:c r="A1405" s="1" t="s">
        <x:v>1414</x:v>
      </x:c>
      <x:c r="B1405" s="1">
        <x:f>IFERROR(__xludf.DUMMYFUNCTION("""COMPUTED_VALUE"""),"Diabolik")</x:f>
      </x:c>
      <x:c r="C1405" s="1">
        <x:f>IFERROR(__xludf.DUMMYFUNCTION("""COMPUTED_VALUE"""),"2021")</x:f>
      </x:c>
    </x:row>
    <x:row r="1406" spans="1:10">
      <x:c r="A1406" s="1" t="s">
        <x:v>1415</x:v>
      </x:c>
      <x:c r="B1406" s="1">
        <x:f>IFERROR(__xludf.DUMMYFUNCTION("""COMPUTED_VALUE"""),"Diamant de sang")</x:f>
      </x:c>
      <x:c r="C1406" s="1">
        <x:f>IFERROR(__xludf.DUMMYFUNCTION("""COMPUTED_VALUE"""),"2006")</x:f>
      </x:c>
    </x:row>
    <x:row r="1407" spans="1:10">
      <x:c r="A1407" s="1" t="s">
        <x:v>1416</x:v>
      </x:c>
      <x:c r="B1407" s="1">
        <x:f>IFERROR(__xludf.DUMMYFUNCTION("""COMPUTED_VALUE"""),"Diamanti")</x:f>
      </x:c>
      <x:c r="C1407" s="1">
        <x:f>IFERROR(__xludf.DUMMYFUNCTION("""COMPUTED_VALUE"""),"2024")</x:f>
      </x:c>
    </x:row>
    <x:row r="1408" spans="1:10">
      <x:c r="A1408" s="1" t="s">
        <x:v>1417</x:v>
      </x:c>
      <x:c r="B1408" s="1">
        <x:f>IFERROR(__xludf.DUMMYFUNCTION("""COMPUTED_VALUE"""),"Diamants per a l'eternitat")</x:f>
      </x:c>
      <x:c r="C1408" s="1">
        <x:f>IFERROR(__xludf.DUMMYFUNCTION("""COMPUTED_VALUE"""),"1971")</x:f>
      </x:c>
    </x:row>
    <x:row r="1409" spans="1:10">
      <x:c r="A1409" s="1" t="s">
        <x:v>1418</x:v>
      </x:c>
      <x:c r="B1409" s="1">
        <x:f>IFERROR(__xludf.DUMMYFUNCTION("""COMPUTED_VALUE"""),"Diana")</x:f>
      </x:c>
      <x:c r="C1409" s="1">
        <x:f>IFERROR(__xludf.DUMMYFUNCTION("""COMPUTED_VALUE"""),"2013")</x:f>
      </x:c>
    </x:row>
    <x:row r="1410" spans="1:10">
      <x:c r="A1410" s="1" t="s">
        <x:v>1419</x:v>
      </x:c>
      <x:c r="B1410" s="1">
        <x:f>IFERROR(__xludf.DUMMYFUNCTION("""COMPUTED_VALUE"""),"Diari d'un escàndol")</x:f>
      </x:c>
      <x:c r="C1410" s="1">
        <x:f>IFERROR(__xludf.DUMMYFUNCTION("""COMPUTED_VALUE"""),"2006")</x:f>
      </x:c>
    </x:row>
    <x:row r="1411" spans="1:10">
      <x:c r="A1411" s="1" t="s">
        <x:v>1420</x:v>
      </x:c>
      <x:c r="B1411" s="1">
        <x:f>IFERROR(__xludf.DUMMYFUNCTION("""COMPUTED_VALUE"""),"Diari d'un executiu agressiu")</x:f>
      </x:c>
      <x:c r="C1411" s="1">
        <x:f>IFERROR(__xludf.DUMMYFUNCTION("""COMPUTED_VALUE"""),"2006")</x:f>
      </x:c>
    </x:row>
    <x:row r="1412" spans="1:10">
      <x:c r="A1412" s="1" t="s">
        <x:v>1421</x:v>
      </x:c>
      <x:c r="B1412" s="1">
        <x:f>IFERROR(__xludf.DUMMYFUNCTION("""COMPUTED_VALUE"""),"Diari d'un rebel")</x:f>
      </x:c>
      <x:c r="C1412" s="1">
        <x:f>IFERROR(__xludf.DUMMYFUNCTION("""COMPUTED_VALUE"""),"1995")</x:f>
      </x:c>
    </x:row>
    <x:row r="1413" spans="1:10">
      <x:c r="A1413" s="1" t="s">
        <x:v>1422</x:v>
      </x:c>
      <x:c r="B1413" s="1">
        <x:f>IFERROR(__xludf.DUMMYFUNCTION("""COMPUTED_VALUE"""),"Diari d'una indecisa")</x:f>
      </x:c>
      <x:c r="C1413" s="1">
        <x:f>IFERROR(__xludf.DUMMYFUNCTION("""COMPUTED_VALUE"""),"2017")</x:f>
      </x:c>
    </x:row>
    <x:row r="1414" spans="1:10">
      <x:c r="A1414" s="1" t="s">
        <x:v>1423</x:v>
      </x:c>
      <x:c r="B1414" s="1">
        <x:f>IFERROR(__xludf.DUMMYFUNCTION("""COMPUTED_VALUE"""),"Diari d'una mainadera")</x:f>
      </x:c>
      <x:c r="C1414" s="1">
        <x:f>IFERROR(__xludf.DUMMYFUNCTION("""COMPUTED_VALUE"""),"2007")</x:f>
      </x:c>
    </x:row>
    <x:row r="1415" spans="1:10">
      <x:c r="A1415" s="1" t="s">
        <x:v>1424</x:v>
      </x:c>
      <x:c r="B1415" s="1">
        <x:f>IFERROR(__xludf.DUMMYFUNCTION("""COMPUTED_VALUE"""),"Diari d'una nimfòmana")</x:f>
      </x:c>
      <x:c r="C1415" s="1">
        <x:f>IFERROR(__xludf.DUMMYFUNCTION("""COMPUTED_VALUE"""),"2008")</x:f>
      </x:c>
    </x:row>
    <x:row r="1416" spans="1:10">
      <x:c r="A1416" s="1" t="s">
        <x:v>1425</x:v>
      </x:c>
      <x:c r="B1416" s="1">
        <x:f>IFERROR(__xludf.DUMMYFUNCTION("""COMPUTED_VALUE"""),"Diari de la meva sextorsió")</x:f>
      </x:c>
      <x:c r="C1416" s="1">
        <x:f>IFERROR(__xludf.DUMMYFUNCTION("""COMPUTED_VALUE"""),"2024")</x:f>
      </x:c>
    </x:row>
    <x:row r="1417" spans="1:10">
      <x:c r="A1417" s="1" t="s">
        <x:v>1426</x:v>
      </x:c>
      <x:c r="B1417" s="1">
        <x:f>IFERROR(__xludf.DUMMYFUNCTION("""COMPUTED_VALUE"""),"Diaz: no netegeu aquesta sang")</x:f>
      </x:c>
      <x:c r="C1417" s="1">
        <x:f>IFERROR(__xludf.DUMMYFUNCTION("""COMPUTED_VALUE"""),"2012")</x:f>
      </x:c>
    </x:row>
    <x:row r="1418" spans="1:10">
      <x:c r="A1418" s="1" t="s">
        <x:v>1427</x:v>
      </x:c>
      <x:c r="B1418" s="1">
        <x:f>IFERROR(__xludf.DUMMYFUNCTION("""COMPUTED_VALUE"""),"Dictat")</x:f>
      </x:c>
      <x:c r="C1418" s="1">
        <x:f>IFERROR(__xludf.DUMMYFUNCTION("""COMPUTED_VALUE"""),"2012")</x:f>
      </x:c>
    </x:row>
    <x:row r="1419" spans="1:10">
      <x:c r="A1419" s="1" t="s">
        <x:v>1428</x:v>
      </x:c>
      <x:c r="B1419" s="1">
        <x:f>IFERROR(__xludf.DUMMYFUNCTION("""COMPUTED_VALUE"""),"Didier, el meu fidel amic")</x:f>
      </x:c>
      <x:c r="C1419" s="1">
        <x:f>IFERROR(__xludf.DUMMYFUNCTION("""COMPUTED_VALUE"""),"1997")</x:f>
      </x:c>
    </x:row>
    <x:row r="1420" spans="1:10">
      <x:c r="A1420" s="1" t="s">
        <x:v>1429</x:v>
      </x:c>
      <x:c r="B1420" s="1">
        <x:f>IFERROR(__xludf.DUMMYFUNCTION("""COMPUTED_VALUE"""),"Dies d'agost")</x:f>
      </x:c>
      <x:c r="C1420" s="1">
        <x:f>IFERROR(__xludf.DUMMYFUNCTION("""COMPUTED_VALUE"""),"2006")</x:f>
      </x:c>
    </x:row>
    <x:row r="1421" spans="1:10">
      <x:c r="A1421" s="1" t="s">
        <x:v>1430</x:v>
      </x:c>
      <x:c r="B1421" s="1">
        <x:f>IFERROR(__xludf.DUMMYFUNCTION("""COMPUTED_VALUE"""),"Dies de glòria")</x:f>
      </x:c>
      <x:c r="C1421" s="1">
        <x:f>IFERROR(__xludf.DUMMYFUNCTION("""COMPUTED_VALUE"""),"2006")</x:f>
      </x:c>
    </x:row>
    <x:row r="1422" spans="1:10">
      <x:c r="A1422" s="1" t="s">
        <x:v>1431</x:v>
      </x:c>
      <x:c r="B1422" s="1">
        <x:f>IFERROR(__xludf.DUMMYFUNCTION("""COMPUTED_VALUE"""),"Dies perduts")</x:f>
      </x:c>
      <x:c r="C1422" s="1">
        <x:f>IFERROR(__xludf.DUMMYFUNCTION("""COMPUTED_VALUE"""),"1945")</x:f>
      </x:c>
    </x:row>
    <x:row r="1423" spans="1:10">
      <x:c r="A1423" s="1" t="s">
        <x:v>1432</x:v>
      </x:c>
      <x:c r="B1423" s="1">
        <x:f>IFERROR(__xludf.DUMMYFUNCTION("""COMPUTED_VALUE"""),"Dieta mediterrània")</x:f>
      </x:c>
      <x:c r="C1423" s="1">
        <x:f>IFERROR(__xludf.DUMMYFUNCTION("""COMPUTED_VALUE"""),"2009")</x:f>
      </x:c>
    </x:row>
    <x:row r="1424" spans="1:10">
      <x:c r="A1424" s="1" t="s">
        <x:v>1433</x:v>
      </x:c>
      <x:c r="B1424" s="1">
        <x:f>IFERROR(__xludf.DUMMYFUNCTION("""COMPUTED_VALUE"""),"Digimon Adventure: L’última evolució Kizuna")</x:f>
      </x:c>
      <x:c r="C1424" s="1">
        <x:f>IFERROR(__xludf.DUMMYFUNCTION("""COMPUTED_VALUE"""),"2020")</x:f>
      </x:c>
    </x:row>
    <x:row r="1425" spans="1:10">
      <x:c r="A1425" s="1" t="s">
        <x:v>1434</x:v>
      </x:c>
      <x:c r="B1425" s="1">
        <x:f>IFERROR(__xludf.DUMMYFUNCTION("""COMPUTED_VALUE"""),"Digue'm Noel")</x:f>
      </x:c>
      <x:c r="C1425" s="1">
        <x:f>IFERROR(__xludf.DUMMYFUNCTION("""COMPUTED_VALUE"""),"2001")</x:f>
      </x:c>
    </x:row>
    <x:row r="1426" spans="1:10">
      <x:c r="A1426" s="1" t="s">
        <x:v>1435</x:v>
      </x:c>
      <x:c r="B1426" s="1">
        <x:f>IFERROR(__xludf.DUMMYFUNCTION("""COMPUTED_VALUE"""),"Digue'm Peter")</x:f>
      </x:c>
      <x:c r="C1426" s="1">
        <x:f>IFERROR(__xludf.DUMMYFUNCTION("""COMPUTED_VALUE"""),"2004")</x:f>
      </x:c>
    </x:row>
    <x:row r="1427" spans="1:10">
      <x:c r="A1427" s="1" t="s">
        <x:v>1436</x:v>
      </x:c>
      <x:c r="B1427" s="1">
        <x:f>IFERROR(__xludf.DUMMYFUNCTION("""COMPUTED_VALUE"""),"Dilili a París")</x:f>
      </x:c>
      <x:c r="C1427" s="1">
        <x:f>IFERROR(__xludf.DUMMYFUNCTION("""COMPUTED_VALUE"""),"2018")</x:f>
      </x:c>
    </x:row>
    <x:row r="1428" spans="1:10">
      <x:c r="A1428" s="1" t="s">
        <x:v>1437</x:v>
      </x:c>
      <x:c r="B1428" s="1">
        <x:f>IFERROR(__xludf.DUMMYFUNCTION("""COMPUTED_VALUE"""),"Dimecres boig")</x:f>
      </x:c>
      <x:c r="C1428" s="1">
        <x:f>IFERROR(__xludf.DUMMYFUNCTION("""COMPUTED_VALUE"""),"1946")</x:f>
      </x:c>
    </x:row>
    <x:row r="1429" spans="1:10">
      <x:c r="A1429" s="1" t="s">
        <x:v>1438</x:v>
      </x:c>
      <x:c r="B1429" s="1">
        <x:f>IFERROR(__xludf.DUMMYFUNCTION("""COMPUTED_VALUE"""),"Diners de sang")</x:f>
      </x:c>
      <x:c r="C1429" s="1">
        <x:f>IFERROR(__xludf.DUMMYFUNCTION("""COMPUTED_VALUE"""),"2017")</x:f>
      </x:c>
    </x:row>
    <x:row r="1430" spans="1:10">
      <x:c r="A1430" s="1" t="s">
        <x:v>1439</x:v>
      </x:c>
      <x:c r="B1430" s="1">
        <x:f>IFERROR(__xludf.DUMMYFUNCTION("""COMPUTED_VALUE"""),"Diners fàcils")</x:f>
      </x:c>
      <x:c r="C1430" s="1">
        <x:f>IFERROR(__xludf.DUMMYFUNCTION("""COMPUTED_VALUE"""),"2010")</x:f>
      </x:c>
    </x:row>
    <x:row r="1431" spans="1:10">
      <x:c r="A1431" s="1" t="s">
        <x:v>1440</x:v>
      </x:c>
      <x:c r="B1431" s="1">
        <x:f>IFERROR(__xludf.DUMMYFUNCTION("""COMPUTED_VALUE"""),"Dino Rex")</x:f>
      </x:c>
      <x:c r="C1431" s="1">
        <x:f>IFERROR(__xludf.DUMMYFUNCTION("""COMPUTED_VALUE"""),"1995")</x:f>
      </x:c>
    </x:row>
    <x:row r="1432" spans="1:10">
      <x:c r="A1432" s="1" t="s">
        <x:v>1441</x:v>
      </x:c>
      <x:c r="B1432" s="1">
        <x:f>IFERROR(__xludf.DUMMYFUNCTION("""COMPUTED_VALUE"""),"Dinosaure")</x:f>
      </x:c>
      <x:c r="C1432" s="1">
        <x:f>IFERROR(__xludf.DUMMYFUNCTION("""COMPUTED_VALUE"""),"2000")</x:f>
      </x:c>
    </x:row>
    <x:row r="1433" spans="1:10">
      <x:c r="A1433" s="1" t="s">
        <x:v>1442</x:v>
      </x:c>
      <x:c r="B1433" s="1">
        <x:f>IFERROR(__xludf.DUMMYFUNCTION("""COMPUTED_VALUE"""),"Dinosaures")</x:f>
      </x:c>
      <x:c r="C1433" s="1">
        <x:f>IFERROR(__xludf.DUMMYFUNCTION("""COMPUTED_VALUE"""),"1960")</x:f>
      </x:c>
    </x:row>
    <x:row r="1434" spans="1:10">
      <x:c r="A1434" s="1" t="s">
        <x:v>1443</x:v>
      </x:c>
      <x:c r="B1434" s="1">
        <x:f>IFERROR(__xludf.DUMMYFUNCTION("""COMPUTED_VALUE"""),"Diplodocus")</x:f>
      </x:c>
      <x:c r="C1434" s="1">
        <x:f>IFERROR(__xludf.DUMMYFUNCTION("""COMPUTED_VALUE"""),"2024")</x:f>
      </x:c>
    </x:row>
    <x:row r="1435" spans="1:10">
      <x:c r="A1435" s="1" t="s">
        <x:v>1444</x:v>
      </x:c>
      <x:c r="B1435" s="1">
        <x:f>IFERROR(__xludf.DUMMYFUNCTION("""COMPUTED_VALUE"""),"Diplomàcia")</x:f>
      </x:c>
      <x:c r="C1435" s="1">
        <x:f>IFERROR(__xludf.DUMMYFUNCTION("""COMPUTED_VALUE"""),"2014")</x:f>
      </x:c>
    </x:row>
    <x:row r="1436" spans="1:10">
      <x:c r="A1436" s="1" t="s">
        <x:v>1445</x:v>
      </x:c>
      <x:c r="B1436" s="1">
        <x:f>IFERROR(__xludf.DUMMYFUNCTION("""COMPUTED_VALUE"""),"Diré el teu nom")</x:f>
      </x:c>
      <x:c r="C1436" s="1">
        <x:f>IFERROR(__xludf.DUMMYFUNCTION("""COMPUTED_VALUE"""),"2016")</x:f>
      </x:c>
    </x:row>
    <x:row r="1437" spans="1:10">
      <x:c r="A1437" s="1" t="s">
        <x:v>1446</x:v>
      </x:c>
      <x:c r="B1437" s="1">
        <x:f>IFERROR(__xludf.DUMMYFUNCTION("""COMPUTED_VALUE"""),"Directe a la fama")</x:f>
      </x:c>
      <x:c r="C1437" s="1">
        <x:f>IFERROR(__xludf.DUMMYFUNCTION("""COMPUTED_VALUE"""),"2009")</x:f>
      </x:c>
    </x:row>
    <x:row r="1438" spans="1:10">
      <x:c r="A1438" s="1" t="s">
        <x:v>1447</x:v>
      </x:c>
      <x:c r="B1438" s="1">
        <x:f>IFERROR(__xludf.DUMMYFUNCTION("""COMPUTED_VALUE"""),"Dirty Dancing")</x:f>
      </x:c>
      <x:c r="C1438" s="1">
        <x:f>IFERROR(__xludf.DUMMYFUNCTION("""COMPUTED_VALUE"""),"1987")</x:f>
      </x:c>
    </x:row>
    <x:row r="1439" spans="1:10">
      <x:c r="A1439" s="1" t="s">
        <x:v>1448</x:v>
      </x:c>
      <x:c r="B1439" s="1">
        <x:f>IFERROR(__xludf.DUMMYFUNCTION("""COMPUTED_VALUE"""),"Disaster Movie")</x:f>
      </x:c>
      <x:c r="C1439" s="1">
        <x:f>IFERROR(__xludf.DUMMYFUNCTION("""COMPUTED_VALUE"""),"2008")</x:f>
      </x:c>
    </x:row>
    <x:row r="1440" spans="1:10">
      <x:c r="A1440" s="1" t="s">
        <x:v>1449</x:v>
      </x:c>
      <x:c r="B1440" s="1">
        <x:f>IFERROR(__xludf.DUMMYFUNCTION("""COMPUTED_VALUE"""),"Disco Boy")</x:f>
      </x:c>
      <x:c r="C1440" s="1">
        <x:f>IFERROR(__xludf.DUMMYFUNCTION("""COMPUTED_VALUE"""),"2023")</x:f>
      </x:c>
    </x:row>
    <x:row r="1441" spans="1:10">
      <x:c r="A1441" s="1" t="s">
        <x:v>1450</x:v>
      </x:c>
      <x:c r="B1441" s="1">
        <x:f>IFERROR(__xludf.DUMMYFUNCTION("""COMPUTED_VALUE"""),"Disparant als gossos")</x:f>
      </x:c>
      <x:c r="C1441" s="1">
        <x:f>IFERROR(__xludf.DUMMYFUNCTION("""COMPUTED_VALUE"""),"2005")</x:f>
      </x:c>
    </x:row>
    <x:row r="1442" spans="1:10">
      <x:c r="A1442" s="1" t="s">
        <x:v>1451</x:v>
      </x:c>
      <x:c r="B1442" s="1">
        <x:f>IFERROR(__xludf.DUMMYFUNCTION("""COMPUTED_VALUE"""),"Districte 9")</x:f>
      </x:c>
      <x:c r="C1442" s="1">
        <x:f>IFERROR(__xludf.DUMMYFUNCTION("""COMPUTED_VALUE"""),"2009")</x:f>
      </x:c>
    </x:row>
    <x:row r="1443" spans="1:10">
      <x:c r="A1443" s="1" t="s">
        <x:v>1452</x:v>
      </x:c>
      <x:c r="B1443" s="1">
        <x:f>IFERROR(__xludf.DUMMYFUNCTION("""COMPUTED_VALUE"""),"Divergent")</x:f>
      </x:c>
      <x:c r="C1443" s="1">
        <x:f>IFERROR(__xludf.DUMMYFUNCTION("""COMPUTED_VALUE"""),"2014")</x:f>
      </x:c>
    </x:row>
    <x:row r="1444" spans="1:10">
      <x:c r="A1444" s="1" t="s">
        <x:v>1453</x:v>
      </x:c>
      <x:c r="B1444" s="1">
        <x:f>IFERROR(__xludf.DUMMYFUNCTION("""COMPUTED_VALUE"""),"DIX [VOSC]")</x:f>
      </x:c>
      <x:c r="C1444" s="1">
        <x:f>IFERROR(__xludf.DUMMYFUNCTION("""COMPUTED_VALUE"""),"2008")</x:f>
      </x:c>
    </x:row>
    <x:row r="1445" spans="1:10">
      <x:c r="A1445" s="1" t="s">
        <x:v>1454</x:v>
      </x:c>
      <x:c r="B1445" s="1">
        <x:f>IFERROR(__xludf.DUMMYFUNCTION("""COMPUTED_VALUE"""),"Django desencadenat")</x:f>
      </x:c>
      <x:c r="C1445" s="1">
        <x:f>IFERROR(__xludf.DUMMYFUNCTION("""COMPUTED_VALUE"""),"2012")</x:f>
      </x:c>
    </x:row>
    <x:row r="1446" spans="1:10">
      <x:c r="A1446" s="1" t="s">
        <x:v>1455</x:v>
      </x:c>
      <x:c r="B1446" s="1">
        <x:f>IFERROR(__xludf.DUMMYFUNCTION("""COMPUTED_VALUE"""),"Django Reinhardt, tres dits genials")</x:f>
      </x:c>
      <x:c r="C1446" s="1">
        <x:f>IFERROR(__xludf.DUMMYFUNCTION("""COMPUTED_VALUE"""),"2010")</x:f>
      </x:c>
    </x:row>
    <x:row r="1447" spans="1:10">
      <x:c r="A1447" s="1" t="s">
        <x:v>1456</x:v>
      </x:c>
      <x:c r="B1447" s="1">
        <x:f>IFERROR(__xludf.DUMMYFUNCTION("""COMPUTED_VALUE"""),"Doble o res")</x:f>
      </x:c>
      <x:c r="C1447" s="1">
        <x:f>IFERROR(__xludf.DUMMYFUNCTION("""COMPUTED_VALUE"""),"2012")</x:f>
      </x:c>
    </x:row>
    <x:row r="1448" spans="1:10">
      <x:c r="A1448" s="1" t="s">
        <x:v>1457</x:v>
      </x:c>
      <x:c r="B1448" s="1">
        <x:f>IFERROR(__xludf.DUMMYFUNCTION("""COMPUTED_VALUE"""),"Doble pecat")</x:f>
      </x:c>
      <x:c r="C1448" s="1">
        <x:f>IFERROR(__xludf.DUMMYFUNCTION("""COMPUTED_VALUE"""),"2009")</x:f>
      </x:c>
    </x:row>
    <x:row r="1449" spans="1:10">
      <x:c r="A1449" s="1" t="s">
        <x:v>1458</x:v>
      </x:c>
      <x:c r="B1449" s="1">
        <x:f>IFERROR(__xludf.DUMMYFUNCTION("""COMPUTED_VALUE"""),"Doble vida")</x:f>
      </x:c>
      <x:c r="C1449" s="1">
        <x:f>IFERROR(__xludf.DUMMYFUNCTION("""COMPUTED_VALUE"""),"1947")</x:f>
      </x:c>
    </x:row>
    <x:row r="1450" spans="1:10">
      <x:c r="A1450" s="1" t="s">
        <x:v>1459</x:v>
      </x:c>
      <x:c r="B1450" s="1">
        <x:f>IFERROR(__xludf.DUMMYFUNCTION("""COMPUTED_VALUE"""),"Doctor Strangelove")</x:f>
      </x:c>
      <x:c r="C1450" s="1">
        <x:f>IFERROR(__xludf.DUMMYFUNCTION("""COMPUTED_VALUE"""),"1964")</x:f>
      </x:c>
    </x:row>
    <x:row r="1451" spans="1:10">
      <x:c r="A1451" s="1" t="s">
        <x:v>1460</x:v>
      </x:c>
      <x:c r="B1451" s="1">
        <x:f>IFERROR(__xludf.DUMMYFUNCTION("""COMPUTED_VALUE"""),"Doctor Who El viatge dels condemnats")</x:f>
      </x:c>
      <x:c r="C1451" s="1">
        <x:f>IFERROR(__xludf.DUMMYFUNCTION("""COMPUTED_VALUE"""),"2007")</x:f>
      </x:c>
    </x:row>
    <x:row r="1452" spans="1:10">
      <x:c r="A1452" s="1" t="s">
        <x:v>1461</x:v>
      </x:c>
      <x:c r="B1452" s="1">
        <x:f>IFERROR(__xludf.DUMMYFUNCTION("""COMPUTED_VALUE"""),"Doctor Zhivago")</x:f>
      </x:c>
      <x:c r="C1452" s="1">
        <x:f>IFERROR(__xludf.DUMMYFUNCTION("""COMPUTED_VALUE"""),"1965")</x:f>
      </x:c>
    </x:row>
    <x:row r="1453" spans="1:10">
      <x:c r="A1453" s="1" t="s">
        <x:v>1462</x:v>
      </x:c>
      <x:c r="B1453" s="1">
        <x:f>IFERROR(__xludf.DUMMYFUNCTION("""COMPUTED_VALUE"""),"Documental Lluís LLach")</x:f>
      </x:c>
      <x:c r="C1453" s="1">
        <x:f>IFERROR(__xludf.DUMMYFUNCTION("""COMPUTED_VALUE"""),"2012")</x:f>
      </x:c>
    </x:row>
    <x:row r="1454" spans="1:10">
      <x:c r="A1454" s="1" t="s">
        <x:v>1463</x:v>
      </x:c>
      <x:c r="B1454" s="1">
        <x:f>IFERROR(__xludf.DUMMYFUNCTION("""COMPUTED_VALUE"""),"Dodu, el nen de cartró")</x:f>
      </x:c>
      <x:c r="C1454" s="1">
        <x:f>IFERROR(__xludf.DUMMYFUNCTION("""COMPUTED_VALUE"""),"2010")</x:f>
      </x:c>
    </x:row>
    <x:row r="1455" spans="1:10">
      <x:c r="A1455" s="1" t="s">
        <x:v>1464</x:v>
      </x:c>
      <x:c r="B1455" s="1">
        <x:f>IFERROR(__xludf.DUMMYFUNCTION("""COMPUTED_VALUE"""),"Dog Soldiers")</x:f>
      </x:c>
      <x:c r="C1455" s="1">
        <x:f>IFERROR(__xludf.DUMMYFUNCTION("""COMPUTED_VALUE"""),"2002")</x:f>
      </x:c>
    </x:row>
    <x:row r="1456" spans="1:10">
      <x:c r="A1456" s="1" t="s">
        <x:v>1465</x:v>
      </x:c>
      <x:c r="B1456" s="1">
        <x:f>IFERROR(__xludf.DUMMYFUNCTION("""COMPUTED_VALUE"""),"Dogman")</x:f>
      </x:c>
      <x:c r="C1456" s="1">
        <x:f>IFERROR(__xludf.DUMMYFUNCTION("""COMPUTED_VALUE"""),"2018")</x:f>
      </x:c>
    </x:row>
    <x:row r="1457" spans="1:10">
      <x:c r="A1457" s="1" t="s">
        <x:v>1466</x:v>
      </x:c>
      <x:c r="B1457" s="1">
        <x:f>IFERROR(__xludf.DUMMYFUNCTION("""COMPUTED_VALUE"""),"Dolça venjança")</x:f>
      </x:c>
      <x:c r="C1457" s="1">
        <x:f>IFERROR(__xludf.DUMMYFUNCTION("""COMPUTED_VALUE"""),"1990")</x:f>
      </x:c>
    </x:row>
    <x:row r="1458" spans="1:10">
      <x:c r="A1458" s="1" t="s">
        <x:v>1467</x:v>
      </x:c>
      <x:c r="B1458" s="1">
        <x:f>IFERROR(__xludf.DUMMYFUNCTION("""COMPUTED_VALUE"""),"Dolores Claiborne: L'ombra d'un crim")</x:f>
      </x:c>
      <x:c r="C1458" s="1">
        <x:f>IFERROR(__xludf.DUMMYFUNCTION("""COMPUTED_VALUE"""),"1995")</x:f>
      </x:c>
    </x:row>
    <x:row r="1459" spans="1:10">
      <x:c r="A1459" s="1" t="s">
        <x:v>1468</x:v>
      </x:c>
      <x:c r="B1459" s="1">
        <x:f>IFERROR(__xludf.DUMMYFUNCTION("""COMPUTED_VALUE"""),"Dolors de part")</x:f>
      </x:c>
      <x:c r="C1459" s="1">
        <x:f>IFERROR(__xludf.DUMMYFUNCTION("""COMPUTED_VALUE"""),"2009")</x:f>
      </x:c>
    </x:row>
    <x:row r="1460" spans="1:10">
      <x:c r="A1460" s="1" t="s">
        <x:v>1469</x:v>
      </x:c>
      <x:c r="B1460" s="1">
        <x:f>IFERROR(__xludf.DUMMYFUNCTION("""COMPUTED_VALUE"""),"Don Gat i els seus amics")</x:f>
      </x:c>
      <x:c r="C1460" s="1">
        <x:f>IFERROR(__xludf.DUMMYFUNCTION("""COMPUTED_VALUE"""),"2011")</x:f>
      </x:c>
    </x:row>
    <x:row r="1461" spans="1:10">
      <x:c r="A1461" s="1" t="s">
        <x:v>1470</x:v>
      </x:c>
      <x:c r="B1461" s="1">
        <x:f>IFERROR(__xludf.DUMMYFUNCTION("""COMPUTED_VALUE"""),"Don Jon")</x:f>
      </x:c>
      <x:c r="C1461" s="1">
        <x:f>IFERROR(__xludf.DUMMYFUNCTION("""COMPUTED_VALUE"""),"2013")</x:f>
      </x:c>
    </x:row>
    <x:row r="1462" spans="1:10">
      <x:c r="A1462" s="1" t="s">
        <x:v>1471</x:v>
      </x:c>
      <x:c r="B1462" s="1">
        <x:f>IFERROR(__xludf.DUMMYFUNCTION("""COMPUTED_VALUE"""),"Dona blanca soltera busca")</x:f>
      </x:c>
      <x:c r="C1462" s="1">
        <x:f>IFERROR(__xludf.DUMMYFUNCTION("""COMPUTED_VALUE"""),"1992")</x:f>
      </x:c>
    </x:row>
    <x:row r="1463" spans="1:10">
      <x:c r="A1463" s="1" t="s">
        <x:v>1472</x:v>
      </x:c>
      <x:c r="B1463" s="1">
        <x:f>IFERROR(__xludf.DUMMYFUNCTION("""COMPUTED_VALUE"""),"Dóna'm deu raons")</x:f>
      </x:c>
      <x:c r="C1463" s="1">
        <x:f>IFERROR(__xludf.DUMMYFUNCTION("""COMPUTED_VALUE"""),"2006")</x:f>
      </x:c>
    </x:row>
    <x:row r="1464" spans="1:10">
      <x:c r="A1464" s="1" t="s">
        <x:v>1473</x:v>
      </x:c>
      <x:c r="B1464" s="1">
        <x:f>IFERROR(__xludf.DUMMYFUNCTION("""COMPUTED_VALUE"""),"Donbass")</x:f>
      </x:c>
      <x:c r="C1464" s="1">
        <x:f>IFERROR(__xludf.DUMMYFUNCTION("""COMPUTED_VALUE"""),"2018")</x:f>
      </x:c>
    </x:row>
    <x:row r="1465" spans="1:10">
      <x:c r="A1465" s="1" t="s">
        <x:v>1474</x:v>
      </x:c>
      <x:c r="B1465" s="1">
        <x:f>IFERROR(__xludf.DUMMYFUNCTION("""COMPUTED_VALUE"""),"Dones a l'espai")</x:f>
      </x:c>
      <x:c r="C1465" s="1">
        <x:f>IFERROR(__xludf.DUMMYFUNCTION("""COMPUTED_VALUE"""),"2014")</x:f>
      </x:c>
    </x:row>
    <x:row r="1466" spans="1:10">
      <x:c r="A1466" s="1" t="s">
        <x:v>1475</x:v>
      </x:c>
      <x:c r="B1466" s="1">
        <x:f>IFERROR(__xludf.DUMMYFUNCTION("""COMPUTED_VALUE"""),"Dones al sostre del món")</x:f>
      </x:c>
      <x:c r="C1466" s="1">
        <x:f>IFERROR(__xludf.DUMMYFUNCTION("""COMPUTED_VALUE"""),"2026")</x:f>
      </x:c>
    </x:row>
    <x:row r="1467" spans="1:10">
      <x:c r="A1467" s="1" t="s">
        <x:v>1476</x:v>
      </x:c>
      <x:c r="B1467" s="1">
        <x:f>IFERROR(__xludf.DUMMYFUNCTION("""COMPUTED_VALUE"""),"Dones de Hamas")</x:f>
      </x:c>
      <x:c r="C1467" s="1">
        <x:f>IFERROR(__xludf.DUMMYFUNCTION("""COMPUTED_VALUE"""),"2010")</x:f>
      </x:c>
    </x:row>
    <x:row r="1468" spans="1:10">
      <x:c r="A1468" s="1" t="s">
        <x:v>1477</x:v>
      </x:c>
      <x:c r="B1468" s="1">
        <x:f>IFERROR(__xludf.DUMMYFUNCTION("""COMPUTED_VALUE"""),"Dones i homes")</x:f>
      </x:c>
      <x:c r="C1468" s="1">
        <x:f>IFERROR(__xludf.DUMMYFUNCTION("""COMPUTED_VALUE"""),"1995")</x:f>
      </x:c>
    </x:row>
    <x:row r="1469" spans="1:10">
      <x:c r="A1469" s="1" t="s">
        <x:v>1478</x:v>
      </x:c>
      <x:c r="B1469" s="1">
        <x:f>IFERROR(__xludf.DUMMYFUNCTION("""COMPUTED_VALUE"""),"Dones que no vol ningú")</x:f>
      </x:c>
      <x:c r="C1469" s="1">
        <x:f>IFERROR(__xludf.DUMMYFUNCTION("""COMPUTED_VALUE"""),"2022")</x:f>
      </x:c>
    </x:row>
    <x:row r="1470" spans="1:10">
      <x:c r="A1470" s="1" t="s">
        <x:v>1479</x:v>
      </x:c>
      <x:c r="B1470" s="1">
        <x:f>IFERROR(__xludf.DUMMYFUNCTION("""COMPUTED_VALUE"""),"Donkey Xote")</x:f>
      </x:c>
      <x:c r="C1470" s="1">
        <x:f>IFERROR(__xludf.DUMMYFUNCTION("""COMPUTED_VALUE"""),"2007")</x:f>
      </x:c>
    </x:row>
    <x:row r="1471" spans="1:10">
      <x:c r="A1471" s="1" t="s">
        <x:v>1480</x:v>
      </x:c>
      <x:c r="B1471" s="1">
        <x:f>IFERROR(__xludf.DUMMYFUNCTION("""COMPUTED_VALUE"""),"Donnie Brasco")</x:f>
      </x:c>
      <x:c r="C1471" s="1">
        <x:f>IFERROR(__xludf.DUMMYFUNCTION("""COMPUTED_VALUE"""),"1996")</x:f>
      </x:c>
    </x:row>
    <x:row r="1472" spans="1:10">
      <x:c r="A1472" s="1" t="s">
        <x:v>1481</x:v>
      </x:c>
      <x:c r="B1472" s="1">
        <x:f>IFERROR(__xludf.DUMMYFUNCTION("""COMPUTED_VALUE"""),"Donnie Darko")</x:f>
      </x:c>
      <x:c r="C1472" s="1">
        <x:f>IFERROR(__xludf.DUMMYFUNCTION("""COMPUTED_VALUE"""),"2001")</x:f>
      </x:c>
    </x:row>
    <x:row r="1473" spans="1:10">
      <x:c r="A1473" s="1" t="s">
        <x:v>1482</x:v>
      </x:c>
      <x:c r="B1473" s="1">
        <x:f>IFERROR(__xludf.DUMMYFUNCTION("""COMPUTED_VALUE"""),"Doomsday el dia del judici")</x:f>
      </x:c>
      <x:c r="C1473" s="1">
        <x:f>IFERROR(__xludf.DUMMYFUNCTION("""COMPUTED_VALUE"""),"2008")</x:f>
      </x:c>
    </x:row>
    <x:row r="1474" spans="1:10">
      <x:c r="A1474" s="1" t="s">
        <x:v>1483</x:v>
      </x:c>
      <x:c r="B1474" s="1">
        <x:f>IFERROR(__xludf.DUMMYFUNCTION("""COMPUTED_VALUE"""),"Doraemon a la recerca de l'escarabat daurat")</x:f>
      </x:c>
      <x:c r="C1474" s="1">
        <x:f>IFERROR(__xludf.DUMMYFUNCTION("""COMPUTED_VALUE"""),"2012")</x:f>
      </x:c>
    </x:row>
    <x:row r="1475" spans="1:10">
      <x:c r="A1475" s="1" t="s">
        <x:v>1484</x:v>
      </x:c>
      <x:c r="B1475" s="1">
        <x:f>IFERROR(__xludf.DUMMYFUNCTION("""COMPUTED_VALUE"""),"Doraemon al màgic món de les aus")</x:f>
      </x:c>
      <x:c r="C1475" s="1">
        <x:f>IFERROR(__xludf.DUMMYFUNCTION("""COMPUTED_VALUE"""),"2001")</x:f>
      </x:c>
    </x:row>
    <x:row r="1476" spans="1:10">
      <x:c r="A1476" s="1" t="s">
        <x:v>1485</x:v>
      </x:c>
      <x:c r="B1476" s="1">
        <x:f>IFERROR(__xludf.DUMMYFUNCTION("""COMPUTED_VALUE"""),"Doraemon al regne dels gossos")</x:f>
      </x:c>
      <x:c r="C1476" s="1">
        <x:f>IFERROR(__xludf.DUMMYFUNCTION("""COMPUTED_VALUE"""),"2014")</x:f>
      </x:c>
    </x:row>
    <x:row r="1477" spans="1:10">
      <x:c r="A1477" s="1" t="s">
        <x:v>1486</x:v>
      </x:c>
      <x:c r="B1477" s="1">
        <x:f>IFERROR(__xludf.DUMMYFUNCTION("""COMPUTED_VALUE"""),"Doraemon Atlantis: el castell del mal")</x:f>
      </x:c>
      <x:c r="C1477" s="1">
        <x:f>IFERROR(__xludf.DUMMYFUNCTION("""COMPUTED_VALUE"""),"1983")</x:f>
      </x:c>
    </x:row>
    <x:row r="1478" spans="1:10">
      <x:c r="A1478" s="1" t="s">
        <x:v>1487</x:v>
      </x:c>
      <x:c r="B1478" s="1">
        <x:f>IFERROR(__xludf.DUMMYFUNCTION("""COMPUTED_VALUE"""),"Doraemon i el misteri dels núvols")</x:f>
      </x:c>
      <x:c r="C1478" s="1">
        <x:f>IFERROR(__xludf.DUMMYFUNCTION("""COMPUTED_VALUE"""),"1992")</x:f>
      </x:c>
    </x:row>
    <x:row r="1479" spans="1:10">
      <x:c r="A1479" s="1" t="s">
        <x:v>1488</x:v>
      </x:c>
      <x:c r="B1479" s="1">
        <x:f>IFERROR(__xludf.DUMMYFUNCTION("""COMPUTED_VALUE"""),"Doraemon i el món perdut")</x:f>
      </x:c>
      <x:c r="C1479" s="1">
        <x:f>IFERROR(__xludf.DUMMYFUNCTION("""COMPUTED_VALUE"""),"1982")</x:f>
      </x:c>
    </x:row>
    <x:row r="1480" spans="1:10">
      <x:c r="A1480" s="1" t="s">
        <x:v>1489</x:v>
      </x:c>
      <x:c r="B1480" s="1">
        <x:f>IFERROR(__xludf.DUMMYFUNCTION("""COMPUTED_VALUE"""),"Doraemon i el naixement del Japó")</x:f>
      </x:c>
      <x:c r="C1480" s="1">
        <x:f>IFERROR(__xludf.DUMMYFUNCTION("""COMPUTED_VALUE"""),"2016")</x:f>
      </x:c>
    </x:row>
    <x:row r="1481" spans="1:10">
      <x:c r="A1481" s="1" t="s">
        <x:v>1490</x:v>
      </x:c>
      <x:c r="B1481" s="1">
        <x:f>IFERROR(__xludf.DUMMYFUNCTION("""COMPUTED_VALUE"""),"Doraemon i el petit dinosaure")</x:f>
      </x:c>
      <x:c r="C1481" s="1">
        <x:f>IFERROR(__xludf.DUMMYFUNCTION("""COMPUTED_VALUE"""),"2006")</x:f>
      </x:c>
    </x:row>
    <x:row r="1482" spans="1:10">
      <x:c r="A1482" s="1" t="s">
        <x:v>1491</x:v>
      </x:c>
      <x:c r="B1482" s="1">
        <x:f>IFERROR(__xludf.DUMMYFUNCTION("""COMPUTED_VALUE"""),"Doraemon i el regne d'en Kibo")</x:f>
      </x:c>
      <x:c r="C1482" s="1">
        <x:f>IFERROR(__xludf.DUMMYFUNCTION("""COMPUTED_VALUE"""),"2008")</x:f>
      </x:c>
    </x:row>
    <x:row r="1483" spans="1:10">
      <x:c r="A1483" s="1" t="s">
        <x:v>1492</x:v>
      </x:c>
      <x:c r="B1483" s="1">
        <x:f>IFERROR(__xludf.DUMMYFUNCTION("""COMPUTED_VALUE"""),"Doraemon i el regne dels gossos")</x:f>
      </x:c>
      <x:c r="C1483" s="1">
        <x:f>IFERROR(__xludf.DUMMYFUNCTION("""COMPUTED_VALUE"""),"2014")</x:f>
      </x:c>
    </x:row>
    <x:row r="1484" spans="1:10">
      <x:c r="A1484" s="1" t="s">
        <x:v>1493</x:v>
      </x:c>
      <x:c r="B1484" s="1">
        <x:f>IFERROR(__xludf.DUMMYFUNCTION("""COMPUTED_VALUE"""),"Doraemon i el secret del laberint")</x:f>
      </x:c>
      <x:c r="C1484" s="1">
        <x:f>IFERROR(__xludf.DUMMYFUNCTION("""COMPUTED_VALUE"""),"1993")</x:f>
      </x:c>
    </x:row>
    <x:row r="1485" spans="1:10">
      <x:c r="A1485" s="1" t="s">
        <x:v>1494</x:v>
      </x:c>
      <x:c r="B1485" s="1">
        <x:f>IFERROR(__xludf.DUMMYFUNCTION("""COMPUTED_VALUE"""),"Doraemon i el tren del temps")</x:f>
      </x:c>
      <x:c r="C1485" s="1">
        <x:f>IFERROR(__xludf.DUMMYFUNCTION("""COMPUTED_VALUE"""),"1996")</x:f>
      </x:c>
    </x:row>
    <x:row r="1486" spans="1:10">
      <x:c r="A1486" s="1" t="s">
        <x:v>1495</x:v>
      </x:c>
      <x:c r="B1486" s="1">
        <x:f>IFERROR(__xludf.DUMMYFUNCTION("""COMPUTED_VALUE"""),"Doraemon i el viatge a la Xina del passat")</x:f>
      </x:c>
      <x:c r="C1486" s="1">
        <x:f>IFERROR(__xludf.DUMMYFUNCTION("""COMPUTED_VALUE"""),"1988")</x:f>
      </x:c>
    </x:row>
    <x:row r="1487" spans="1:10">
      <x:c r="A1487" s="1" t="s">
        <x:v>1496</x:v>
      </x:c>
      <x:c r="B1487" s="1">
        <x:f>IFERROR(__xludf.DUMMYFUNCTION("""COMPUTED_VALUE"""),"Doraemon i els cavallers emmascarats")</x:f>
      </x:c>
      <x:c r="C1487" s="1">
        <x:f>IFERROR(__xludf.DUMMYFUNCTION("""COMPUTED_VALUE"""),"1987")</x:f>
      </x:c>
    </x:row>
    <x:row r="1488" spans="1:10">
      <x:c r="A1488" s="1" t="s">
        <x:v>1497</x:v>
      </x:c>
      <x:c r="B1488" s="1">
        <x:f>IFERROR(__xludf.DUMMYFUNCTION("""COMPUTED_VALUE"""),"Doraemon i els déus del vent")</x:f>
      </x:c>
      <x:c r="C1488" s="1">
        <x:f>IFERROR(__xludf.DUMMYFUNCTION("""COMPUTED_VALUE"""),"2003")</x:f>
      </x:c>
    </x:row>
    <x:row r="1489" spans="1:10">
      <x:c r="A1489" s="1" t="s">
        <x:v>1498</x:v>
      </x:c>
      <x:c r="B1489" s="1">
        <x:f>IFERROR(__xludf.DUMMYFUNCTION("""COMPUTED_VALUE"""),"Doraemon i els pirates dels Mars del Sud")</x:f>
      </x:c>
      <x:c r="C1489" s="1">
        <x:f>IFERROR(__xludf.DUMMYFUNCTION("""COMPUTED_VALUE"""),"1998")</x:f>
      </x:c>
    </x:row>
    <x:row r="1490" spans="1:10">
      <x:c r="A1490" s="1" t="s">
        <x:v>1499</x:v>
      </x:c>
      <x:c r="B1490" s="1">
        <x:f>IFERROR(__xludf.DUMMYFUNCTION("""COMPUTED_VALUE"""),"Doraemon i els set mags")</x:f>
      </x:c>
      <x:c r="C1490" s="1">
        <x:f>IFERROR(__xludf.DUMMYFUNCTION("""COMPUTED_VALUE"""),"2007")</x:f>
      </x:c>
    </x:row>
    <x:row r="1491" spans="1:10">
      <x:c r="A1491" s="1" t="s">
        <x:v>1500</x:v>
      </x:c>
      <x:c r="B1491" s="1">
        <x:f>IFERROR(__xludf.DUMMYFUNCTION("""COMPUTED_VALUE"""),"Doraemon i l'illa del tresor")</x:f>
      </x:c>
      <x:c r="C1491" s="1">
        <x:f>IFERROR(__xludf.DUMMYFUNCTION("""COMPUTED_VALUE"""),"2018")</x:f>
      </x:c>
    </x:row>
    <x:row r="1492" spans="1:10">
      <x:c r="A1492" s="1" t="s">
        <x:v>1501</x:v>
      </x:c>
      <x:c r="B1492" s="1">
        <x:f>IFERROR(__xludf.DUMMYFUNCTION("""COMPUTED_VALUE"""),"Doraemon i l'Imperi Maia")</x:f>
      </x:c>
      <x:c r="C1492" s="1">
        <x:f>IFERROR(__xludf.DUMMYFUNCTION("""COMPUTED_VALUE"""),"2000")</x:f>
      </x:c>
    </x:row>
    <x:row r="1493" spans="1:10">
      <x:c r="A1493" s="1" t="s">
        <x:v>1502</x:v>
      </x:c>
      <x:c r="B1493" s="1">
        <x:f>IFERROR(__xludf.DUMMYFUNCTION("""COMPUTED_VALUE"""),"Doraemon i la fàbrica de joguines")</x:f>
      </x:c>
      <x:c r="C1493" s="1">
        <x:f>IFERROR(__xludf.DUMMYFUNCTION("""COMPUTED_VALUE"""),"1997")</x:f>
      </x:c>
    </x:row>
    <x:row r="1494" spans="1:10">
      <x:c r="A1494" s="1" t="s">
        <x:v>1503</x:v>
      </x:c>
      <x:c r="B1494" s="1">
        <x:f>IFERROR(__xludf.DUMMYFUNCTION("""COMPUTED_VALUE"""),"Doraemon i la gran aventura de l'Antàrtida")</x:f>
      </x:c>
      <x:c r="C1494" s="1">
        <x:f>IFERROR(__xludf.DUMMYFUNCTION("""COMPUTED_VALUE"""),"2017")</x:f>
      </x:c>
    </x:row>
    <x:row r="1495" spans="1:10">
      <x:c r="A1495" s="1" t="s">
        <x:v>1504</x:v>
      </x:c>
      <x:c r="B1495" s="1">
        <x:f>IFERROR(__xludf.DUMMYFUNCTION("""COMPUTED_VALUE"""),"Doraemon i la Revolució dels Robots")</x:f>
      </x:c>
      <x:c r="C1495" s="1">
        <x:f>IFERROR(__xludf.DUMMYFUNCTION("""COMPUTED_VALUE"""),"2011")</x:f>
      </x:c>
    </x:row>
    <x:row r="1496" spans="1:10">
      <x:c r="A1496" s="1" t="s">
        <x:v>1505</x:v>
      </x:c>
      <x:c r="B1496" s="1">
        <x:f>IFERROR(__xludf.DUMMYFUNCTION("""COMPUTED_VALUE"""),"Doraemon i les mil i una aventures")</x:f>
      </x:c>
      <x:c r="C1496" s="1">
        <x:f>IFERROR(__xludf.DUMMYFUNCTION("""COMPUTED_VALUE"""),"1991")</x:f>
      </x:c>
    </x:row>
    <x:row r="1497" spans="1:10">
      <x:c r="A1497" s="1" t="s">
        <x:v>1506</x:v>
      </x:c>
      <x:c r="B1497" s="1">
        <x:f>IFERROR(__xludf.DUMMYFUNCTION("""COMPUTED_VALUE"""),"Doraemon i Nobita Holmes al misteriós Museu del Futur")</x:f>
      </x:c>
      <x:c r="C1497" s="1">
        <x:f>IFERROR(__xludf.DUMMYFUNCTION("""COMPUTED_VALUE"""),"2013")</x:f>
      </x:c>
    </x:row>
    <x:row r="1498" spans="1:10">
      <x:c r="A1498" s="1" t="s">
        <x:v>1507</x:v>
      </x:c>
      <x:c r="B1498" s="1">
        <x:f>IFERROR(__xludf.DUMMYFUNCTION("""COMPUTED_VALUE"""),"Doraemon The Hero: Pioners de l'espai")</x:f>
      </x:c>
      <x:c r="C1498" s="1">
        <x:f>IFERROR(__xludf.DUMMYFUNCTION("""COMPUTED_VALUE"""),"2009")</x:f>
      </x:c>
    </x:row>
    <x:row r="1499" spans="1:10">
      <x:c r="A1499" s="1" t="s">
        <x:v>1508</x:v>
      </x:c>
      <x:c r="B1499" s="1">
        <x:f>IFERROR(__xludf.DUMMYFUNCTION("""COMPUTED_VALUE"""),"Doraemon, El dia que vaig néixer")</x:f>
      </x:c>
      <x:c r="C1499" s="1">
        <x:f>IFERROR(__xludf.DUMMYFUNCTION("""COMPUTED_VALUE"""),"2009")</x:f>
      </x:c>
    </x:row>
    <x:row r="1500" spans="1:10">
      <x:c r="A1500" s="1" t="s">
        <x:v>1509</x:v>
      </x:c>
      <x:c r="B1500" s="1">
        <x:f>IFERROR(__xludf.DUMMYFUNCTION("""COMPUTED_VALUE"""),"Doraemon, el gladiador")</x:f>
      </x:c>
      <x:c r="C1500" s="1">
        <x:f>IFERROR(__xludf.DUMMYFUNCTION("""COMPUTED_VALUE"""),"2002")</x:f>
      </x:c>
    </x:row>
    <x:row r="1501" spans="1:10">
      <x:c r="A1501" s="1" t="s">
        <x:v>1510</x:v>
      </x:c>
      <x:c r="B1501" s="1">
        <x:f>IFERROR(__xludf.DUMMYFUNCTION("""COMPUTED_VALUE"""),"Doraemon, La llegenda de les sirenes")</x:f>
      </x:c>
      <x:c r="C1501" s="1">
        <x:f>IFERROR(__xludf.DUMMYFUNCTION("""COMPUTED_VALUE"""),"2010")</x:f>
      </x:c>
    </x:row>
    <x:row r="1502" spans="1:10">
      <x:c r="A1502" s="1" t="s">
        <x:v>1511</x:v>
      </x:c>
      <x:c r="B1502" s="1">
        <x:f>IFERROR(__xludf.DUMMYFUNCTION("""COMPUTED_VALUE"""),"Doraemon, una odissea de l'espai")</x:f>
      </x:c>
      <x:c r="C1502" s="1">
        <x:f>IFERROR(__xludf.DUMMYFUNCTION("""COMPUTED_VALUE"""),"1999")</x:f>
      </x:c>
    </x:row>
    <x:row r="1503" spans="1:10">
      <x:c r="A1503" s="1" t="s">
        <x:v>1512</x:v>
      </x:c>
      <x:c r="B1503" s="1">
        <x:f>IFERROR(__xludf.DUMMYFUNCTION("""COMPUTED_VALUE"""),"Doraemon: Animal Planet")</x:f>
      </x:c>
      <x:c r="C1503" s="1">
        <x:f>IFERROR(__xludf.DUMMYFUNCTION("""COMPUTED_VALUE"""),"1990")</x:f>
      </x:c>
    </x:row>
    <x:row r="1504" spans="1:10">
      <x:c r="A1504" s="1" t="s">
        <x:v>1513</x:v>
      </x:c>
      <x:c r="B1504" s="1">
        <x:f>IFERROR(__xludf.DUMMYFUNCTION("""COMPUTED_VALUE"""),"Doraemon: La gran batalla! Gats robot contra gossos robot")</x:f>
      </x:c>
      <x:c r="C1504" s="1">
        <x:f>IFERROR(__xludf.DUMMYFUNCTION("""COMPUTED_VALUE"""),"2010")</x:f>
      </x:c>
    </x:row>
    <x:row r="1505" spans="1:10">
      <x:c r="A1505" s="1" t="s">
        <x:v>1514</x:v>
      </x:c>
      <x:c r="B1505" s="1">
        <x:f>IFERROR(__xludf.DUMMYFUNCTION("""COMPUTED_VALUE"""),"Doraemon: Records de l'àvia")</x:f>
      </x:c>
      <x:c r="C1505" s="1">
        <x:f>IFERROR(__xludf.DUMMYFUNCTION("""COMPUTED_VALUE"""),"2000")</x:f>
      </x:c>
    </x:row>
    <x:row r="1506" spans="1:10">
      <x:c r="A1506" s="1" t="s">
        <x:v>1515</x:v>
      </x:c>
      <x:c r="B1506" s="1">
        <x:f>IFERROR(__xludf.DUMMYFUNCTION("""COMPUTED_VALUE"""),"Doraemon: The Space Hero")</x:f>
      </x:c>
      <x:c r="C1506" s="1">
        <x:f>IFERROR(__xludf.DUMMYFUNCTION("""COMPUTED_VALUE"""),"1981")</x:f>
      </x:c>
    </x:row>
    <x:row r="1507" spans="1:10">
      <x:c r="A1507" s="1" t="s">
        <x:v>1516</x:v>
      </x:c>
      <x:c r="B1507" s="1">
        <x:f>IFERROR(__xludf.DUMMYFUNCTION("""COMPUTED_VALUE"""),"Dorami i els Doraemon en el parc d'atraccions galàctic")</x:f>
      </x:c>
      <x:c r="C1507" s="1">
        <x:f>IFERROR(__xludf.DUMMYFUNCTION("""COMPUTED_VALUE"""),"2010")</x:f>
      </x:c>
    </x:row>
    <x:row r="1508" spans="1:10">
      <x:c r="A1508" s="1" t="s">
        <x:v>1517</x:v>
      </x:c>
      <x:c r="B1508" s="1">
        <x:f>IFERROR(__xludf.DUMMYFUNCTION("""COMPUTED_VALUE"""),"Dororo")</x:f>
      </x:c>
      <x:c r="C1508" s="1">
        <x:f>IFERROR(__xludf.DUMMYFUNCTION("""COMPUTED_VALUE"""),"2007")</x:f>
      </x:c>
    </x:row>
    <x:row r="1509" spans="1:10">
      <x:c r="A1509" s="1" t="s">
        <x:v>1518</x:v>
      </x:c>
      <x:c r="B1509" s="1">
        <x:f>IFERROR(__xludf.DUMMYFUNCTION("""COMPUTED_VALUE"""),"Dos a la carretera")</x:f>
      </x:c>
      <x:c r="C1509" s="1">
        <x:f>IFERROR(__xludf.DUMMYFUNCTION("""COMPUTED_VALUE"""),"1967")</x:f>
      </x:c>
    </x:row>
    <x:row r="1510" spans="1:10">
      <x:c r="A1510" s="1" t="s">
        <x:v>1519</x:v>
      </x:c>
      <x:c r="B1510" s="1">
        <x:f>IFERROR(__xludf.DUMMYFUNCTION("""COMPUTED_VALUE"""),"Dos a la carta")</x:f>
      </x:c>
      <x:c r="C1510" s="1">
        <x:f>IFERROR(__xludf.DUMMYFUNCTION("""COMPUTED_VALUE"""),"2014")</x:f>
      </x:c>
    </x:row>
    <x:row r="1511" spans="1:10">
      <x:c r="A1511" s="1" t="s">
        <x:v>1520</x:v>
      </x:c>
      <x:c r="B1511" s="1">
        <x:f>IFERROR(__xludf.DUMMYFUNCTION("""COMPUTED_VALUE"""),"Dos amants")</x:f>
      </x:c>
      <x:c r="C1511" s="1">
        <x:f>IFERROR(__xludf.DUMMYFUNCTION("""COMPUTED_VALUE"""),"2008")</x:f>
      </x:c>
    </x:row>
    <x:row r="1512" spans="1:10">
      <x:c r="A1512" s="1" t="s">
        <x:v>1521</x:v>
      </x:c>
      <x:c r="B1512" s="1">
        <x:f>IFERROR(__xludf.DUMMYFUNCTION("""COMPUTED_VALUE"""),"Dos anys i vuit dies")</x:f>
      </x:c>
      <x:c r="C1512" s="1">
        <x:f>IFERROR(__xludf.DUMMYFUNCTION("""COMPUTED_VALUE"""),"2017")</x:f>
      </x:c>
    </x:row>
    <x:row r="1513" spans="1:10">
      <x:c r="A1513" s="1" t="s">
        <x:v>1522</x:v>
      </x:c>
      <x:c r="B1513" s="1">
        <x:f>IFERROR(__xludf.DUMMYFUNCTION("""COMPUTED_VALUE"""),"Dos cavalquen junts")</x:f>
      </x:c>
      <x:c r="C1513" s="1">
        <x:f>IFERROR(__xludf.DUMMYFUNCTION("""COMPUTED_VALUE"""),"1961")</x:f>
      </x:c>
    </x:row>
    <x:row r="1514" spans="1:10">
      <x:c r="A1514" s="1" t="s">
        <x:v>1523</x:v>
      </x:c>
      <x:c r="B1514" s="1">
        <x:f>IFERROR(__xludf.DUMMYFUNCTION("""COMPUTED_VALUE"""),"Dos col·legues al rescat")</x:f>
      </x:c>
      <x:c r="C1514" s="1">
        <x:f>IFERROR(__xludf.DUMMYFUNCTION("""COMPUTED_VALUE"""),"2015")</x:f>
      </x:c>
    </x:row>
    <x:row r="1515" spans="1:10">
      <x:c r="A1515" s="1" t="s">
        <x:v>1524</x:v>
      </x:c>
      <x:c r="B1515" s="1">
        <x:f>IFERROR(__xludf.DUMMYFUNCTION("""COMPUTED_VALUE"""),"Dos dies, una nit")</x:f>
      </x:c>
      <x:c r="C1515" s="1">
        <x:f>IFERROR(__xludf.DUMMYFUNCTION("""COMPUTED_VALUE"""),"2014")</x:f>
      </x:c>
    </x:row>
    <x:row r="1516" spans="1:10">
      <x:c r="A1516" s="1" t="s">
        <x:v>1525</x:v>
      </x:c>
      <x:c r="B1516" s="1">
        <x:f>IFERROR(__xludf.DUMMYFUNCTION("""COMPUTED_VALUE"""),"Dos fugitius")</x:f>
      </x:c>
      <x:c r="C1516" s="1">
        <x:f>IFERROR(__xludf.DUMMYFUNCTION("""COMPUTED_VALUE"""),"2024")</x:f>
      </x:c>
    </x:row>
    <x:row r="1517" spans="1:10">
      <x:c r="A1517" s="1" t="s">
        <x:v>1526</x:v>
      </x:c>
      <x:c r="B1517" s="1">
        <x:f>IFERROR(__xludf.DUMMYFUNCTION("""COMPUTED_VALUE"""),"Dos homes contra l'oest")</x:f>
      </x:c>
      <x:c r="C1517" s="1">
        <x:f>IFERROR(__xludf.DUMMYFUNCTION("""COMPUTED_VALUE"""),"1971")</x:f>
      </x:c>
    </x:row>
    <x:row r="1518" spans="1:10">
      <x:c r="A1518" s="1" t="s">
        <x:v>1527</x:v>
      </x:c>
      <x:c r="B1518" s="1">
        <x:f>IFERROR(__xludf.DUMMYFUNCTION("""COMPUTED_VALUE"""),"Dos penjats a Chicago")</x:f>
      </x:c>
      <x:c r="C1518" s="1">
        <x:f>IFERROR(__xludf.DUMMYFUNCTION("""COMPUTED_VALUE"""),"2001")</x:f>
      </x:c>
    </x:row>
    <x:row r="1519" spans="1:10">
      <x:c r="A1519" s="1" t="s">
        <x:v>1528</x:v>
      </x:c>
      <x:c r="B1519" s="1">
        <x:f>IFERROR(__xludf.DUMMYFUNCTION("""COMPUTED_VALUE"""),"Dos policies rebels")</x:f>
      </x:c>
      <x:c r="C1519" s="1">
        <x:f>IFERROR(__xludf.DUMMYFUNCTION("""COMPUTED_VALUE"""),"1995")</x:f>
      </x:c>
    </x:row>
    <x:row r="1520" spans="1:10">
      <x:c r="A1520" s="1" t="s">
        <x:v>1529</x:v>
      </x:c>
      <x:c r="B1520" s="1">
        <x:f>IFERROR(__xludf.DUMMYFUNCTION("""COMPUTED_VALUE"""),"Dos sogres i un destí")</x:f>
      </x:c>
      <x:c r="C1520" s="1">
        <x:f>IFERROR(__xludf.DUMMYFUNCTION("""COMPUTED_VALUE"""),"2019")</x:f>
      </x:c>
    </x:row>
    <x:row r="1521" spans="1:10">
      <x:c r="A1521" s="1" t="s">
        <x:v>1530</x:v>
      </x:c>
      <x:c r="B1521" s="1">
        <x:f>IFERROR(__xludf.DUMMYFUNCTION("""COMPUTED_VALUE"""),"Dos són multitud")</x:f>
      </x:c>
      <x:c r="C1521" s="1">
        <x:f>IFERROR(__xludf.DUMMYFUNCTION("""COMPUTED_VALUE"""),"2022")</x:f>
      </x:c>
    </x:row>
    <x:row r="1522" spans="1:10">
      <x:c r="A1522" s="1" t="s">
        <x:v>1531</x:v>
      </x:c>
      <x:c r="B1522" s="1">
        <x:f>IFERROR(__xludf.DUMMYFUNCTION("""COMPUTED_VALUE"""),"Dos tramvies")</x:f>
      </x:c>
      <x:c r="C1522" s="1">
        <x:f>IFERROR(__xludf.DUMMYFUNCTION("""COMPUTED_VALUE"""),"2017")</x:f>
      </x:c>
    </x:row>
    <x:row r="1523" spans="1:10">
      <x:c r="A1523" s="1" t="s">
        <x:v>1532</x:v>
      </x:c>
      <x:c r="B1523" s="1">
        <x:f>IFERROR(__xludf.DUMMYFUNCTION("""COMPUTED_VALUE"""),"Dos ximples molt ximples")</x:f>
      </x:c>
      <x:c r="C1523" s="1">
        <x:f>IFERROR(__xludf.DUMMYFUNCTION("""COMPUTED_VALUE"""),"1994")</x:f>
      </x:c>
    </x:row>
    <x:row r="1524" spans="1:10">
      <x:c r="A1524" s="1" t="s">
        <x:v>1533</x:v>
      </x:c>
      <x:c r="B1524" s="1">
        <x:f>IFERROR(__xludf.DUMMYFUNCTION("""COMPUTED_VALUE"""),"Dotze homes sense pietat")</x:f>
      </x:c>
      <x:c r="C1524" s="1">
        <x:f>IFERROR(__xludf.DUMMYFUNCTION("""COMPUTED_VALUE"""),"1957")</x:f>
      </x:c>
    </x:row>
    <x:row r="1525" spans="1:10">
      <x:c r="A1525" s="1" t="s">
        <x:v>1534</x:v>
      </x:c>
      <x:c r="B1525" s="1">
        <x:f>IFERROR(__xludf.DUMMYFUNCTION("""COMPUTED_VALUE"""),"Dotze orfes")</x:f>
      </x:c>
      <x:c r="C1525" s="1">
        <x:f>IFERROR(__xludf.DUMMYFUNCTION("""COMPUTED_VALUE"""),"2021")</x:f>
      </x:c>
    </x:row>
    <x:row r="1526" spans="1:10">
      <x:c r="A1526" s="1" t="s">
        <x:v>1535</x:v>
      </x:c>
      <x:c r="B1526" s="1">
        <x:f>IFERROR(__xludf.DUMMYFUNCTION("""COMPUTED_VALUE"""),"Double Team")</x:f>
      </x:c>
      <x:c r="C1526" s="1">
        <x:f>IFERROR(__xludf.DUMMYFUNCTION("""COMPUTED_VALUE"""),"1997")</x:f>
      </x:c>
    </x:row>
    <x:row r="1527" spans="1:10">
      <x:c r="A1527" s="1" t="s">
        <x:v>1536</x:v>
      </x:c>
      <x:c r="B1527" s="1">
        <x:f>IFERROR(__xludf.DUMMYFUNCTION("""COMPUTED_VALUE"""),"Dr. Knock")</x:f>
      </x:c>
      <x:c r="C1527" s="1">
        <x:f>IFERROR(__xludf.DUMMYFUNCTION("""COMPUTED_VALUE"""),"2017")</x:f>
      </x:c>
    </x:row>
    <x:row r="1528" spans="1:10">
      <x:c r="A1528" s="1" t="s">
        <x:v>1537</x:v>
      </x:c>
      <x:c r="B1528" s="1">
        <x:f>IFERROR(__xludf.DUMMYFUNCTION("""COMPUTED_VALUE"""),"Dracs i masmorres")</x:f>
      </x:c>
      <x:c r="C1528" s="1">
        <x:f>IFERROR(__xludf.DUMMYFUNCTION("""COMPUTED_VALUE"""),"2000")</x:f>
      </x:c>
    </x:row>
    <x:row r="1529" spans="1:10">
      <x:c r="A1529" s="1" t="s">
        <x:v>1538</x:v>
      </x:c>
      <x:c r="B1529" s="1">
        <x:f>IFERROR(__xludf.DUMMYFUNCTION("""COMPUTED_VALUE"""),"Dracs: El regal de la fúria nocturna")</x:f>
      </x:c>
      <x:c r="C1529" s="1">
        <x:f>IFERROR(__xludf.DUMMYFUNCTION("""COMPUTED_VALUE"""),"2011")</x:f>
      </x:c>
    </x:row>
    <x:row r="1530" spans="1:10">
      <x:c r="A1530" s="1" t="s">
        <x:v>1539</x:v>
      </x:c>
      <x:c r="B1530" s="1">
        <x:f>IFERROR(__xludf.DUMMYFUNCTION("""COMPUTED_VALUE"""),"Dràcula [VOSC]")</x:f>
      </x:c>
      <x:c r="C1530" s="1">
        <x:f>IFERROR(__xludf.DUMMYFUNCTION("""COMPUTED_VALUE"""),"1958")</x:f>
      </x:c>
    </x:row>
    <x:row r="1531" spans="1:10">
      <x:c r="A1531" s="1" t="s">
        <x:v>1540</x:v>
      </x:c>
      <x:c r="B1531" s="1">
        <x:f>IFERROR(__xludf.DUMMYFUNCTION("""COMPUTED_VALUE"""),"Dràcula Barcelona")</x:f>
      </x:c>
      <x:c r="C1531" s="1">
        <x:f>IFERROR(__xludf.DUMMYFUNCTION("""COMPUTED_VALUE"""),"2017")</x:f>
      </x:c>
    </x:row>
    <x:row r="1532" spans="1:10">
      <x:c r="A1532" s="1" t="s">
        <x:v>1541</x:v>
      </x:c>
      <x:c r="B1532" s="1">
        <x:f>IFERROR(__xludf.DUMMYFUNCTION("""COMPUTED_VALUE"""),"Dràcula de Bram Stoker")</x:f>
      </x:c>
      <x:c r="C1532" s="1">
        <x:f>IFERROR(__xludf.DUMMYFUNCTION("""COMPUTED_VALUE"""),"1992")</x:f>
      </x:c>
    </x:row>
    <x:row r="1533" spans="1:10">
      <x:c r="A1533" s="1" t="s">
        <x:v>1542</x:v>
      </x:c>
      <x:c r="B1533" s="1">
        <x:f>IFERROR(__xludf.DUMMYFUNCTION("""COMPUTED_VALUE"""),"Dràcula, príncep de les tenebres")</x:f>
      </x:c>
      <x:c r="C1533" s="1">
        <x:f>IFERROR(__xludf.DUMMYFUNCTION("""COMPUTED_VALUE"""),"1966")</x:f>
      </x:c>
    </x:row>
    <x:row r="1534" spans="1:10">
      <x:c r="A1534" s="1" t="s">
        <x:v>1543</x:v>
      </x:c>
      <x:c r="B1534" s="1">
        <x:f>IFERROR(__xludf.DUMMYFUNCTION("""COMPUTED_VALUE"""),"Dragon Ball Super: Broly")</x:f>
      </x:c>
      <x:c r="C1534" s="1">
        <x:f>IFERROR(__xludf.DUMMYFUNCTION("""COMPUTED_VALUE"""),"2018")</x:f>
      </x:c>
    </x:row>
    <x:row r="1535" spans="1:10">
      <x:c r="A1535" s="1" t="s">
        <x:v>1544</x:v>
      </x:c>
      <x:c r="B1535" s="1">
        <x:f>IFERROR(__xludf.DUMMYFUNCTION("""COMPUTED_VALUE"""),"Dragon Ball Super: Super Hero")</x:f>
      </x:c>
      <x:c r="C1535" s="1">
        <x:f>IFERROR(__xludf.DUMMYFUNCTION("""COMPUTED_VALUE"""),"2022")</x:f>
      </x:c>
    </x:row>
    <x:row r="1536" spans="1:10">
      <x:c r="A1536" s="1" t="s">
        <x:v>1545</x:v>
      </x:c>
      <x:c r="B1536" s="1">
        <x:f>IFERROR(__xludf.DUMMYFUNCTION("""COMPUTED_VALUE"""),"Dragon Ball Z: The Fall of Men [VOSC]")</x:f>
      </x:c>
      <x:c r="C1536" s="1">
        <x:f>IFERROR(__xludf.DUMMYFUNCTION("""COMPUTED_VALUE"""),"2015")</x:f>
      </x:c>
    </x:row>
    <x:row r="1537" spans="1:10">
      <x:c r="A1537" s="1" t="s">
        <x:v>1546</x:v>
      </x:c>
      <x:c r="B1537" s="1">
        <x:f>IFERROR(__xludf.DUMMYFUNCTION("""COMPUTED_VALUE"""),"Dragon Ball Z. La Resurrecció de 'F' [VOSC]")</x:f>
      </x:c>
      <x:c r="C1537" s="1">
        <x:f>IFERROR(__xludf.DUMMYFUNCTION("""COMPUTED_VALUE"""),"2015")</x:f>
      </x:c>
    </x:row>
    <x:row r="1538" spans="1:10">
      <x:c r="A1538" s="1" t="s">
        <x:v>1547</x:v>
      </x:c>
      <x:c r="B1538" s="1">
        <x:f>IFERROR(__xludf.DUMMYFUNCTION("""COMPUTED_VALUE"""),"Dragon Hill, el turó del drac")</x:f>
      </x:c>
      <x:c r="C1538" s="1">
        <x:f>IFERROR(__xludf.DUMMYFUNCTION("""COMPUTED_VALUE"""),"2002")</x:f>
      </x:c>
    </x:row>
    <x:row r="1539" spans="1:10">
      <x:c r="A1539" s="1" t="s">
        <x:v>1548</x:v>
      </x:c>
      <x:c r="B1539" s="1">
        <x:f>IFERROR(__xludf.DUMMYFUNCTION("""COMPUTED_VALUE"""),"Dragonball, Evolution")</x:f>
      </x:c>
      <x:c r="C1539" s="1">
        <x:f>IFERROR(__xludf.DUMMYFUNCTION("""COMPUTED_VALUE"""),"2009")</x:f>
      </x:c>
    </x:row>
    <x:row r="1540" spans="1:10">
      <x:c r="A1540" s="1" t="s">
        <x:v>1549</x:v>
      </x:c>
      <x:c r="B1540" s="1">
        <x:f>IFERROR(__xludf.DUMMYFUNCTION("""COMPUTED_VALUE"""),"Dragonheart (Cor de drac)")</x:f>
      </x:c>
      <x:c r="C1540" s="1">
        <x:f>IFERROR(__xludf.DUMMYFUNCTION("""COMPUTED_VALUE"""),"1996")</x:f>
      </x:c>
    </x:row>
    <x:row r="1541" spans="1:10">
      <x:c r="A1541" s="1" t="s">
        <x:v>1550</x:v>
      </x:c>
      <x:c r="B1541" s="1">
        <x:f>IFERROR(__xludf.DUMMYFUNCTION("""COMPUTED_VALUE"""),"Dream Scenario")</x:f>
      </x:c>
      <x:c r="C1541" s="1">
        <x:f>IFERROR(__xludf.DUMMYFUNCTION("""COMPUTED_VALUE"""),"2023")</x:f>
      </x:c>
    </x:row>
    <x:row r="1542" spans="1:10">
      <x:c r="A1542" s="1" t="s">
        <x:v>1551</x:v>
      </x:c>
      <x:c r="B1542" s="1">
        <x:f>IFERROR(__xludf.DUMMYFUNCTION("""COMPUTED_VALUE"""),"Dream Team: El somni que va canviar el futbol")</x:f>
      </x:c>
      <x:c r="C1542" s="1">
        <x:f>IFERROR(__xludf.DUMMYFUNCTION("""COMPUTED_VALUE"""),"2016")</x:f>
      </x:c>
    </x:row>
    <x:row r="1543" spans="1:10">
      <x:c r="A1543" s="1" t="s">
        <x:v>1552</x:v>
      </x:c>
      <x:c r="B1543" s="1">
        <x:f>IFERROR(__xludf.DUMMYFUNCTION("""COMPUTED_VALUE"""),"Drive My Car")</x:f>
      </x:c>
      <x:c r="C1543" s="1">
        <x:f>IFERROR(__xludf.DUMMYFUNCTION("""COMPUTED_VALUE"""),"2021")</x:f>
      </x:c>
    </x:row>
    <x:row r="1544" spans="1:10">
      <x:c r="A1544" s="1" t="s">
        <x:v>1553</x:v>
      </x:c>
      <x:c r="B1544" s="1">
        <x:f>IFERROR(__xludf.DUMMYFUNCTION("""COMPUTED_VALUE"""),"Drive, força màxima")</x:f>
      </x:c>
      <x:c r="C1544" s="1">
        <x:f>IFERROR(__xludf.DUMMYFUNCTION("""COMPUTED_VALUE"""),"1997")</x:f>
      </x:c>
    </x:row>
    <x:row r="1545" spans="1:10">
      <x:c r="A1545" s="1" t="s">
        <x:v>1554</x:v>
      </x:c>
      <x:c r="B1545" s="1">
        <x:f>IFERROR(__xludf.DUMMYFUNCTION("""COMPUTED_VALUE"""),"Dublinesos")</x:f>
      </x:c>
      <x:c r="C1545" s="1">
        <x:f>IFERROR(__xludf.DUMMYFUNCTION("""COMPUTED_VALUE"""),"1987")</x:f>
      </x:c>
    </x:row>
    <x:row r="1546" spans="1:10">
      <x:c r="A1546" s="1" t="s">
        <x:v>1555</x:v>
      </x:c>
      <x:c r="B1546" s="1">
        <x:f>IFERROR(__xludf.DUMMYFUNCTION("""COMPUTED_VALUE"""),"Dubte raonable")</x:f>
      </x:c>
      <x:c r="C1546" s="1">
        <x:f>IFERROR(__xludf.DUMMYFUNCTION("""COMPUTED_VALUE"""),"2014")</x:f>
      </x:c>
    </x:row>
    <x:row r="1547" spans="1:10">
      <x:c r="A1547" s="1" t="s">
        <x:v>1556</x:v>
      </x:c>
      <x:c r="B1547" s="1">
        <x:f>IFERROR(__xludf.DUMMYFUNCTION("""COMPUTED_VALUE"""),"Duel a Diablo")</x:f>
      </x:c>
      <x:c r="C1547" s="1">
        <x:f>IFERROR(__xludf.DUMMYFUNCTION("""COMPUTED_VALUE"""),"1966")</x:f>
      </x:c>
    </x:row>
    <x:row r="1548" spans="1:10">
      <x:c r="A1548" s="1" t="s">
        <x:v>1557</x:v>
      </x:c>
      <x:c r="B1548" s="1">
        <x:f>IFERROR(__xludf.DUMMYFUNCTION("""COMPUTED_VALUE"""),"Duel a l'alba")</x:f>
      </x:c>
      <x:c r="C1548" s="1">
        <x:f>IFERROR(__xludf.DUMMYFUNCTION("""COMPUTED_VALUE"""),"1972")</x:f>
      </x:c>
    </x:row>
    <x:row r="1549" spans="1:10">
      <x:c r="A1549" s="1" t="s">
        <x:v>1558</x:v>
      </x:c>
      <x:c r="B1549" s="1">
        <x:f>IFERROR(__xludf.DUMMYFUNCTION("""COMPUTED_VALUE"""),"Duel a les terres altes")</x:f>
      </x:c>
      <x:c r="C1549" s="1">
        <x:f>IFERROR(__xludf.DUMMYFUNCTION("""COMPUTED_VALUE"""),"1962")</x:f>
      </x:c>
    </x:row>
    <x:row r="1550" spans="1:10">
      <x:c r="A1550" s="1" t="s">
        <x:v>1559</x:v>
      </x:c>
      <x:c r="B1550" s="1">
        <x:f>IFERROR(__xludf.DUMMYFUNCTION("""COMPUTED_VALUE"""),"Duel al Mississipi")</x:f>
      </x:c>
      <x:c r="C1550" s="1">
        <x:f>IFERROR(__xludf.DUMMYFUNCTION("""COMPUTED_VALUE"""),"1955")</x:f>
      </x:c>
    </x:row>
    <x:row r="1551" spans="1:10">
      <x:c r="A1551" s="1" t="s">
        <x:v>1560</x:v>
      </x:c>
      <x:c r="B1551" s="1">
        <x:f>IFERROR(__xludf.DUMMYFUNCTION("""COMPUTED_VALUE"""),"Duel entre germans La història d'Adidas i Puma")</x:f>
      </x:c>
      <x:c r="C1551" s="1">
        <x:f>IFERROR(__xludf.DUMMYFUNCTION("""COMPUTED_VALUE"""),"2016")</x:f>
      </x:c>
    </x:row>
    <x:row r="1552" spans="1:10">
      <x:c r="A1552" s="1" t="s">
        <x:v>1561</x:v>
      </x:c>
      <x:c r="B1552" s="1">
        <x:f>IFERROR(__xludf.DUMMYFUNCTION("""COMPUTED_VALUE"""),"Dues dones")</x:f>
      </x:c>
      <x:c r="C1552" s="1">
        <x:f>IFERROR(__xludf.DUMMYFUNCTION("""COMPUTED_VALUE"""),"1998")</x:f>
      </x:c>
    </x:row>
    <x:row r="1553" spans="1:10">
      <x:c r="A1553" s="1" t="s">
        <x:v>1562</x:v>
      </x:c>
      <x:c r="B1553" s="1">
        <x:f>IFERROR(__xludf.DUMMYFUNCTION("""COMPUTED_VALUE"""),"Dues dones")</x:f>
      </x:c>
      <x:c r="C1553" s="1">
        <x:f>IFERROR(__xludf.DUMMYFUNCTION("""COMPUTED_VALUE"""),"2017")</x:f>
      </x:c>
    </x:row>
    <x:row r="1554" spans="1:10">
      <x:c r="A1554" s="1" t="s">
        <x:v>1563</x:v>
      </x:c>
      <x:c r="B1554" s="1">
        <x:f>IFERROR(__xludf.DUMMYFUNCTION("""COMPUTED_VALUE"""),"Dues mares perfectes")</x:f>
      </x:c>
      <x:c r="C1554" s="1">
        <x:f>IFERROR(__xludf.DUMMYFUNCTION("""COMPUTED_VALUE"""),"2013")</x:f>
      </x:c>
    </x:row>
    <x:row r="1555" spans="1:10">
      <x:c r="A1555" s="1" t="s">
        <x:v>1564</x:v>
      </x:c>
      <x:c r="B1555" s="1">
        <x:f>IFERROR(__xludf.DUMMYFUNCTION("""COMPUTED_VALUE"""),"Dues nenes de blau")</x:f>
      </x:c>
      <x:c r="C1555" s="1">
        <x:f>IFERROR(__xludf.DUMMYFUNCTION("""COMPUTED_VALUE"""),"2014")</x:f>
      </x:c>
    </x:row>
    <x:row r="1556" spans="1:10">
      <x:c r="A1556" s="1" t="s">
        <x:v>1565</x:v>
      </x:c>
      <x:c r="B1556" s="1">
        <x:f>IFERROR(__xludf.DUMMYFUNCTION("""COMPUTED_VALUE"""),"Dues rosses amb pebrots")</x:f>
      </x:c>
      <x:c r="C1556" s="1">
        <x:f>IFERROR(__xludf.DUMMYFUNCTION("""COMPUTED_VALUE"""),"2004")</x:f>
      </x:c>
    </x:row>
    <x:row r="1557" spans="1:10">
      <x:c r="A1557" s="1" t="s">
        <x:v>1566</x:v>
      </x:c>
      <x:c r="B1557" s="1">
        <x:f>IFERROR(__xludf.DUMMYFUNCTION("""COMPUTED_VALUE"""),"Dues vides")</x:f>
      </x:c>
      <x:c r="C1557" s="1">
        <x:f>IFERROR(__xludf.DUMMYFUNCTION("""COMPUTED_VALUE"""),"2012")</x:f>
      </x:c>
    </x:row>
    <x:row r="1558" spans="1:10">
      <x:c r="A1558" s="1" t="s">
        <x:v>1567</x:v>
      </x:c>
      <x:c r="B1558" s="1">
        <x:f>IFERROR(__xludf.DUMMYFUNCTION("""COMPUTED_VALUE"""),"Duma")</x:f>
      </x:c>
      <x:c r="C1558" s="1">
        <x:f>IFERROR(__xludf.DUMMYFUNCTION("""COMPUTED_VALUE"""),"2005")</x:f>
      </x:c>
    </x:row>
    <x:row r="1559" spans="1:10">
      <x:c r="A1559" s="1" t="s">
        <x:v>1568</x:v>
      </x:c>
      <x:c r="B1559" s="1">
        <x:f>IFERROR(__xludf.DUMMYFUNCTION("""COMPUTED_VALUE"""),"Dumbo")</x:f>
      </x:c>
      <x:c r="C1559" s="1">
        <x:f>IFERROR(__xludf.DUMMYFUNCTION("""COMPUTED_VALUE"""),"1941")</x:f>
      </x:c>
    </x:row>
    <x:row r="1560" spans="1:10">
      <x:c r="A1560" s="1" t="s">
        <x:v>1569</x:v>
      </x:c>
      <x:c r="B1560" s="1">
        <x:f>IFERROR(__xludf.DUMMYFUNCTION("""COMPUTED_VALUE"""),"Dummie la mòmia i l'escarabat d'or")</x:f>
      </x:c>
      <x:c r="C1560" s="1">
        <x:f>IFERROR(__xludf.DUMMYFUNCTION("""COMPUTED_VALUE"""),"2014")</x:f>
      </x:c>
    </x:row>
    <x:row r="1561" spans="1:10">
      <x:c r="A1561" s="1" t="s">
        <x:v>1570</x:v>
      </x:c>
      <x:c r="B1561" s="1">
        <x:f>IFERROR(__xludf.DUMMYFUNCTION("""COMPUTED_VALUE"""),"Dummie la mòmia i l'esfinx de Shakaba")</x:f>
      </x:c>
      <x:c r="C1561" s="1">
        <x:f>IFERROR(__xludf.DUMMYFUNCTION("""COMPUTED_VALUE"""),"2015")</x:f>
      </x:c>
    </x:row>
    <x:row r="1562" spans="1:10">
      <x:c r="A1562" s="1" t="s">
        <x:v>1571</x:v>
      </x:c>
      <x:c r="B1562" s="1">
        <x:f>IFERROR(__xludf.DUMMYFUNCTION("""COMPUTED_VALUE"""),"Dumplin'")</x:f>
      </x:c>
      <x:c r="C1562" s="1">
        <x:f>IFERROR(__xludf.DUMMYFUNCTION("""COMPUTED_VALUE"""),"2018")</x:f>
      </x:c>
    </x:row>
    <x:row r="1563" spans="1:10">
      <x:c r="A1563" s="1" t="s">
        <x:v>1572</x:v>
      </x:c>
      <x:c r="B1563" s="1">
        <x:f>IFERROR(__xludf.DUMMYFUNCTION("""COMPUTED_VALUE"""),"Dune")</x:f>
      </x:c>
      <x:c r="C1563" s="1">
        <x:f>IFERROR(__xludf.DUMMYFUNCTION("""COMPUTED_VALUE"""),"1984")</x:f>
      </x:c>
    </x:row>
    <x:row r="1564" spans="1:10">
      <x:c r="A1564" s="1" t="s">
        <x:v>1573</x:v>
      </x:c>
      <x:c r="B1564" s="1">
        <x:f>IFERROR(__xludf.DUMMYFUNCTION("""COMPUTED_VALUE"""),"Dune")</x:f>
      </x:c>
      <x:c r="C1564" s="1">
        <x:f>IFERROR(__xludf.DUMMYFUNCTION("""COMPUTED_VALUE"""),"2021")</x:f>
      </x:c>
    </x:row>
    <x:row r="1565" spans="1:10">
      <x:c r="A1565" s="1" t="s">
        <x:v>1574</x:v>
      </x:c>
      <x:c r="B1565" s="1">
        <x:f>IFERROR(__xludf.DUMMYFUNCTION("""COMPUTED_VALUE"""),"Dune: part dos")</x:f>
      </x:c>
      <x:c r="C1565" s="1">
        <x:f>IFERROR(__xludf.DUMMYFUNCTION("""COMPUTED_VALUE"""),"2024")</x:f>
      </x:c>
    </x:row>
    <x:row r="1566" spans="1:10">
      <x:c r="A1566" s="1" t="s">
        <x:v>1575</x:v>
      </x:c>
      <x:c r="B1566" s="1">
        <x:f>IFERROR(__xludf.DUMMYFUNCTION("""COMPUTED_VALUE"""),"Dune: part u")</x:f>
      </x:c>
      <x:c r="C1566" s="1">
        <x:f>IFERROR(__xludf.DUMMYFUNCTION("""COMPUTED_VALUE"""),"2021")</x:f>
      </x:c>
    </x:row>
    <x:row r="1567" spans="1:10">
      <x:c r="A1567" s="1" t="s">
        <x:v>1576</x:v>
      </x:c>
      <x:c r="B1567" s="1">
        <x:f>IFERROR(__xludf.DUMMYFUNCTION("""COMPUTED_VALUE"""),"Dunkerque")</x:f>
      </x:c>
      <x:c r="C1567" s="1">
        <x:f>IFERROR(__xludf.DUMMYFUNCTION("""COMPUTED_VALUE"""),"2017")</x:f>
      </x:c>
    </x:row>
    <x:row r="1568" spans="1:10">
      <x:c r="A1568" s="1" t="s">
        <x:v>1577</x:v>
      </x:c>
      <x:c r="B1568" s="1">
        <x:f>IFERROR(__xludf.DUMMYFUNCTION("""COMPUTED_VALUE"""),"Duplicity")</x:f>
      </x:c>
      <x:c r="C1568" s="1">
        <x:f>IFERROR(__xludf.DUMMYFUNCTION("""COMPUTED_VALUE"""),"2009")</x:f>
      </x:c>
    </x:row>
    <x:row r="1569" spans="1:10">
      <x:c r="A1569" s="1" t="s">
        <x:v>1578</x:v>
      </x:c>
      <x:c r="B1569" s="1">
        <x:f>IFERROR(__xludf.DUMMYFUNCTION("""COMPUTED_VALUE"""),"Dur de matar")</x:f>
      </x:c>
      <x:c r="C1569" s="1">
        <x:f>IFERROR(__xludf.DUMMYFUNCTION("""COMPUTED_VALUE"""),"1990")</x:f>
      </x:c>
    </x:row>
    <x:row r="1570" spans="1:10">
      <x:c r="A1570" s="1" t="s">
        <x:v>1579</x:v>
      </x:c>
      <x:c r="B1570" s="1">
        <x:f>IFERROR(__xludf.DUMMYFUNCTION("""COMPUTED_VALUE"""),"Dur de pelar")</x:f>
      </x:c>
      <x:c r="C1570" s="1">
        <x:f>IFERROR(__xludf.DUMMYFUNCTION("""COMPUTED_VALUE"""),"1978")</x:f>
      </x:c>
    </x:row>
    <x:row r="1571" spans="1:10">
      <x:c r="A1571" s="1" t="s">
        <x:v>1580</x:v>
      </x:c>
      <x:c r="B1571" s="1">
        <x:f>IFERROR(__xludf.DUMMYFUNCTION("""COMPUTED_VALUE"""),"Durant la tempesta")</x:f>
      </x:c>
      <x:c r="C1571" s="1">
        <x:f>IFERROR(__xludf.DUMMYFUNCTION("""COMPUTED_VALUE"""),"2018")</x:f>
      </x:c>
    </x:row>
    <x:row r="1572" spans="1:10">
      <x:c r="A1572" s="1" t="s">
        <x:v>1581</x:v>
      </x:c>
      <x:c r="B1572" s="1">
        <x:f>IFERROR(__xludf.DUMMYFUNCTION("""COMPUTED_VALUE"""),"E.S.O. Entitat Sobrenatural Oculta")</x:f>
      </x:c>
      <x:c r="C1572" s="1">
        <x:f>IFERROR(__xludf.DUMMYFUNCTION("""COMPUTED_VALUE"""),"2009")</x:f>
      </x:c>
    </x:row>
    <x:row r="1573" spans="1:10">
      <x:c r="A1573" s="1" t="s">
        <x:v>1582</x:v>
      </x:c>
      <x:c r="B1573" s="1">
        <x:f>IFERROR(__xludf.DUMMYFUNCTION("""COMPUTED_VALUE"""),"E.T. l'extraterrestre")</x:f>
      </x:c>
      <x:c r="C1573" s="1">
        <x:f>IFERROR(__xludf.DUMMYFUNCTION("""COMPUTED_VALUE"""),"1982")</x:f>
      </x:c>
    </x:row>
    <x:row r="1574" spans="1:10">
      <x:c r="A1574" s="1" t="s">
        <x:v>1583</x:v>
      </x:c>
      <x:c r="B1574" s="1">
        <x:f>IFERROR(__xludf.DUMMYFUNCTION("""COMPUTED_VALUE"""),"Earwig i la bruixa")</x:f>
      </x:c>
      <x:c r="C1574" s="1">
        <x:f>IFERROR(__xludf.DUMMYFUNCTION("""COMPUTED_VALUE"""),"2020")</x:f>
      </x:c>
    </x:row>
    <x:row r="1575" spans="1:10">
      <x:c r="A1575" s="1" t="s">
        <x:v>1584</x:v>
      </x:c>
      <x:c r="B1575" s="1">
        <x:f>IFERROR(__xludf.DUMMYFUNCTION("""COMPUTED_VALUE"""),"Ebre, del bressol a la batalla")</x:f>
      </x:c>
      <x:c r="C1575" s="1">
        <x:f>IFERROR(__xludf.DUMMYFUNCTION("""COMPUTED_VALUE"""),"2016")</x:f>
      </x:c>
    </x:row>
    <x:row r="1576" spans="1:10">
      <x:c r="A1576" s="1" t="s">
        <x:v>1585</x:v>
      </x:c>
      <x:c r="B1576" s="1">
        <x:f>IFERROR(__xludf.DUMMYFUNCTION("""COMPUTED_VALUE"""),"Eclipsi")</x:f>
      </x:c>
      <x:c r="C1576" s="1">
        <x:f>IFERROR(__xludf.DUMMYFUNCTION("""COMPUTED_VALUE"""),"2010")</x:f>
      </x:c>
    </x:row>
    <x:row r="1577" spans="1:10">
      <x:c r="A1577" s="1" t="s">
        <x:v>1586</x:v>
      </x:c>
      <x:c r="B1577" s="1">
        <x:f>IFERROR(__xludf.DUMMYFUNCTION("""COMPUTED_VALUE"""),"Ed Gein")</x:f>
      </x:c>
      <x:c r="C1577" s="1">
        <x:f>IFERROR(__xludf.DUMMYFUNCTION("""COMPUTED_VALUE"""),"2000")</x:f>
      </x:c>
    </x:row>
    <x:row r="1578" spans="1:10">
      <x:c r="A1578" s="1" t="s">
        <x:v>1587</x:v>
      </x:c>
      <x:c r="B1578" s="1">
        <x:f>IFERROR(__xludf.DUMMYFUNCTION("""COMPUTED_VALUE"""),"Ed Wood")</x:f>
      </x:c>
      <x:c r="C1578" s="1">
        <x:f>IFERROR(__xludf.DUMMYFUNCTION("""COMPUTED_VALUE"""),"1994")</x:f>
      </x:c>
    </x:row>
    <x:row r="1579" spans="1:10">
      <x:c r="A1579" s="1" t="s">
        <x:v>1588</x:v>
      </x:c>
      <x:c r="B1579" s="1">
        <x:f>IFERROR(__xludf.DUMMYFUNCTION("""COMPUTED_VALUE"""),"Edison ciutat sense llei")</x:f>
      </x:c>
      <x:c r="C1579" s="1">
        <x:f>IFERROR(__xludf.DUMMYFUNCTION("""COMPUTED_VALUE"""),"2005")</x:f>
      </x:c>
    </x:row>
    <x:row r="1580" spans="1:10">
      <x:c r="A1580" s="1" t="s">
        <x:v>1589</x:v>
      </x:c>
      <x:c r="B1580" s="1">
        <x:f>IFERROR(__xludf.DUMMYFUNCTION("""COMPUTED_VALUE"""),"EdTV")</x:f>
      </x:c>
      <x:c r="C1580" s="1">
        <x:f>IFERROR(__xludf.DUMMYFUNCTION("""COMPUTED_VALUE"""),"1999")</x:f>
      </x:c>
    </x:row>
    <x:row r="1581" spans="1:10">
      <x:c r="A1581" s="1" t="s">
        <x:v>1590</x:v>
      </x:c>
      <x:c r="B1581" s="1">
        <x:f>IFERROR(__xludf.DUMMYFUNCTION("""COMPUTED_VALUE"""),"Efectes al llac")</x:f>
      </x:c>
      <x:c r="C1581" s="1">
        <x:f>IFERROR(__xludf.DUMMYFUNCTION("""COMPUTED_VALUE"""),"2012")</x:f>
      </x:c>
    </x:row>
    <x:row r="1582" spans="1:10">
      <x:c r="A1582" s="1" t="s">
        <x:v>1591</x:v>
      </x:c>
      <x:c r="B1582" s="1">
        <x:f>IFERROR(__xludf.DUMMYFUNCTION("""COMPUTED_VALUE"""),"Efectes secundaris")</x:f>
      </x:c>
      <x:c r="C1582" s="1">
        <x:f>IFERROR(__xludf.DUMMYFUNCTION("""COMPUTED_VALUE"""),"2013")</x:f>
      </x:c>
    </x:row>
    <x:row r="1583" spans="1:10">
      <x:c r="A1583" s="1" t="s">
        <x:v>1592</x:v>
      </x:c>
      <x:c r="B1583" s="1">
        <x:f>IFERROR(__xludf.DUMMYFUNCTION("""COMPUTED_VALUE"""),"Eiffel")</x:f>
      </x:c>
      <x:c r="C1583" s="1">
        <x:f>IFERROR(__xludf.DUMMYFUNCTION("""COMPUTED_VALUE"""),"2021")</x:f>
      </x:c>
    </x:row>
    <x:row r="1584" spans="1:10">
      <x:c r="A1584" s="1" t="s">
        <x:v>1593</x:v>
      </x:c>
      <x:c r="B1584" s="1">
        <x:f>IFERROR(__xludf.DUMMYFUNCTION("""COMPUTED_VALUE"""),"Eixir del fang")</x:f>
      </x:c>
      <x:c r="C1584" s="1">
        <x:f>IFERROR(__xludf.DUMMYFUNCTION("""COMPUTED_VALUE"""),"2025")</x:f>
      </x:c>
    </x:row>
    <x:row r="1585" spans="1:10">
      <x:c r="A1585" s="1" t="s">
        <x:v>1594</x:v>
      </x:c>
      <x:c r="B1585" s="1">
        <x:f>IFERROR(__xludf.DUMMYFUNCTION("""COMPUTED_VALUE"""),"El 'Titanic' el vaixell que no es podia enfonsar")</x:f>
      </x:c>
      <x:c r="C1585" s="1">
        <x:f>IFERROR(__xludf.DUMMYFUNCTION("""COMPUTED_VALUE"""),"2008")</x:f>
      </x:c>
    </x:row>
    <x:row r="1586" spans="1:10">
      <x:c r="A1586" s="1" t="s">
        <x:v>1595</x:v>
      </x:c>
      <x:c r="B1586" s="1">
        <x:f>IFERROR(__xludf.DUMMYFUNCTION("""COMPUTED_VALUE"""),"El 23-F, des de dins")</x:f>
      </x:c>
      <x:c r="C1586" s="1">
        <x:f>IFERROR(__xludf.DUMMYFUNCTION("""COMPUTED_VALUE"""),"2001")</x:f>
      </x:c>
    </x:row>
    <x:row r="1587" spans="1:10">
      <x:c r="A1587" s="1" t="s">
        <x:v>1596</x:v>
      </x:c>
      <x:c r="B1587" s="1">
        <x:f>IFERROR(__xludf.DUMMYFUNCTION("""COMPUTED_VALUE"""),"El 47")</x:f>
      </x:c>
      <x:c r="C1587" s="1">
        <x:f>IFERROR(__xludf.DUMMYFUNCTION("""COMPUTED_VALUE"""),"2024")</x:f>
      </x:c>
    </x:row>
    <x:row r="1588" spans="1:10">
      <x:c r="A1588" s="1" t="s">
        <x:v>1597</x:v>
      </x:c>
      <x:c r="B1588" s="1">
        <x:f>IFERROR(__xludf.DUMMYFUNCTION("""COMPUTED_VALUE"""),"El Álamo")</x:f>
      </x:c>
      <x:c r="C1588" s="1">
        <x:f>IFERROR(__xludf.DUMMYFUNCTION("""COMPUTED_VALUE"""),"1960")</x:f>
      </x:c>
    </x:row>
    <x:row r="1589" spans="1:10">
      <x:c r="A1589" s="1" t="s">
        <x:v>1598</x:v>
      </x:c>
      <x:c r="B1589" s="1">
        <x:f>IFERROR(__xludf.DUMMYFUNCTION("""COMPUTED_VALUE"""),"El ball de Nadal")</x:f>
      </x:c>
      <x:c r="C1589" s="1">
        <x:f>IFERROR(__xludf.DUMMYFUNCTION("""COMPUTED_VALUE"""),"2020")</x:f>
      </x:c>
    </x:row>
    <x:row r="1590" spans="1:10">
      <x:c r="A1590" s="1" t="s">
        <x:v>1599</x:v>
      </x:c>
      <x:c r="B1590" s="1">
        <x:f>IFERROR(__xludf.DUMMYFUNCTION("""COMPUTED_VALUE"""),"El ballarí (Nuréiev, el corb blanc)")</x:f>
      </x:c>
      <x:c r="C1590" s="1">
        <x:f>IFERROR(__xludf.DUMMYFUNCTION("""COMPUTED_VALUE"""),"2018")</x:f>
      </x:c>
    </x:row>
    <x:row r="1591" spans="1:10">
      <x:c r="A1591" s="1" t="s">
        <x:v>1600</x:v>
      </x:c>
      <x:c r="B1591" s="1">
        <x:f>IFERROR(__xludf.DUMMYFUNCTION("""COMPUTED_VALUE"""),"El balneari de Battle Creek")</x:f>
      </x:c>
      <x:c r="C1591" s="1">
        <x:f>IFERROR(__xludf.DUMMYFUNCTION("""COMPUTED_VALUE"""),"1994")</x:f>
      </x:c>
    </x:row>
    <x:row r="1592" spans="1:10">
      <x:c r="A1592" s="1" t="s">
        <x:v>1601</x:v>
      </x:c>
      <x:c r="B1592" s="1">
        <x:f>IFERROR(__xludf.DUMMYFUNCTION("""COMPUTED_VALUE"""),"El banc del Dave")</x:f>
      </x:c>
      <x:c r="C1592" s="1">
        <x:f>IFERROR(__xludf.DUMMYFUNCTION("""COMPUTED_VALUE"""),"2023")</x:f>
      </x:c>
    </x:row>
    <x:row r="1593" spans="1:10">
      <x:c r="A1593" s="1" t="s">
        <x:v>1602</x:v>
      </x:c>
      <x:c r="B1593" s="1">
        <x:f>IFERROR(__xludf.DUMMYFUNCTION("""COMPUTED_VALUE"""),"El bandoler Josey Wales")</x:f>
      </x:c>
      <x:c r="C1593" s="1">
        <x:f>IFERROR(__xludf.DUMMYFUNCTION("""COMPUTED_VALUE"""),"1976")</x:f>
      </x:c>
    </x:row>
    <x:row r="1594" spans="1:10">
      <x:c r="A1594" s="1" t="s">
        <x:v>1603</x:v>
      </x:c>
      <x:c r="B1594" s="1">
        <x:f>IFERROR(__xludf.DUMMYFUNCTION("""COMPUTED_VALUE"""),"El Barça de Guardiola, un equip campió")</x:f>
      </x:c>
      <x:c r="C1594" s="1">
        <x:f>IFERROR(__xludf.DUMMYFUNCTION("""COMPUTED_VALUE"""),"2009")</x:f>
      </x:c>
    </x:row>
    <x:row r="1595" spans="1:10">
      <x:c r="A1595" s="1" t="s">
        <x:v>1604</x:v>
      </x:c>
      <x:c r="B1595" s="1">
        <x:f>IFERROR(__xludf.DUMMYFUNCTION("""COMPUTED_VALUE"""),"El baró fantàstic")</x:f>
      </x:c>
      <x:c r="C1595" s="1">
        <x:f>IFERROR(__xludf.DUMMYFUNCTION("""COMPUTED_VALUE"""),"1962")</x:f>
      </x:c>
    </x:row>
    <x:row r="1596" spans="1:10">
      <x:c r="A1596" s="1" t="s">
        <x:v>1605</x:v>
      </x:c>
      <x:c r="B1596" s="1">
        <x:f>IFERROR(__xludf.DUMMYFUNCTION("""COMPUTED_VALUE"""),"El barò Sardonicus")</x:f>
      </x:c>
      <x:c r="C1596" s="1">
        <x:f>IFERROR(__xludf.DUMMYFUNCTION("""COMPUTED_VALUE"""),"1961")</x:f>
      </x:c>
    </x:row>
    <x:row r="1597" spans="1:10">
      <x:c r="A1597" s="1" t="s">
        <x:v>1606</x:v>
      </x:c>
      <x:c r="B1597" s="1">
        <x:f>IFERROR(__xludf.DUMMYFUNCTION("""COMPUTED_VALUE"""),"El becari")</x:f>
      </x:c>
      <x:c r="C1597" s="1">
        <x:f>IFERROR(__xludf.DUMMYFUNCTION("""COMPUTED_VALUE"""),"2015")</x:f>
      </x:c>
    </x:row>
    <x:row r="1598" spans="1:10">
      <x:c r="A1598" s="1" t="s">
        <x:v>1607</x:v>
      </x:c>
      <x:c r="B1598" s="1">
        <x:f>IFERROR(__xludf.DUMMYFUNCTION("""COMPUTED_VALUE"""),"El bell Antonio")</x:f>
      </x:c>
      <x:c r="C1598" s="1">
        <x:f>IFERROR(__xludf.DUMMYFUNCTION("""COMPUTED_VALUE"""),"1960")</x:f>
      </x:c>
    </x:row>
    <x:row r="1599" spans="1:10">
      <x:c r="A1599" s="1" t="s">
        <x:v>1608</x:v>
      </x:c>
      <x:c r="B1599" s="1">
        <x:f>IFERROR(__xludf.DUMMYFUNCTION("""COMPUTED_VALUE"""),"El Benefactor")</x:f>
      </x:c>
      <x:c r="C1599" s="1">
        <x:f>IFERROR(__xludf.DUMMYFUNCTION("""COMPUTED_VALUE"""),"2015")</x:f>
      </x:c>
    </x:row>
    <x:row r="1600" spans="1:10">
      <x:c r="A1600" s="1" t="s">
        <x:v>1609</x:v>
      </x:c>
      <x:c r="B1600" s="1">
        <x:f>IFERROR(__xludf.DUMMYFUNCTION("""COMPUTED_VALUE"""),"El blues de Beale Street")</x:f>
      </x:c>
      <x:c r="C1600" s="1">
        <x:f>IFERROR(__xludf.DUMMYFUNCTION("""COMPUTED_VALUE"""),"2018")</x:f>
      </x:c>
    </x:row>
    <x:row r="1601" spans="1:10">
      <x:c r="A1601" s="1" t="s">
        <x:v>1610</x:v>
      </x:c>
      <x:c r="B1601" s="1">
        <x:f>IFERROR(__xludf.DUMMYFUNCTION("""COMPUTED_VALUE"""),"El bomber")</x:f>
      </x:c>
      <x:c r="C1601" s="1">
        <x:f>IFERROR(__xludf.DUMMYFUNCTION("""COMPUTED_VALUE"""),"1916")</x:f>
      </x:c>
    </x:row>
    <x:row r="1602" spans="1:10">
      <x:c r="A1602" s="1" t="s">
        <x:v>1611</x:v>
      </x:c>
      <x:c r="B1602" s="1">
        <x:f>IFERROR(__xludf.DUMMYFUNCTION("""COMPUTED_VALUE"""),"El bon cor")</x:f>
      </x:c>
      <x:c r="C1602" s="1">
        <x:f>IFERROR(__xludf.DUMMYFUNCTION("""COMPUTED_VALUE"""),"2009")</x:f>
      </x:c>
    </x:row>
    <x:row r="1603" spans="1:10">
      <x:c r="A1603" s="1" t="s">
        <x:v>1612</x:v>
      </x:c>
      <x:c r="B1603" s="1">
        <x:f>IFERROR(__xludf.DUMMYFUNCTION("""COMPUTED_VALUE"""),"El bon italià")</x:f>
      </x:c>
      <x:c r="C1603" s="1">
        <x:f>IFERROR(__xludf.DUMMYFUNCTION("""COMPUTED_VALUE"""),"2023")</x:f>
      </x:c>
    </x:row>
    <x:row r="1604" spans="1:10">
      <x:c r="A1604" s="1" t="s">
        <x:v>1613</x:v>
      </x:c>
      <x:c r="B1604" s="1">
        <x:f>IFERROR(__xludf.DUMMYFUNCTION("""COMPUTED_VALUE"""),"El bon metge")</x:f>
      </x:c>
      <x:c r="C1604" s="1">
        <x:f>IFERROR(__xludf.DUMMYFUNCTION("""COMPUTED_VALUE"""),"2011")</x:f>
      </x:c>
    </x:row>
    <x:row r="1605" spans="1:10">
      <x:c r="A1605" s="1" t="s">
        <x:v>1614</x:v>
      </x:c>
      <x:c r="B1605" s="1">
        <x:f>IFERROR(__xludf.DUMMYFUNCTION("""COMPUTED_VALUE"""),"El bon patró")</x:f>
      </x:c>
      <x:c r="C1605" s="1">
        <x:f>IFERROR(__xludf.DUMMYFUNCTION("""COMPUTED_VALUE"""),"2021")</x:f>
      </x:c>
    </x:row>
    <x:row r="1606" spans="1:10">
      <x:c r="A1606" s="1" t="s">
        <x:v>1615</x:v>
      </x:c>
      <x:c r="B1606" s="1">
        <x:f>IFERROR(__xludf.DUMMYFUNCTION("""COMPUTED_VALUE"""),"El bon veí")</x:f>
      </x:c>
      <x:c r="C1606" s="1">
        <x:f>IFERROR(__xludf.DUMMYFUNCTION("""COMPUTED_VALUE"""),"2021")</x:f>
      </x:c>
    </x:row>
    <x:row r="1607" spans="1:10">
      <x:c r="A1607" s="1" t="s">
        <x:v>1616</x:v>
      </x:c>
      <x:c r="B1607" s="1">
        <x:f>IFERROR(__xludf.DUMMYFUNCTION("""COMPUTED_VALUE"""),"El bosc")</x:f>
      </x:c>
      <x:c r="C1607" s="1">
        <x:f>IFERROR(__xludf.DUMMYFUNCTION("""COMPUTED_VALUE"""),"2012")</x:f>
      </x:c>
    </x:row>
    <x:row r="1608" spans="1:10">
      <x:c r="A1608" s="1" t="s">
        <x:v>1617</x:v>
      </x:c>
      <x:c r="B1608" s="1">
        <x:f>IFERROR(__xludf.DUMMYFUNCTION("""COMPUTED_VALUE"""),"El bosc de Haquivaqui")</x:f>
      </x:c>
      <x:c r="C1608" s="1">
        <x:f>IFERROR(__xludf.DUMMYFUNCTION("""COMPUTED_VALUE"""),"2016")</x:f>
      </x:c>
    </x:row>
    <x:row r="1609" spans="1:10">
      <x:c r="A1609" s="1" t="s">
        <x:v>1618</x:v>
      </x:c>
      <x:c r="B1609" s="1">
        <x:f>IFERROR(__xludf.DUMMYFUNCTION("""COMPUTED_VALUE"""),"El bosc dels suïcidis")</x:f>
      </x:c>
      <x:c r="C1609" s="1">
        <x:f>IFERROR(__xludf.DUMMYFUNCTION("""COMPUTED_VALUE"""),"2016")</x:f>
      </x:c>
    </x:row>
    <x:row r="1610" spans="1:10">
      <x:c r="A1610" s="1" t="s">
        <x:v>1619</x:v>
      </x:c>
      <x:c r="B1610" s="1">
        <x:f>IFERROR(__xludf.DUMMYFUNCTION("""COMPUTED_VALUE"""),"El bosc en perill")</x:f>
      </x:c>
      <x:c r="C1610" s="1">
        <x:f>IFERROR(__xludf.DUMMYFUNCTION("""COMPUTED_VALUE"""),"1991")</x:f>
      </x:c>
    </x:row>
    <x:row r="1611" spans="1:10">
      <x:c r="A1611" s="1" t="s">
        <x:v>1620</x:v>
      </x:c>
      <x:c r="B1611" s="1">
        <x:f>IFERROR(__xludf.DUMMYFUNCTION("""COMPUTED_VALUE"""),"El bruixot de Samarcanda")</x:f>
      </x:c>
      <x:c r="C1611" s="1">
        <x:f>IFERROR(__xludf.DUMMYFUNCTION("""COMPUTED_VALUE"""),"2006")</x:f>
      </x:c>
    </x:row>
    <x:row r="1612" spans="1:10">
      <x:c r="A1612" s="1" t="s">
        <x:v>1621</x:v>
      </x:c>
      <x:c r="B1612" s="1">
        <x:f>IFERROR(__xludf.DUMMYFUNCTION("""COMPUTED_VALUE"""),"El bus de la vida")</x:f>
      </x:c>
      <x:c r="C1612" s="1">
        <x:f>IFERROR(__xludf.DUMMYFUNCTION("""COMPUTED_VALUE"""),"2024")</x:f>
      </x:c>
    </x:row>
    <x:row r="1613" spans="1:10">
      <x:c r="A1613" s="1" t="s">
        <x:v>1622</x:v>
      </x:c>
      <x:c r="B1613" s="1">
        <x:f>IFERROR(__xludf.DUMMYFUNCTION("""COMPUTED_VALUE"""),"El caçador")</x:f>
      </x:c>
      <x:c r="C1613" s="1">
        <x:f>IFERROR(__xludf.DUMMYFUNCTION("""COMPUTED_VALUE"""),"2010")</x:f>
      </x:c>
    </x:row>
    <x:row r="1614" spans="1:10">
      <x:c r="A1614" s="1" t="s">
        <x:v>1623</x:v>
      </x:c>
      <x:c r="B1614" s="1">
        <x:f>IFERROR(__xludf.DUMMYFUNCTION("""COMPUTED_VALUE"""),"El caçador")</x:f>
      </x:c>
      <x:c r="C1614" s="1">
        <x:f>IFERROR(__xludf.DUMMYFUNCTION("""COMPUTED_VALUE"""),"2011")</x:f>
      </x:c>
    </x:row>
    <x:row r="1615" spans="1:10">
      <x:c r="A1615" s="1" t="s">
        <x:v>1624</x:v>
      </x:c>
      <x:c r="B1615" s="1">
        <x:f>IFERROR(__xludf.DUMMYFUNCTION("""COMPUTED_VALUE"""),"El caçador d'ocells")</x:f>
      </x:c>
      <x:c r="C1615" s="1">
        <x:f>IFERROR(__xludf.DUMMYFUNCTION("""COMPUTED_VALUE"""),"2019")</x:f>
      </x:c>
    </x:row>
    <x:row r="1616" spans="1:10">
      <x:c r="A1616" s="1" t="s">
        <x:v>1625</x:v>
      </x:c>
      <x:c r="B1616" s="1">
        <x:f>IFERROR(__xludf.DUMMYFUNCTION("""COMPUTED_VALUE"""),"El caçador de recompenses")</x:f>
      </x:c>
      <x:c r="C1616" s="1">
        <x:f>IFERROR(__xludf.DUMMYFUNCTION("""COMPUTED_VALUE"""),"2022")</x:f>
      </x:c>
    </x:row>
    <x:row r="1617" spans="1:10">
      <x:c r="A1617" s="1" t="s">
        <x:v>1626</x:v>
      </x:c>
      <x:c r="B1617" s="1">
        <x:f>IFERROR(__xludf.DUMMYFUNCTION("""COMPUTED_VALUE"""),"El caçador de somnis")</x:f>
      </x:c>
      <x:c r="C1617" s="1">
        <x:f>IFERROR(__xludf.DUMMYFUNCTION("""COMPUTED_VALUE"""),"2003")</x:f>
      </x:c>
    </x:row>
    <x:row r="1618" spans="1:10">
      <x:c r="A1618" s="1" t="s">
        <x:v>1627</x:v>
      </x:c>
      <x:c r="B1618" s="1">
        <x:f>IFERROR(__xludf.DUMMYFUNCTION("""COMPUTED_VALUE"""),"El caçarecompenses")</x:f>
      </x:c>
      <x:c r="C1618" s="1">
        <x:f>IFERROR(__xludf.DUMMYFUNCTION("""COMPUTED_VALUE"""),"2010")</x:f>
      </x:c>
    </x:row>
    <x:row r="1619" spans="1:10">
      <x:c r="A1619" s="1" t="s">
        <x:v>1628</x:v>
      </x:c>
      <x:c r="B1619" s="1">
        <x:f>IFERROR(__xludf.DUMMYFUNCTION("""COMPUTED_VALUE"""),"El cadàver d'Anna Fritz")</x:f>
      </x:c>
      <x:c r="C1619" s="1">
        <x:f>IFERROR(__xludf.DUMMYFUNCTION("""COMPUTED_VALUE"""),"2015")</x:f>
      </x:c>
    </x:row>
    <x:row r="1620" spans="1:10">
      <x:c r="A1620" s="1" t="s">
        <x:v>1629</x:v>
      </x:c>
      <x:c r="B1620" s="1">
        <x:f>IFERROR(__xludf.DUMMYFUNCTION("""COMPUTED_VALUE"""),"El cafè de la Marina")</x:f>
      </x:c>
      <x:c r="C1620" s="1">
        <x:f>IFERROR(__xludf.DUMMYFUNCTION("""COMPUTED_VALUE"""),"2014")</x:f>
      </x:c>
    </x:row>
    <x:row r="1621" spans="1:10">
      <x:c r="A1621" s="1" t="s">
        <x:v>1630</x:v>
      </x:c>
      <x:c r="B1621" s="1">
        <x:f>IFERROR(__xludf.DUMMYFUNCTION("""COMPUTED_VALUE"""),"El Caire confidencial")</x:f>
      </x:c>
      <x:c r="C1621" s="1">
        <x:f>IFERROR(__xludf.DUMMYFUNCTION("""COMPUTED_VALUE"""),"2017")</x:f>
      </x:c>
    </x:row>
    <x:row r="1622" spans="1:10">
      <x:c r="A1622" s="1" t="s">
        <x:v>1631</x:v>
      </x:c>
      <x:c r="B1622" s="1">
        <x:f>IFERROR(__xludf.DUMMYFUNCTION("""COMPUTED_VALUE"""),"El camí de l'oest")</x:f>
      </x:c>
      <x:c r="C1622" s="1">
        <x:f>IFERROR(__xludf.DUMMYFUNCTION("""COMPUTED_VALUE"""),"1967")</x:f>
      </x:c>
    </x:row>
    <x:row r="1623" spans="1:10">
      <x:c r="A1623" s="1" t="s">
        <x:v>1632</x:v>
      </x:c>
      <x:c r="B1623" s="1">
        <x:f>IFERROR(__xludf.DUMMYFUNCTION("""COMPUTED_VALUE"""),"El camí de la traïció")</x:f>
      </x:c>
      <x:c r="C1623" s="1">
        <x:f>IFERROR(__xludf.DUMMYFUNCTION("""COMPUTED_VALUE"""),"1988")</x:f>
      </x:c>
    </x:row>
    <x:row r="1624" spans="1:10">
      <x:c r="A1624" s="1" t="s">
        <x:v>1633</x:v>
      </x:c>
      <x:c r="B1624" s="1">
        <x:f>IFERROR(__xludf.DUMMYFUNCTION("""COMPUTED_VALUE"""),"El camí més llarg per tornar a casa")</x:f>
      </x:c>
      <x:c r="C1624" s="1">
        <x:f>IFERROR(__xludf.DUMMYFUNCTION("""COMPUTED_VALUE"""),"2014")</x:f>
      </x:c>
    </x:row>
    <x:row r="1625" spans="1:10">
      <x:c r="A1625" s="1" t="s">
        <x:v>1634</x:v>
      </x:c>
      <x:c r="B1625" s="1">
        <x:f>IFERROR(__xludf.DUMMYFUNCTION("""COMPUTED_VALUE"""),"El campió del món")</x:f>
      </x:c>
      <x:c r="C1625" s="1">
        <x:f>IFERROR(__xludf.DUMMYFUNCTION("""COMPUTED_VALUE"""),"2021")</x:f>
      </x:c>
    </x:row>
    <x:row r="1626" spans="1:10">
      <x:c r="A1626" s="1" t="s">
        <x:v>1635</x:v>
      </x:c>
      <x:c r="B1626" s="1">
        <x:f>IFERROR(__xludf.DUMMYFUNCTION("""COMPUTED_VALUE"""),"El candidat")</x:f>
      </x:c>
      <x:c r="C1626" s="1">
        <x:f>IFERROR(__xludf.DUMMYFUNCTION("""COMPUTED_VALUE"""),"1972")</x:f>
      </x:c>
    </x:row>
    <x:row r="1627" spans="1:10">
      <x:c r="A1627" s="1" t="s">
        <x:v>1636</x:v>
      </x:c>
      <x:c r="B1627" s="1">
        <x:f>IFERROR(__xludf.DUMMYFUNCTION("""COMPUTED_VALUE"""),"El cant dels ocells")</x:f>
      </x:c>
      <x:c r="C1627" s="1">
        <x:f>IFERROR(__xludf.DUMMYFUNCTION("""COMPUTED_VALUE"""),"2008")</x:f>
      </x:c>
    </x:row>
    <x:row r="1628" spans="1:10">
      <x:c r="A1628" s="1" t="s">
        <x:v>1637</x:v>
      </x:c>
      <x:c r="B1628" s="1">
        <x:f>IFERROR(__xludf.DUMMYFUNCTION("""COMPUTED_VALUE"""),"El cap")</x:f>
      </x:c>
      <x:c r="C1628" s="1">
        <x:f>IFERROR(__xludf.DUMMYFUNCTION("""COMPUTED_VALUE"""),"2005")</x:f>
      </x:c>
    </x:row>
    <x:row r="1629" spans="1:10">
      <x:c r="A1629" s="1" t="s">
        <x:v>1638</x:v>
      </x:c>
      <x:c r="B1629" s="1">
        <x:f>IFERROR(__xludf.DUMMYFUNCTION("""COMPUTED_VALUE"""),"El cap de la por")</x:f>
      </x:c>
      <x:c r="C1629" s="1">
        <x:f>IFERROR(__xludf.DUMMYFUNCTION("""COMPUTED_VALUE"""),"1991")</x:f>
      </x:c>
    </x:row>
    <x:row r="1630" spans="1:10">
      <x:c r="A1630" s="1" t="s">
        <x:v>1639</x:v>
      </x:c>
      <x:c r="B1630" s="1">
        <x:f>IFERROR(__xludf.DUMMYFUNCTION("""COMPUTED_VALUE"""),"El capità Harlock i l'Arcàdia")</x:f>
      </x:c>
      <x:c r="C1630" s="1">
        <x:f>IFERROR(__xludf.DUMMYFUNCTION("""COMPUTED_VALUE"""),"1982")</x:f>
      </x:c>
    </x:row>
    <x:row r="1631" spans="1:10">
      <x:c r="A1631" s="1" t="s">
        <x:v>1640</x:v>
      </x:c>
      <x:c r="B1631" s="1">
        <x:f>IFERROR(__xludf.DUMMYFUNCTION("""COMPUTED_VALUE"""),"El capità Nemo i la ciutat submergida")</x:f>
      </x:c>
      <x:c r="C1631" s="1">
        <x:f>IFERROR(__xludf.DUMMYFUNCTION("""COMPUTED_VALUE"""),"1969")</x:f>
      </x:c>
    </x:row>
    <x:row r="1632" spans="1:10">
      <x:c r="A1632" s="1" t="s">
        <x:v>1641</x:v>
      </x:c>
      <x:c r="B1632" s="1">
        <x:f>IFERROR(__xludf.DUMMYFUNCTION("""COMPUTED_VALUE"""),"El capità Zoom i els petits grans herois")</x:f>
      </x:c>
      <x:c r="C1632" s="1">
        <x:f>IFERROR(__xludf.DUMMYFUNCTION("""COMPUTED_VALUE"""),"2006")</x:f>
      </x:c>
    </x:row>
    <x:row r="1633" spans="1:10">
      <x:c r="A1633" s="1" t="s">
        <x:v>1642</x:v>
      </x:c>
      <x:c r="B1633" s="1">
        <x:f>IFERROR(__xludf.DUMMYFUNCTION("""COMPUTED_VALUE"""),"El capital")</x:f>
      </x:c>
      <x:c r="C1633" s="1">
        <x:f>IFERROR(__xludf.DUMMYFUNCTION("""COMPUTED_VALUE"""),"2012")</x:f>
      </x:c>
    </x:row>
    <x:row r="1634" spans="1:10">
      <x:c r="A1634" s="1" t="s">
        <x:v>1643</x:v>
      </x:c>
      <x:c r="B1634" s="1">
        <x:f>IFERROR(__xludf.DUMMYFUNCTION("""COMPUTED_VALUE"""),"El cargol i la balena i altres contes del mar")</x:f>
      </x:c>
      <x:c r="C1634" s="1">
        <x:f>IFERROR(__xludf.DUMMYFUNCTION("""COMPUTED_VALUE"""),"2019")</x:f>
      </x:c>
    </x:row>
    <x:row r="1635" spans="1:10">
      <x:c r="A1635" s="1" t="s">
        <x:v>1644</x:v>
      </x:c>
      <x:c r="B1635" s="1">
        <x:f>IFERROR(__xludf.DUMMYFUNCTION("""COMPUTED_VALUE"""),"El carrer dels solters")</x:f>
      </x:c>
      <x:c r="C1635" s="1">
        <x:f>IFERROR(__xludf.DUMMYFUNCTION("""COMPUTED_VALUE"""),"2019")</x:f>
      </x:c>
    </x:row>
    <x:row r="1636" spans="1:10">
      <x:c r="A1636" s="1" t="s">
        <x:v>1645</x:v>
      </x:c>
      <x:c r="B1636" s="1">
        <x:f>IFERROR(__xludf.DUMMYFUNCTION("""COMPUTED_VALUE"""),"El carreró del misteri: investigació blanca")</x:f>
      </x:c>
      <x:c r="C1636" s="1">
        <x:f>IFERROR(__xludf.DUMMYFUNCTION("""COMPUTED_VALUE"""),"2024")</x:f>
      </x:c>
    </x:row>
    <x:row r="1637" spans="1:10">
      <x:c r="A1637" s="1" t="s">
        <x:v>1646</x:v>
      </x:c>
      <x:c r="B1637" s="1">
        <x:f>IFERROR(__xludf.DUMMYFUNCTION("""COMPUTED_VALUE"""),"El carter sempre truca dues vegades")</x:f>
      </x:c>
      <x:c r="C1637" s="1">
        <x:f>IFERROR(__xludf.DUMMYFUNCTION("""COMPUTED_VALUE"""),"1981")</x:f>
      </x:c>
    </x:row>
    <x:row r="1638" spans="1:10">
      <x:c r="A1638" s="1" t="s">
        <x:v>1647</x:v>
      </x:c>
      <x:c r="B1638" s="1">
        <x:f>IFERROR(__xludf.DUMMYFUNCTION("""COMPUTED_VALUE"""),"El cas Àngelus. La fascinació de Dalí")</x:f>
      </x:c>
      <x:c r="C1638" s="1">
        <x:f>IFERROR(__xludf.DUMMYFUNCTION("""COMPUTED_VALUE"""),"2024")</x:f>
      </x:c>
    </x:row>
    <x:row r="1639" spans="1:10">
      <x:c r="A1639" s="1" t="s">
        <x:v>1648</x:v>
      </x:c>
      <x:c r="B1639" s="1">
        <x:f>IFERROR(__xludf.DUMMYFUNCTION("""COMPUTED_VALUE"""),"El cas Collini")</x:f>
      </x:c>
      <x:c r="C1639" s="1">
        <x:f>IFERROR(__xludf.DUMMYFUNCTION("""COMPUTED_VALUE"""),"2019")</x:f>
      </x:c>
    </x:row>
    <x:row r="1640" spans="1:10">
      <x:c r="A1640" s="1" t="s">
        <x:v>1649</x:v>
      </x:c>
      <x:c r="B1640" s="1">
        <x:f>IFERROR(__xludf.DUMMYFUNCTION("""COMPUTED_VALUE"""),"El cas de la Hana i l'Alice")</x:f>
      </x:c>
      <x:c r="C1640" s="1">
        <x:f>IFERROR(__xludf.DUMMYFUNCTION("""COMPUTED_VALUE"""),"2015")</x:f>
      </x:c>
    </x:row>
    <x:row r="1641" spans="1:10">
      <x:c r="A1641" s="1" t="s">
        <x:v>1650</x:v>
      </x:c>
      <x:c r="B1641" s="1">
        <x:f>IFERROR(__xludf.DUMMYFUNCTION("""COMPUTED_VALUE"""),"El cas dels catalans")</x:f>
      </x:c>
      <x:c r="C1641" s="1">
        <x:f>IFERROR(__xludf.DUMMYFUNCTION("""COMPUTED_VALUE"""),"2014")</x:f>
      </x:c>
    </x:row>
    <x:row r="1642" spans="1:10">
      <x:c r="A1642" s="1" t="s">
        <x:v>1651</x:v>
      </x:c>
      <x:c r="B1642" s="1">
        <x:f>IFERROR(__xludf.DUMMYFUNCTION("""COMPUTED_VALUE"""),"El cas Farewell")</x:f>
      </x:c>
      <x:c r="C1642" s="1">
        <x:f>IFERROR(__xludf.DUMMYFUNCTION("""COMPUTED_VALUE"""),"2009")</x:f>
      </x:c>
    </x:row>
    <x:row r="1643" spans="1:10">
      <x:c r="A1643" s="1" t="s">
        <x:v>1652</x:v>
      </x:c>
      <x:c r="B1643" s="1">
        <x:f>IFERROR(__xludf.DUMMYFUNCTION("""COMPUTED_VALUE"""),"El cas Fischer")</x:f>
      </x:c>
      <x:c r="C1643" s="1">
        <x:f>IFERROR(__xludf.DUMMYFUNCTION("""COMPUTED_VALUE"""),"2014")</x:f>
      </x:c>
    </x:row>
    <x:row r="1644" spans="1:10">
      <x:c r="A1644" s="1" t="s">
        <x:v>1653</x:v>
      </x:c>
      <x:c r="B1644" s="1">
        <x:f>IFERROR(__xludf.DUMMYFUNCTION("""COMPUTED_VALUE"""),"El cas Fritz Bauer")</x:f>
      </x:c>
      <x:c r="C1644" s="1">
        <x:f>IFERROR(__xludf.DUMMYFUNCTION("""COMPUTED_VALUE"""),"2015")</x:f>
      </x:c>
    </x:row>
    <x:row r="1645" spans="1:10">
      <x:c r="A1645" s="1" t="s">
        <x:v>1654</x:v>
      </x:c>
      <x:c r="B1645" s="1">
        <x:f>IFERROR(__xludf.DUMMYFUNCTION("""COMPUTED_VALUE"""),"El cas Heineken")</x:f>
      </x:c>
      <x:c r="C1645" s="1">
        <x:f>IFERROR(__xludf.DUMMYFUNCTION("""COMPUTED_VALUE"""),"2015")</x:f>
      </x:c>
    </x:row>
    <x:row r="1646" spans="1:10">
      <x:c r="A1646" s="1" t="s">
        <x:v>1655</x:v>
      </x:c>
      <x:c r="B1646" s="1">
        <x:f>IFERROR(__xludf.DUMMYFUNCTION("""COMPUTED_VALUE"""),"El cas Reiner")</x:f>
      </x:c>
      <x:c r="C1646" s="1">
        <x:f>IFERROR(__xludf.DUMMYFUNCTION("""COMPUTED_VALUE"""),"2009")</x:f>
      </x:c>
    </x:row>
    <x:row r="1647" spans="1:10">
      <x:c r="A1647" s="1" t="s">
        <x:v>1656</x:v>
      </x:c>
      <x:c r="B1647" s="1">
        <x:f>IFERROR(__xludf.DUMMYFUNCTION("""COMPUTED_VALUE"""),"El cas Slevin")</x:f>
      </x:c>
      <x:c r="C1647" s="1">
        <x:f>IFERROR(__xludf.DUMMYFUNCTION("""COMPUTED_VALUE"""),"2006")</x:f>
      </x:c>
    </x:row>
    <x:row r="1648" spans="1:10">
      <x:c r="A1648" s="1" t="s">
        <x:v>1657</x:v>
      </x:c>
      <x:c r="B1648" s="1">
        <x:f>IFERROR(__xludf.DUMMYFUNCTION("""COMPUTED_VALUE"""),"El cas Sloane")</x:f>
      </x:c>
      <x:c r="C1648" s="1">
        <x:f>IFERROR(__xludf.DUMMYFUNCTION("""COMPUTED_VALUE"""),"2016")</x:f>
      </x:c>
    </x:row>
    <x:row r="1649" spans="1:10">
      <x:c r="A1649" s="1" t="s">
        <x:v>1658</x:v>
      </x:c>
      <x:c r="B1649" s="1">
        <x:f>IFERROR(__xludf.DUMMYFUNCTION("""COMPUTED_VALUE"""),"El cas Villa Caprice")</x:f>
      </x:c>
      <x:c r="C1649" s="1">
        <x:f>IFERROR(__xludf.DUMMYFUNCTION("""COMPUTED_VALUE"""),"2020")</x:f>
      </x:c>
    </x:row>
    <x:row r="1650" spans="1:10">
      <x:c r="A1650" s="1" t="s">
        <x:v>1659</x:v>
      </x:c>
      <x:c r="B1650" s="1">
        <x:f>IFERROR(__xludf.DUMMYFUNCTION("""COMPUTED_VALUE"""),"El cas Wells")</x:f>
      </x:c>
      <x:c r="C1650" s="1">
        <x:f>IFERROR(__xludf.DUMMYFUNCTION("""COMPUTED_VALUE"""),"2007")</x:f>
      </x:c>
    </x:row>
    <x:row r="1651" spans="1:10">
      <x:c r="A1651" s="1" t="s">
        <x:v>1660</x:v>
      </x:c>
      <x:c r="B1651" s="1">
        <x:f>IFERROR(__xludf.DUMMYFUNCTION("""COMPUTED_VALUE"""),"El casament d'en Nobita i la Shizuka")</x:f>
      </x:c>
      <x:c r="C1651" s="1">
        <x:f>IFERROR(__xludf.DUMMYFUNCTION("""COMPUTED_VALUE"""),"1999")</x:f>
      </x:c>
    </x:row>
    <x:row r="1652" spans="1:10">
      <x:c r="A1652" s="1" t="s">
        <x:v>1661</x:v>
      </x:c>
      <x:c r="B1652" s="1">
        <x:f>IFERROR(__xludf.DUMMYFUNCTION("""COMPUTED_VALUE"""),"El casament del meu ex")</x:f>
      </x:c>
      <x:c r="C1652" s="1">
        <x:f>IFERROR(__xludf.DUMMYFUNCTION("""COMPUTED_VALUE"""),"2018")</x:f>
      </x:c>
    </x:row>
    <x:row r="1653" spans="1:10">
      <x:c r="A1653" s="1" t="s">
        <x:v>1662</x:v>
      </x:c>
      <x:c r="B1653" s="1">
        <x:f>IFERROR(__xludf.DUMMYFUNCTION("""COMPUTED_VALUE"""),"El castell a través del mirall")</x:f>
      </x:c>
      <x:c r="C1653" s="1">
        <x:f>IFERROR(__xludf.DUMMYFUNCTION("""COMPUTED_VALUE"""),"2022")</x:f>
      </x:c>
    </x:row>
    <x:row r="1654" spans="1:10">
      <x:c r="A1654" s="1" t="s">
        <x:v>1663</x:v>
      </x:c>
      <x:c r="B1654" s="1">
        <x:f>IFERROR(__xludf.DUMMYFUNCTION("""COMPUTED_VALUE"""),"El castell al cel")</x:f>
      </x:c>
      <x:c r="C1654" s="1">
        <x:f>IFERROR(__xludf.DUMMYFUNCTION("""COMPUTED_VALUE"""),"1986")</x:f>
      </x:c>
    </x:row>
    <x:row r="1655" spans="1:10">
      <x:c r="A1655" s="1" t="s">
        <x:v>1664</x:v>
      </x:c>
      <x:c r="B1655" s="1">
        <x:f>IFERROR(__xludf.DUMMYFUNCTION("""COMPUTED_VALUE"""),"El castell ambulant")</x:f>
      </x:c>
      <x:c r="C1655" s="1">
        <x:f>IFERROR(__xludf.DUMMYFUNCTION("""COMPUTED_VALUE"""),"2004")</x:f>
      </x:c>
    </x:row>
    <x:row r="1656" spans="1:10">
      <x:c r="A1656" s="1" t="s">
        <x:v>1665</x:v>
      </x:c>
      <x:c r="B1656" s="1">
        <x:f>IFERROR(__xludf.DUMMYFUNCTION("""COMPUTED_VALUE"""),"El castell de Cagliostro")</x:f>
      </x:c>
      <x:c r="C1656" s="1">
        <x:f>IFERROR(__xludf.DUMMYFUNCTION("""COMPUTED_VALUE"""),"1979")</x:f>
      </x:c>
    </x:row>
    <x:row r="1657" spans="1:10">
      <x:c r="A1657" s="1" t="s">
        <x:v>1666</x:v>
      </x:c>
      <x:c r="B1657" s="1">
        <x:f>IFERROR(__xludf.DUMMYFUNCTION("""COMPUTED_VALUE"""),"El castigador")</x:f>
      </x:c>
      <x:c r="C1657" s="1">
        <x:f>IFERROR(__xludf.DUMMYFUNCTION("""COMPUTED_VALUE"""),"2004")</x:f>
      </x:c>
    </x:row>
    <x:row r="1658" spans="1:10">
      <x:c r="A1658" s="1" t="s">
        <x:v>1667</x:v>
      </x:c>
      <x:c r="B1658" s="1">
        <x:f>IFERROR(__xludf.DUMMYFUNCTION("""COMPUTED_VALUE"""),"El castor")</x:f>
      </x:c>
      <x:c r="C1658" s="1">
        <x:f>IFERROR(__xludf.DUMMYFUNCTION("""COMPUTED_VALUE"""),"2011")</x:f>
      </x:c>
    </x:row>
    <x:row r="1659" spans="1:10">
      <x:c r="A1659" s="1" t="s">
        <x:v>1668</x:v>
      </x:c>
      <x:c r="B1659" s="1">
        <x:f>IFERROR(__xludf.DUMMYFUNCTION("""COMPUTED_VALUE"""),"El cavall de l'orgull")</x:f>
      </x:c>
      <x:c r="C1659" s="1">
        <x:f>IFERROR(__xludf.DUMMYFUNCTION("""COMPUTED_VALUE"""),"1980")</x:f>
      </x:c>
    </x:row>
    <x:row r="1660" spans="1:10">
      <x:c r="A1660" s="1" t="s">
        <x:v>1669</x:v>
      </x:c>
      <x:c r="B1660" s="1">
        <x:f>IFERROR(__xludf.DUMMYFUNCTION("""COMPUTED_VALUE"""),"El cavall torinès [VOSC]")</x:f>
      </x:c>
      <x:c r="C1660" s="1">
        <x:f>IFERROR(__xludf.DUMMYFUNCTION("""COMPUTED_VALUE"""),"2011")</x:f>
      </x:c>
    </x:row>
    <x:row r="1661" spans="1:10">
      <x:c r="A1661" s="1" t="s">
        <x:v>1670</x:v>
      </x:c>
      <x:c r="B1661" s="1">
        <x:f>IFERROR(__xludf.DUMMYFUNCTION("""COMPUTED_VALUE"""),"El cavaller del drac")</x:f>
      </x:c>
      <x:c r="C1661" s="1">
        <x:f>IFERROR(__xludf.DUMMYFUNCTION("""COMPUTED_VALUE"""),"2020")</x:f>
      </x:c>
    </x:row>
    <x:row r="1662" spans="1:10">
      <x:c r="A1662" s="1" t="s">
        <x:v>1671</x:v>
      </x:c>
      <x:c r="B1662" s="1">
        <x:f>IFERROR(__xludf.DUMMYFUNCTION("""COMPUTED_VALUE"""),"El cavaller fosc")</x:f>
      </x:c>
      <x:c r="C1662" s="1">
        <x:f>IFERROR(__xludf.DUMMYFUNCTION("""COMPUTED_VALUE"""),"2008")</x:f>
      </x:c>
    </x:row>
    <x:row r="1663" spans="1:10">
      <x:c r="A1663" s="1" t="s">
        <x:v>1672</x:v>
      </x:c>
      <x:c r="B1663" s="1">
        <x:f>IFERROR(__xludf.DUMMYFUNCTION("""COMPUTED_VALUE"""),"El cavaller fosc: la llegenda reneix")</x:f>
      </x:c>
      <x:c r="C1663" s="1">
        <x:f>IFERROR(__xludf.DUMMYFUNCTION("""COMPUTED_VALUE"""),"2012")</x:f>
      </x:c>
    </x:row>
    <x:row r="1664" spans="1:10">
      <x:c r="A1664" s="1" t="s">
        <x:v>1673</x:v>
      </x:c>
      <x:c r="B1664" s="1">
        <x:f>IFERROR(__xludf.DUMMYFUNCTION("""COMPUTED_VALUE"""),"El cel és de veritat")</x:f>
      </x:c>
      <x:c r="C1664" s="1">
        <x:f>IFERROR(__xludf.DUMMYFUNCTION("""COMPUTED_VALUE"""),"2014")</x:f>
      </x:c>
    </x:row>
    <x:row r="1665" spans="1:10">
      <x:c r="A1665" s="1" t="s">
        <x:v>1674</x:v>
      </x:c>
      <x:c r="B1665" s="1">
        <x:f>IFERROR(__xludf.DUMMYFUNCTION("""COMPUTED_VALUE"""),"El cel no pot esperar")</x:f>
      </x:c>
      <x:c r="C1665" s="1">
        <x:f>IFERROR(__xludf.DUMMYFUNCTION("""COMPUTED_VALUE"""),"2001")</x:f>
      </x:c>
    </x:row>
    <x:row r="1666" spans="1:10">
      <x:c r="A1666" s="1" t="s">
        <x:v>1675</x:v>
      </x:c>
      <x:c r="B1666" s="1">
        <x:f>IFERROR(__xludf.DUMMYFUNCTION("""COMPUTED_VALUE"""),"El cel sobre John Lennon i Yoko Ono")</x:f>
      </x:c>
      <x:c r="C1666" s="1">
        <x:f>IFERROR(__xludf.DUMMYFUNCTION("""COMPUTED_VALUE"""),"2018")</x:f>
      </x:c>
    </x:row>
    <x:row r="1667" spans="1:10">
      <x:c r="A1667" s="1" t="s">
        <x:v>1676</x:v>
      </x:c>
      <x:c r="B1667" s="1">
        <x:f>IFERROR(__xludf.DUMMYFUNCTION("""COMPUTED_VALUE"""),"El centre d'en Jimmy")</x:f>
      </x:c>
      <x:c r="C1667" s="1">
        <x:f>IFERROR(__xludf.DUMMYFUNCTION("""COMPUTED_VALUE"""),"2014")</x:f>
      </x:c>
    </x:row>
    <x:row r="1668" spans="1:10">
      <x:c r="A1668" s="1" t="s">
        <x:v>1677</x:v>
      </x:c>
      <x:c r="B1668" s="1">
        <x:f>IFERROR(__xludf.DUMMYFUNCTION("""COMPUTED_VALUE"""),"El Ceptre d'Ottokar")</x:f>
      </x:c>
      <x:c r="C1668" s="1">
        <x:f>IFERROR(__xludf.DUMMYFUNCTION("""COMPUTED_VALUE"""),"1991")</x:f>
      </x:c>
    </x:row>
    <x:row r="1669" spans="1:10">
      <x:c r="A1669" s="1" t="s">
        <x:v>1678</x:v>
      </x:c>
      <x:c r="B1669" s="1">
        <x:f>IFERROR(__xludf.DUMMYFUNCTION("""COMPUTED_VALUE"""),"El Cid: la llegenda")</x:f>
      </x:c>
      <x:c r="C1669" s="1">
        <x:f>IFERROR(__xludf.DUMMYFUNCTION("""COMPUTED_VALUE"""),"2003")</x:f>
      </x:c>
    </x:row>
    <x:row r="1670" spans="1:10">
      <x:c r="A1670" s="1" t="s">
        <x:v>1679</x:v>
      </x:c>
      <x:c r="B1670" s="1">
        <x:f>IFERROR(__xludf.DUMMYFUNCTION("""COMPUTED_VALUE"""),"El cigne negre")</x:f>
      </x:c>
      <x:c r="C1670" s="1">
        <x:f>IFERROR(__xludf.DUMMYFUNCTION("""COMPUTED_VALUE"""),"2010")</x:f>
      </x:c>
    </x:row>
    <x:row r="1671" spans="1:10">
      <x:c r="A1671" s="1" t="s">
        <x:v>1680</x:v>
      </x:c>
      <x:c r="B1671" s="1">
        <x:f>IFERROR(__xludf.DUMMYFUNCTION("""COMPUTED_VALUE"""),"El cim")</x:f>
      </x:c>
      <x:c r="C1671" s="1">
        <x:f>IFERROR(__xludf.DUMMYFUNCTION("""COMPUTED_VALUE"""),"2019")</x:f>
      </x:c>
    </x:row>
    <x:row r="1672" spans="1:10">
      <x:c r="A1672" s="1" t="s">
        <x:v>1681</x:v>
      </x:c>
      <x:c r="B1672" s="1">
        <x:f>IFERROR(__xludf.DUMMYFUNCTION("""COMPUTED_VALUE"""),"El cim")</x:f>
      </x:c>
      <x:c r="C1672" s="1">
        <x:f>IFERROR(__xludf.DUMMYFUNCTION("""COMPUTED_VALUE"""),"2024")</x:f>
      </x:c>
    </x:row>
    <x:row r="1673" spans="1:10">
      <x:c r="A1673" s="1" t="s">
        <x:v>1682</x:v>
      </x:c>
      <x:c r="B1673" s="1">
        <x:f>IFERROR(__xludf.DUMMYFUNCTION("""COMPUTED_VALUE"""),"El cim de les vídues")</x:f>
      </x:c>
      <x:c r="C1673" s="1">
        <x:f>IFERROR(__xludf.DUMMYFUNCTION("""COMPUTED_VALUE"""),"1993")</x:f>
      </x:c>
    </x:row>
    <x:row r="1674" spans="1:10">
      <x:c r="A1674" s="1" t="s">
        <x:v>1683</x:v>
      </x:c>
      <x:c r="B1674" s="1">
        <x:f>IFERROR(__xludf.DUMMYFUNCTION("""COMPUTED_VALUE"""),"El cine de Paco")</x:f>
      </x:c>
      <x:c r="C1674" s="1">
        <x:f>IFERROR(__xludf.DUMMYFUNCTION("""COMPUTED_VALUE"""),"2012")</x:f>
      </x:c>
    </x:row>
    <x:row r="1675" spans="1:10">
      <x:c r="A1675" s="1" t="s">
        <x:v>1684</x:v>
      </x:c>
      <x:c r="B1675" s="1">
        <x:f>IFERROR(__xludf.DUMMYFUNCTION("""COMPUTED_VALUE"""),"El cinquè element")</x:f>
      </x:c>
      <x:c r="C1675" s="1">
        <x:f>IFERROR(__xludf.DUMMYFUNCTION("""COMPUTED_VALUE"""),"1997")</x:f>
      </x:c>
    </x:row>
    <x:row r="1676" spans="1:10">
      <x:c r="A1676" s="1" t="s">
        <x:v>1685</x:v>
      </x:c>
      <x:c r="B1676" s="1">
        <x:f>IFERROR(__xludf.DUMMYFUNCTION("""COMPUTED_VALUE"""),"El cinquè poder")</x:f>
      </x:c>
      <x:c r="C1676" s="1">
        <x:f>IFERROR(__xludf.DUMMYFUNCTION("""COMPUTED_VALUE"""),"2013")</x:f>
      </x:c>
    </x:row>
    <x:row r="1677" spans="1:10">
      <x:c r="A1677" s="1" t="s">
        <x:v>1686</x:v>
      </x:c>
      <x:c r="B1677" s="1">
        <x:f>IFERROR(__xludf.DUMMYFUNCTION("""COMPUTED_VALUE"""),"El circ d’en Topets i en Taquetes")</x:f>
      </x:c>
      <x:c r="C1677" s="1">
        <x:f>IFERROR(__xludf.DUMMYFUNCTION("""COMPUTED_VALUE"""),"2013")</x:f>
      </x:c>
    </x:row>
    <x:row r="1678" spans="1:10">
      <x:c r="A1678" s="1" t="s">
        <x:v>1687</x:v>
      </x:c>
      <x:c r="B1678" s="1">
        <x:f>IFERROR(__xludf.DUMMYFUNCTION("""COMPUTED_VALUE"""),"El client")</x:f>
      </x:c>
      <x:c r="C1678" s="1">
        <x:f>IFERROR(__xludf.DUMMYFUNCTION("""COMPUTED_VALUE"""),"1994")</x:f>
      </x:c>
    </x:row>
    <x:row r="1679" spans="1:10">
      <x:c r="A1679" s="1" t="s">
        <x:v>1688</x:v>
      </x:c>
      <x:c r="B1679" s="1">
        <x:f>IFERROR(__xludf.DUMMYFUNCTION("""COMPUTED_VALUE"""),"El club de cuina")</x:f>
      </x:c>
      <x:c r="C1679" s="1">
        <x:f>IFERROR(__xludf.DUMMYFUNCTION("""COMPUTED_VALUE"""),"2020")</x:f>
      </x:c>
    </x:row>
    <x:row r="1680" spans="1:10">
      <x:c r="A1680" s="1" t="s">
        <x:v>1689</x:v>
      </x:c>
      <x:c r="B1680" s="1">
        <x:f>IFERROR(__xludf.DUMMYFUNCTION("""COMPUTED_VALUE"""),"El club de l'odi")</x:f>
      </x:c>
      <x:c r="C1680" s="1">
        <x:f>IFERROR(__xludf.DUMMYFUNCTION("""COMPUTED_VALUE"""),"2022")</x:f>
      </x:c>
    </x:row>
    <x:row r="1681" spans="1:10">
      <x:c r="A1681" s="1" t="s">
        <x:v>1690</x:v>
      </x:c>
      <x:c r="B1681" s="1">
        <x:f>IFERROR(__xludf.DUMMYFUNCTION("""COMPUTED_VALUE"""),"El club de les abelles reina (Queen Bees)")</x:f>
      </x:c>
      <x:c r="C1681" s="1">
        <x:f>IFERROR(__xludf.DUMMYFUNCTION("""COMPUTED_VALUE"""),"2021")</x:f>
      </x:c>
    </x:row>
    <x:row r="1682" spans="1:10">
      <x:c r="A1682" s="1" t="s">
        <x:v>1691</x:v>
      </x:c>
      <x:c r="B1682" s="1">
        <x:f>IFERROR(__xludf.DUMMYFUNCTION("""COMPUTED_VALUE"""),"El club de les polseres vermelles. Com va començar tot")</x:f>
      </x:c>
      <x:c r="C1682" s="1">
        <x:f>IFERROR(__xludf.DUMMYFUNCTION("""COMPUTED_VALUE"""),"2019")</x:f>
      </x:c>
    </x:row>
    <x:row r="1683" spans="1:10">
      <x:c r="A1683" s="1" t="s">
        <x:v>1692</x:v>
      </x:c>
      <x:c r="B1683" s="1">
        <x:f>IFERROR(__xludf.DUMMYFUNCTION("""COMPUTED_VALUE"""),"El club dels divorciats")</x:f>
      </x:c>
      <x:c r="C1683" s="1">
        <x:f>IFERROR(__xludf.DUMMYFUNCTION("""COMPUTED_VALUE"""),"2020")</x:f>
      </x:c>
    </x:row>
    <x:row r="1684" spans="1:10">
      <x:c r="A1684" s="1" t="s">
        <x:v>1693</x:v>
      </x:c>
      <x:c r="B1684" s="1">
        <x:f>IFERROR(__xludf.DUMMYFUNCTION("""COMPUTED_VALUE"""),"El club dels joves multimilionaris")</x:f>
      </x:c>
      <x:c r="C1684" s="1">
        <x:f>IFERROR(__xludf.DUMMYFUNCTION("""COMPUTED_VALUE"""),"2018")</x:f>
      </x:c>
    </x:row>
    <x:row r="1685" spans="1:10">
      <x:c r="A1685" s="1" t="s">
        <x:v>1694</x:v>
      </x:c>
      <x:c r="B1685" s="1">
        <x:f>IFERROR(__xludf.DUMMYFUNCTION("""COMPUTED_VALUE"""),"El club dels miracles")</x:f>
      </x:c>
      <x:c r="C1685" s="1">
        <x:f>IFERROR(__xludf.DUMMYFUNCTION("""COMPUTED_VALUE"""),"2023")</x:f>
      </x:c>
    </x:row>
    <x:row r="1686" spans="1:10">
      <x:c r="A1686" s="1" t="s">
        <x:v>1695</x:v>
      </x:c>
      <x:c r="B1686" s="1">
        <x:f>IFERROR(__xludf.DUMMYFUNCTION("""COMPUTED_VALUE"""),"El club social de Cheyenne")</x:f>
      </x:c>
      <x:c r="C1686" s="1">
        <x:f>IFERROR(__xludf.DUMMYFUNCTION("""COMPUTED_VALUE"""),"1970")</x:f>
      </x:c>
    </x:row>
    <x:row r="1687" spans="1:10">
      <x:c r="A1687" s="1" t="s">
        <x:v>1696</x:v>
      </x:c>
      <x:c r="B1687" s="1">
        <x:f>IFERROR(__xludf.DUMMYFUNCTION("""COMPUTED_VALUE"""),"El cocodril no em fa por")</x:f>
      </x:c>
      <x:c r="C1687" s="1">
        <x:f>IFERROR(__xludf.DUMMYFUNCTION("""COMPUTED_VALUE"""),"2018")</x:f>
      </x:c>
    </x:row>
    <x:row r="1688" spans="1:10">
      <x:c r="A1688" s="1" t="s">
        <x:v>1697</x:v>
      </x:c>
      <x:c r="B1688" s="1">
        <x:f>IFERROR(__xludf.DUMMYFUNCTION("""COMPUTED_VALUE"""),"El codi Da Vinci")</x:f>
      </x:c>
      <x:c r="C1688" s="1">
        <x:f>IFERROR(__xludf.DUMMYFUNCTION("""COMPUTED_VALUE"""),"2006")</x:f>
      </x:c>
    </x:row>
    <x:row r="1689" spans="1:10">
      <x:c r="A1689" s="1" t="s">
        <x:v>1698</x:v>
      </x:c>
      <x:c r="B1689" s="1">
        <x:f>IFERROR(__xludf.DUMMYFUNCTION("""COMPUTED_VALUE"""),"El col·leccionista")</x:f>
      </x:c>
      <x:c r="C1689" s="1">
        <x:f>IFERROR(__xludf.DUMMYFUNCTION("""COMPUTED_VALUE"""),"1965")</x:f>
      </x:c>
    </x:row>
    <x:row r="1690" spans="1:10">
      <x:c r="A1690" s="1" t="s">
        <x:v>1699</x:v>
      </x:c>
      <x:c r="B1690" s="1">
        <x:f>IFERROR(__xludf.DUMMYFUNCTION("""COMPUTED_VALUE"""),"El col·leccionista")</x:f>
      </x:c>
      <x:c r="C1690" s="1">
        <x:f>IFERROR(__xludf.DUMMYFUNCTION("""COMPUTED_VALUE"""),"2009")</x:f>
      </x:c>
    </x:row>
    <x:row r="1691" spans="1:10">
      <x:c r="A1691" s="1" t="s">
        <x:v>1700</x:v>
      </x:c>
      <x:c r="B1691" s="1">
        <x:f>IFERROR(__xludf.DUMMYFUNCTION("""COMPUTED_VALUE"""),"El col·leccionista d'ossos")</x:f>
      </x:c>
      <x:c r="C1691" s="1">
        <x:f>IFERROR(__xludf.DUMMYFUNCTION("""COMPUTED_VALUE"""),"1999")</x:f>
      </x:c>
    </x:row>
    <x:row r="1692" spans="1:10">
      <x:c r="A1692" s="1" t="s">
        <x:v>1701</x:v>
      </x:c>
      <x:c r="B1692" s="1">
        <x:f>IFERROR(__xludf.DUMMYFUNCTION("""COMPUTED_VALUE"""),"El col·lectiu")</x:f>
      </x:c>
      <x:c r="C1692" s="1">
        <x:f>IFERROR(__xludf.DUMMYFUNCTION("""COMPUTED_VALUE"""),"2023")</x:f>
      </x:c>
    </x:row>
    <x:row r="1693" spans="1:10">
      <x:c r="A1693" s="1" t="s">
        <x:v>1702</x:v>
      </x:c>
      <x:c r="B1693" s="1">
        <x:f>IFERROR(__xludf.DUMMYFUNCTION("""COMPUTED_VALUE"""),"El col·legi d'animals màgics 2: L'origen")</x:f>
      </x:c>
      <x:c r="C1693" s="1">
        <x:f>IFERROR(__xludf.DUMMYFUNCTION("""COMPUTED_VALUE"""),"2022")</x:f>
      </x:c>
    </x:row>
    <x:row r="1694" spans="1:10">
      <x:c r="A1694" s="1" t="s">
        <x:v>1703</x:v>
      </x:c>
      <x:c r="B1694" s="1">
        <x:f>IFERROR(__xludf.DUMMYFUNCTION("""COMPUTED_VALUE"""),"El col·legi dels animals màgics")</x:f>
      </x:c>
      <x:c r="C1694" s="1">
        <x:f>IFERROR(__xludf.DUMMYFUNCTION("""COMPUTED_VALUE"""),"2021")</x:f>
      </x:c>
    </x:row>
    <x:row r="1695" spans="1:10">
      <x:c r="A1695" s="1" t="s">
        <x:v>1704</x:v>
      </x:c>
      <x:c r="B1695" s="1">
        <x:f>IFERROR(__xludf.DUMMYFUNCTION("""COMPUTED_VALUE"""),"El color de la nit")</x:f>
      </x:c>
      <x:c r="C1695" s="1">
        <x:f>IFERROR(__xludf.DUMMYFUNCTION("""COMPUTED_VALUE"""),"1994")</x:f>
      </x:c>
    </x:row>
    <x:row r="1696" spans="1:10">
      <x:c r="A1696" s="1" t="s">
        <x:v>1705</x:v>
      </x:c>
      <x:c r="B1696" s="1">
        <x:f>IFERROR(__xludf.DUMMYFUNCTION("""COMPUTED_VALUE"""),"El color del crim")</x:f>
      </x:c>
      <x:c r="C1696" s="1">
        <x:f>IFERROR(__xludf.DUMMYFUNCTION("""COMPUTED_VALUE"""),"2006")</x:f>
      </x:c>
    </x:row>
    <x:row r="1697" spans="1:10">
      <x:c r="A1697" s="1" t="s">
        <x:v>1706</x:v>
      </x:c>
      <x:c r="B1697" s="1">
        <x:f>IFERROR(__xludf.DUMMYFUNCTION("""COMPUTED_VALUE"""),"El color porpra")</x:f>
      </x:c>
      <x:c r="C1697" s="1">
        <x:f>IFERROR(__xludf.DUMMYFUNCTION("""COMPUTED_VALUE"""),"2023")</x:f>
      </x:c>
    </x:row>
    <x:row r="1698" spans="1:10">
      <x:c r="A1698" s="1" t="s">
        <x:v>1707</x:v>
      </x:c>
      <x:c r="B1698" s="1">
        <x:f>IFERROR(__xludf.DUMMYFUNCTION("""COMPUTED_VALUE"""),"El color púrpura")</x:f>
      </x:c>
      <x:c r="C1698" s="1">
        <x:f>IFERROR(__xludf.DUMMYFUNCTION("""COMPUTED_VALUE"""),"1985")</x:f>
      </x:c>
    </x:row>
    <x:row r="1699" spans="1:10">
      <x:c r="A1699" s="1" t="s">
        <x:v>1708</x:v>
      </x:c>
      <x:c r="B1699" s="1">
        <x:f>IFERROR(__xludf.DUMMYFUNCTION("""COMPUTED_VALUE"""),"El colós en flames")</x:f>
      </x:c>
      <x:c r="C1699" s="1">
        <x:f>IFERROR(__xludf.DUMMYFUNCTION("""COMPUTED_VALUE"""),"1974")</x:f>
      </x:c>
    </x:row>
    <x:row r="1700" spans="1:10">
      <x:c r="A1700" s="1" t="s">
        <x:v>1709</x:v>
      </x:c>
      <x:c r="B1700" s="1">
        <x:f>IFERROR(__xludf.DUMMYFUNCTION("""COMPUTED_VALUE"""),"El comissari i la nena")</x:f>
      </x:c>
      <x:c r="C1700" s="1">
        <x:f>IFERROR(__xludf.DUMMYFUNCTION("""COMPUTED_VALUE"""),"2017")</x:f>
      </x:c>
    </x:row>
    <x:row r="1701" spans="1:10">
      <x:c r="A1701" s="1" t="s">
        <x:v>1710</x:v>
      </x:c>
      <x:c r="B1701" s="1">
        <x:f>IFERROR(__xludf.DUMMYFUNCTION("""COMPUTED_VALUE"""),"El complot dels anells")</x:f>
      </x:c>
      <x:c r="C1701" s="1">
        <x:f>IFERROR(__xludf.DUMMYFUNCTION("""COMPUTED_VALUE"""),"1988")</x:f>
      </x:c>
    </x:row>
    <x:row r="1702" spans="1:10">
      <x:c r="A1702" s="1" t="s">
        <x:v>1711</x:v>
      </x:c>
      <x:c r="B1702" s="1">
        <x:f>IFERROR(__xludf.DUMMYFUNCTION("""COMPUTED_VALUE"""),"El comptable")</x:f>
      </x:c>
      <x:c r="C1702" s="1">
        <x:f>IFERROR(__xludf.DUMMYFUNCTION("""COMPUTED_VALUE"""),"2016")</x:f>
      </x:c>
    </x:row>
    <x:row r="1703" spans="1:10">
      <x:c r="A1703" s="1" t="s">
        <x:v>1712</x:v>
      </x:c>
      <x:c r="B1703" s="1">
        <x:f>IFERROR(__xludf.DUMMYFUNCTION("""COMPUTED_VALUE"""),"El conductor")</x:f>
      </x:c>
      <x:c r="C1703" s="1">
        <x:f>IFERROR(__xludf.DUMMYFUNCTION("""COMPUTED_VALUE"""),"2019")</x:f>
      </x:c>
    </x:row>
    <x:row r="1704" spans="1:10">
      <x:c r="A1704" s="1" t="s">
        <x:v>1713</x:v>
      </x:c>
      <x:c r="B1704" s="1">
        <x:f>IFERROR(__xludf.DUMMYFUNCTION("""COMPUTED_VALUE"""),"El consell de guerra del motí del Caine")</x:f>
      </x:c>
      <x:c r="C1704" s="1">
        <x:f>IFERROR(__xludf.DUMMYFUNCTION("""COMPUTED_VALUE"""),"1988")</x:f>
      </x:c>
    </x:row>
    <x:row r="1705" spans="1:10">
      <x:c r="A1705" s="1" t="s">
        <x:v>1714</x:v>
      </x:c>
      <x:c r="B1705" s="1">
        <x:f>IFERROR(__xludf.DUMMYFUNCTION("""COMPUTED_VALUE"""),"El convidat")</x:f>
      </x:c>
      <x:c r="C1705" s="1">
        <x:f>IFERROR(__xludf.DUMMYFUNCTION("""COMPUTED_VALUE"""),"2014")</x:f>
      </x:c>
    </x:row>
    <x:row r="1706" spans="1:10">
      <x:c r="A1706" s="1" t="s">
        <x:v>1715</x:v>
      </x:c>
      <x:c r="B1706" s="1">
        <x:f>IFERROR(__xludf.DUMMYFUNCTION("""COMPUTED_VALUE"""),"El cop")</x:f>
      </x:c>
      <x:c r="C1706" s="1">
        <x:f>IFERROR(__xludf.DUMMYFUNCTION("""COMPUTED_VALUE"""),"1973")</x:f>
      </x:c>
    </x:row>
    <x:row r="1707" spans="1:10">
      <x:c r="A1707" s="1" t="s">
        <x:v>1716</x:v>
      </x:c>
      <x:c r="B1707" s="1">
        <x:f>IFERROR(__xludf.DUMMYFUNCTION("""COMPUTED_VALUE"""),"El cor")</x:f>
      </x:c>
      <x:c r="C1707" s="1">
        <x:f>IFERROR(__xludf.DUMMYFUNCTION("""COMPUTED_VALUE"""),"2014")</x:f>
      </x:c>
    </x:row>
    <x:row r="1708" spans="1:10">
      <x:c r="A1708" s="1" t="s">
        <x:v>1717</x:v>
      </x:c>
      <x:c r="B1708" s="1">
        <x:f>IFERROR(__xludf.DUMMYFUNCTION("""COMPUTED_VALUE"""),"El cor de l'àngel")</x:f>
      </x:c>
      <x:c r="C1708" s="1">
        <x:f>IFERROR(__xludf.DUMMYFUNCTION("""COMPUTED_VALUE"""),"1987")</x:f>
      </x:c>
    </x:row>
    <x:row r="1709" spans="1:10">
      <x:c r="A1709" s="1" t="s">
        <x:v>1718</x:v>
      </x:c>
      <x:c r="B1709" s="1">
        <x:f>IFERROR(__xludf.DUMMYFUNCTION("""COMPUTED_VALUE"""),"El cor de l'avi")</x:f>
      </x:c>
      <x:c r="C1709" s="1">
        <x:f>IFERROR(__xludf.DUMMYFUNCTION("""COMPUTED_VALUE"""),"2023")</x:f>
      </x:c>
    </x:row>
    <x:row r="1710" spans="1:10">
      <x:c r="A1710" s="1" t="s">
        <x:v>1719</x:v>
      </x:c>
      <x:c r="B1710" s="1">
        <x:f>IFERROR(__xludf.DUMMYFUNCTION("""COMPUTED_VALUE"""),"El cor de la terra")</x:f>
      </x:c>
      <x:c r="C1710" s="1">
        <x:f>IFERROR(__xludf.DUMMYFUNCTION("""COMPUTED_VALUE"""),"2007")</x:f>
      </x:c>
    </x:row>
    <x:row r="1711" spans="1:10">
      <x:c r="A1711" s="1" t="s">
        <x:v>1720</x:v>
      </x:c>
      <x:c r="B1711" s="1">
        <x:f>IFERROR(__xludf.DUMMYFUNCTION("""COMPUTED_VALUE"""),"El cor del roure")</x:f>
      </x:c>
      <x:c r="C1711" s="1">
        <x:f>IFERROR(__xludf.DUMMYFUNCTION("""COMPUTED_VALUE"""),"2012")</x:f>
      </x:c>
    </x:row>
    <x:row r="1712" spans="1:10">
      <x:c r="A1712" s="1" t="s">
        <x:v>1721</x:v>
      </x:c>
      <x:c r="B1712" s="1">
        <x:f>IFERROR(__xludf.DUMMYFUNCTION("""COMPUTED_VALUE"""),"El corb 2: La ciutat dels àngels")</x:f>
      </x:c>
      <x:c r="C1712" s="1">
        <x:f>IFERROR(__xludf.DUMMYFUNCTION("""COMPUTED_VALUE"""),"1996")</x:f>
      </x:c>
    </x:row>
    <x:row r="1713" spans="1:10">
      <x:c r="A1713" s="1" t="s">
        <x:v>1722</x:v>
      </x:c>
      <x:c r="B1713" s="1">
        <x:f>IFERROR(__xludf.DUMMYFUNCTION("""COMPUTED_VALUE"""),"El coronel Macià")</x:f>
      </x:c>
      <x:c r="C1713" s="1">
        <x:f>IFERROR(__xludf.DUMMYFUNCTION("""COMPUTED_VALUE"""),"2006")</x:f>
      </x:c>
    </x:row>
    <x:row r="1714" spans="1:10">
      <x:c r="A1714" s="1" t="s">
        <x:v>1723</x:v>
      </x:c>
      <x:c r="B1714" s="1">
        <x:f>IFERROR(__xludf.DUMMYFUNCTION("""COMPUTED_VALUE"""),"El corral, una festa molt animal")</x:f>
      </x:c>
      <x:c r="C1714" s="1">
        <x:f>IFERROR(__xludf.DUMMYFUNCTION("""COMPUTED_VALUE"""),"2006")</x:f>
      </x:c>
    </x:row>
    <x:row r="1715" spans="1:10">
      <x:c r="A1715" s="1" t="s">
        <x:v>1724</x:v>
      </x:c>
      <x:c r="B1715" s="1">
        <x:f>IFERROR(__xludf.DUMMYFUNCTION("""COMPUTED_VALUE"""),"El corredor de la mort")</x:f>
      </x:c>
      <x:c r="C1715" s="1">
        <x:f>IFERROR(__xludf.DUMMYFUNCTION("""COMPUTED_VALUE"""),"1995")</x:f>
      </x:c>
    </x:row>
    <x:row r="1716" spans="1:10">
      <x:c r="A1716" s="1" t="s">
        <x:v>1725</x:v>
      </x:c>
      <x:c r="B1716" s="1">
        <x:f>IFERROR(__xludf.DUMMYFUNCTION("""COMPUTED_VALUE"""),"El cos")</x:f>
      </x:c>
      <x:c r="C1716" s="1">
        <x:f>IFERROR(__xludf.DUMMYFUNCTION("""COMPUTED_VALUE"""),"2012")</x:f>
      </x:c>
    </x:row>
    <x:row r="1717" spans="1:10">
      <x:c r="A1717" s="1" t="s">
        <x:v>1726</x:v>
      </x:c>
      <x:c r="B1717" s="1">
        <x:f>IFERROR(__xludf.DUMMYFUNCTION("""COMPUTED_VALUE"""),"El cotxe equivocat")</x:f>
      </x:c>
      <x:c r="C1717" s="1">
        <x:f>IFERROR(__xludf.DUMMYFUNCTION("""COMPUTED_VALUE"""),"2016")</x:f>
      </x:c>
    </x:row>
    <x:row r="1718" spans="1:10">
      <x:c r="A1718" s="1" t="s">
        <x:v>1727</x:v>
      </x:c>
      <x:c r="B1718" s="1">
        <x:f>IFERROR(__xludf.DUMMYFUNCTION("""COMPUTED_VALUE"""),"El cranc de les pinces d'or")</x:f>
      </x:c>
      <x:c r="C1718" s="1">
        <x:f>IFERROR(__xludf.DUMMYFUNCTION("""COMPUTED_VALUE"""),"1991")</x:f>
      </x:c>
    </x:row>
    <x:row r="1719" spans="1:10">
      <x:c r="A1719" s="1" t="s">
        <x:v>1728</x:v>
      </x:c>
      <x:c r="B1719" s="1">
        <x:f>IFERROR(__xludf.DUMMYFUNCTION("""COMPUTED_VALUE"""),"El crèdit")</x:f>
      </x:c>
      <x:c r="C1719" s="1">
        <x:f>IFERROR(__xludf.DUMMYFUNCTION("""COMPUTED_VALUE"""),"2020")</x:f>
      </x:c>
    </x:row>
    <x:row r="1720" spans="1:10">
      <x:c r="A1720" s="1" t="s">
        <x:v>1729</x:v>
      </x:c>
      <x:c r="B1720" s="1">
        <x:f>IFERROR(__xludf.DUMMYFUNCTION("""COMPUTED_VALUE"""),"El crepuscle")</x:f>
      </x:c>
      <x:c r="C1720" s="1">
        <x:f>IFERROR(__xludf.DUMMYFUNCTION("""COMPUTED_VALUE"""),"2000")</x:f>
      </x:c>
    </x:row>
    <x:row r="1721" spans="1:10">
      <x:c r="A1721" s="1" t="s">
        <x:v>1730</x:v>
      </x:c>
      <x:c r="B1721" s="1">
        <x:f>IFERROR(__xludf.DUMMYFUNCTION("""COMPUTED_VALUE"""),"El crim de Georgetown")</x:f>
      </x:c>
      <x:c r="C1721" s="1">
        <x:f>IFERROR(__xludf.DUMMYFUNCTION("""COMPUTED_VALUE"""),"2019")</x:f>
      </x:c>
    </x:row>
    <x:row r="1722" spans="1:10">
      <x:c r="A1722" s="1" t="s">
        <x:v>1731</x:v>
      </x:c>
      <x:c r="B1722" s="1">
        <x:f>IFERROR(__xludf.DUMMYFUNCTION("""COMPUTED_VALUE"""),"El criminal")</x:f>
      </x:c>
      <x:c r="C1722" s="1">
        <x:f>IFERROR(__xludf.DUMMYFUNCTION("""COMPUTED_VALUE"""),"2010")</x:f>
      </x:c>
    </x:row>
    <x:row r="1723" spans="1:10">
      <x:c r="A1723" s="1" t="s">
        <x:v>1732</x:v>
      </x:c>
      <x:c r="B1723" s="1">
        <x:f>IFERROR(__xludf.DUMMYFUNCTION("""COMPUTED_VALUE"""),"El cub")</x:f>
      </x:c>
      <x:c r="C1723" s="1">
        <x:f>IFERROR(__xludf.DUMMYFUNCTION("""COMPUTED_VALUE"""),"1997")</x:f>
      </x:c>
    </x:row>
    <x:row r="1724" spans="1:10">
      <x:c r="A1724" s="1" t="s">
        <x:v>1733</x:v>
      </x:c>
      <x:c r="B1724" s="1">
        <x:f>IFERROR(__xludf.DUMMYFUNCTION("""COMPUTED_VALUE"""),"El cuirassat Potemkin")</x:f>
      </x:c>
      <x:c r="C1724" s="1">
        <x:f>IFERROR(__xludf.DUMMYFUNCTION("""COMPUTED_VALUE"""),"1925")</x:f>
      </x:c>
    </x:row>
    <x:row r="1725" spans="1:10">
      <x:c r="A1725" s="1" t="s">
        <x:v>1734</x:v>
      </x:c>
      <x:c r="B1725" s="1">
        <x:f>IFERROR(__xludf.DUMMYFUNCTION("""COMPUTED_VALUE"""),"El culpable")</x:f>
      </x:c>
      <x:c r="C1725" s="1">
        <x:f>IFERROR(__xludf.DUMMYFUNCTION("""COMPUTED_VALUE"""),"2018")</x:f>
      </x:c>
    </x:row>
    <x:row r="1726" spans="1:10">
      <x:c r="A1726" s="1" t="s">
        <x:v>1735</x:v>
      </x:c>
      <x:c r="B1726" s="1">
        <x:f>IFERROR(__xludf.DUMMYFUNCTION("""COMPUTED_VALUE"""),"El curiós cas de Benjamin Button")</x:f>
      </x:c>
      <x:c r="C1726" s="1">
        <x:f>IFERROR(__xludf.DUMMYFUNCTION("""COMPUTED_VALUE"""),"2008")</x:f>
      </x:c>
    </x:row>
    <x:row r="1727" spans="1:10">
      <x:c r="A1727" s="1" t="s">
        <x:v>1736</x:v>
      </x:c>
      <x:c r="B1727" s="1">
        <x:f>IFERROR(__xludf.DUMMYFUNCTION("""COMPUTED_VALUE"""),"El darrer mestre d'aixa")</x:f>
      </x:c>
      <x:c r="C1727" s="1">
        <x:f>IFERROR(__xludf.DUMMYFUNCTION("""COMPUTED_VALUE"""),"2011")</x:f>
      </x:c>
    </x:row>
    <x:row r="1728" spans="1:10">
      <x:c r="A1728" s="1" t="s">
        <x:v>1737</x:v>
      </x:c>
      <x:c r="B1728" s="1">
        <x:f>IFERROR(__xludf.DUMMYFUNCTION("""COMPUTED_VALUE"""),"El demà no mor mai")</x:f>
      </x:c>
      <x:c r="C1728" s="1">
        <x:f>IFERROR(__xludf.DUMMYFUNCTION("""COMPUTED_VALUE"""),"1997")</x:f>
      </x:c>
    </x:row>
    <x:row r="1729" spans="1:10">
      <x:c r="A1729" s="1" t="s">
        <x:v>1738</x:v>
      </x:c>
      <x:c r="B1729" s="1">
        <x:f>IFERROR(__xludf.DUMMYFUNCTION("""COMPUTED_VALUE"""),"El dentista")</x:f>
      </x:c>
      <x:c r="C1729" s="1">
        <x:f>IFERROR(__xludf.DUMMYFUNCTION("""COMPUTED_VALUE"""),"1996")</x:f>
      </x:c>
    </x:row>
    <x:row r="1730" spans="1:10">
      <x:c r="A1730" s="1" t="s">
        <x:v>1739</x:v>
      </x:c>
      <x:c r="B1730" s="1">
        <x:f>IFERROR(__xludf.DUMMYFUNCTION("""COMPUTED_VALUE"""),"El dentista 2")</x:f>
      </x:c>
      <x:c r="C1730" s="1">
        <x:f>IFERROR(__xludf.DUMMYFUNCTION("""COMPUTED_VALUE"""),"1998")</x:f>
      </x:c>
    </x:row>
    <x:row r="1731" spans="1:10">
      <x:c r="A1731" s="1" t="s">
        <x:v>1740</x:v>
      </x:c>
      <x:c r="B1731" s="1">
        <x:f>IFERROR(__xludf.DUMMYFUNCTION("""COMPUTED_VALUE"""),"El desafiament")</x:f>
      </x:c>
      <x:c r="C1731" s="1">
        <x:f>IFERROR(__xludf.DUMMYFUNCTION("""COMPUTED_VALUE"""),"2015")</x:f>
      </x:c>
    </x:row>
    <x:row r="1732" spans="1:10">
      <x:c r="A1732" s="1" t="s">
        <x:v>1741</x:v>
      </x:c>
      <x:c r="B1732" s="1">
        <x:f>IFERROR(__xludf.DUMMYFUNCTION("""COMPUTED_VALUE"""),"El desafiament de les àguiles")</x:f>
      </x:c>
      <x:c r="C1732" s="1">
        <x:f>IFERROR(__xludf.DUMMYFUNCTION("""COMPUTED_VALUE"""),"1968")</x:f>
      </x:c>
    </x:row>
    <x:row r="1733" spans="1:10">
      <x:c r="A1733" s="1" t="s">
        <x:v>1742</x:v>
      </x:c>
      <x:c r="B1733" s="1">
        <x:f>IFERROR(__xludf.DUMMYFUNCTION("""COMPUTED_VALUE"""),"El desafiament dels set magnífics")</x:f>
      </x:c>
      <x:c r="C1733" s="1">
        <x:f>IFERROR(__xludf.DUMMYFUNCTION("""COMPUTED_VALUE"""),"1972")</x:f>
      </x:c>
    </x:row>
    <x:row r="1734" spans="1:10">
      <x:c r="A1734" s="1" t="s">
        <x:v>1743</x:v>
      </x:c>
      <x:c r="B1734" s="1">
        <x:f>IFERROR(__xludf.DUMMYFUNCTION("""COMPUTED_VALUE"""),"El descobriment del cel")</x:f>
      </x:c>
      <x:c r="C1734" s="1">
        <x:f>IFERROR(__xludf.DUMMYFUNCTION("""COMPUTED_VALUE"""),"2001")</x:f>
      </x:c>
    </x:row>
    <x:row r="1735" spans="1:10">
      <x:c r="A1735" s="1" t="s">
        <x:v>1744</x:v>
      </x:c>
      <x:c r="B1735" s="1">
        <x:f>IFERROR(__xludf.DUMMYFUNCTION("""COMPUTED_VALUE"""),"El desconegut")</x:f>
      </x:c>
      <x:c r="C1735" s="1">
        <x:f>IFERROR(__xludf.DUMMYFUNCTION("""COMPUTED_VALUE"""),"1946")</x:f>
      </x:c>
    </x:row>
    <x:row r="1736" spans="1:10">
      <x:c r="A1736" s="1" t="s">
        <x:v>1745</x:v>
      </x:c>
      <x:c r="B1736" s="1">
        <x:f>IFERROR(__xludf.DUMMYFUNCTION("""COMPUTED_VALUE"""),"El despertar")</x:f>
      </x:c>
      <x:c r="C1736" s="1">
        <x:f>IFERROR(__xludf.DUMMYFUNCTION("""COMPUTED_VALUE"""),"1946")</x:f>
      </x:c>
    </x:row>
    <x:row r="1737" spans="1:10">
      <x:c r="A1737" s="1" t="s">
        <x:v>1746</x:v>
      </x:c>
      <x:c r="B1737" s="1">
        <x:f>IFERROR(__xludf.DUMMYFUNCTION("""COMPUTED_VALUE"""),"El despertar")</x:f>
      </x:c>
      <x:c r="C1737" s="1">
        <x:f>IFERROR(__xludf.DUMMYFUNCTION("""COMPUTED_VALUE"""),"2011")</x:f>
      </x:c>
    </x:row>
    <x:row r="1738" spans="1:10">
      <x:c r="A1738" s="1" t="s">
        <x:v>1747</x:v>
      </x:c>
      <x:c r="B1738" s="1">
        <x:f>IFERROR(__xludf.DUMMYFUNCTION("""COMPUTED_VALUE"""),"El despertar")</x:f>
      </x:c>
      <x:c r="C1738" s="1">
        <x:f>IFERROR(__xludf.DUMMYFUNCTION("""COMPUTED_VALUE"""),"2020")</x:f>
      </x:c>
    </x:row>
    <x:row r="1739" spans="1:10">
      <x:c r="A1739" s="1" t="s">
        <x:v>1748</x:v>
      </x:c>
      <x:c r="B1739" s="1">
        <x:f>IFERROR(__xludf.DUMMYFUNCTION("""COMPUTED_VALUE"""),"El despertar de l'amor")</x:f>
      </x:c>
      <x:c r="C1739" s="1">
        <x:f>IFERROR(__xludf.DUMMYFUNCTION("""COMPUTED_VALUE"""),"2005")</x:f>
      </x:c>
    </x:row>
    <x:row r="1740" spans="1:10">
      <x:c r="A1740" s="1" t="s">
        <x:v>1749</x:v>
      </x:c>
      <x:c r="B1740" s="1">
        <x:f>IFERROR(__xludf.DUMMYFUNCTION("""COMPUTED_VALUE"""),"El despertar de la Maria")</x:f>
      </x:c>
      <x:c r="C1740" s="1">
        <x:f>IFERROR(__xludf.DUMMYFUNCTION("""COMPUTED_VALUE"""),"2022")</x:f>
      </x:c>
    </x:row>
    <x:row r="1741" spans="1:10">
      <x:c r="A1741" s="1" t="s">
        <x:v>1750</x:v>
      </x:c>
      <x:c r="B1741" s="1">
        <x:f>IFERROR(__xludf.DUMMYFUNCTION("""COMPUTED_VALUE"""),"El despit")</x:f>
      </x:c>
      <x:c r="C1741" s="1">
        <x:f>IFERROR(__xludf.DUMMYFUNCTION("""COMPUTED_VALUE"""),"2009")</x:f>
      </x:c>
    </x:row>
    <x:row r="1742" spans="1:10">
      <x:c r="A1742" s="1" t="s">
        <x:v>1751</x:v>
      </x:c>
      <x:c r="B1742" s="1">
        <x:f>IFERROR(__xludf.DUMMYFUNCTION("""COMPUTED_VALUE"""),"El destí de Júpiter")</x:f>
      </x:c>
      <x:c r="C1742" s="1">
        <x:f>IFERROR(__xludf.DUMMYFUNCTION("""COMPUTED_VALUE"""),"2015")</x:f>
      </x:c>
    </x:row>
    <x:row r="1743" spans="1:10">
      <x:c r="A1743" s="1" t="s">
        <x:v>1752</x:v>
      </x:c>
      <x:c r="B1743" s="1">
        <x:f>IFERROR(__xludf.DUMMYFUNCTION("""COMPUTED_VALUE"""),"El destí de la Dama Grisa")</x:f>
      </x:c>
      <x:c r="C1743" s="1">
        <x:f>IFERROR(__xludf.DUMMYFUNCTION("""COMPUTED_VALUE"""),"2013")</x:f>
      </x:c>
    </x:row>
    <x:row r="1744" spans="1:10">
      <x:c r="A1744" s="1" t="s">
        <x:v>1753</x:v>
      </x:c>
      <x:c r="B1744" s="1">
        <x:f>IFERROR(__xludf.DUMMYFUNCTION("""COMPUTED_VALUE"""),"El destí de la Maija")</x:f>
      </x:c>
      <x:c r="C1744" s="1">
        <x:f>IFERROR(__xludf.DUMMYFUNCTION("""COMPUTED_VALUE"""),"2024")</x:f>
      </x:c>
    </x:row>
    <x:row r="1745" spans="1:10">
      <x:c r="A1745" s="1" t="s">
        <x:v>1754</x:v>
      </x:c>
      <x:c r="B1745" s="1">
        <x:f>IFERROR(__xludf.DUMMYFUNCTION("""COMPUTED_VALUE"""),"El destí de la Nunik")</x:f>
      </x:c>
      <x:c r="C1745" s="1">
        <x:f>IFERROR(__xludf.DUMMYFUNCTION("""COMPUTED_VALUE"""),"2007")</x:f>
      </x:c>
    </x:row>
    <x:row r="1746" spans="1:10">
      <x:c r="A1746" s="1" t="s">
        <x:v>1755</x:v>
      </x:c>
      <x:c r="B1746" s="1">
        <x:f>IFERROR(__xludf.DUMMYFUNCTION("""COMPUTED_VALUE"""),"El destí de Sissí")</x:f>
      </x:c>
      <x:c r="C1746" s="1">
        <x:f>IFERROR(__xludf.DUMMYFUNCTION("""COMPUTED_VALUE"""),"1957")</x:f>
      </x:c>
    </x:row>
    <x:row r="1747" spans="1:10">
      <x:c r="A1747" s="1" t="s">
        <x:v>1756</x:v>
      </x:c>
      <x:c r="B1747" s="1">
        <x:f>IFERROR(__xludf.DUMMYFUNCTION("""COMPUTED_VALUE"""),"El destí també juga")</x:f>
      </x:c>
      <x:c r="C1747" s="1">
        <x:f>IFERROR(__xludf.DUMMYFUNCTION("""COMPUTED_VALUE"""),"1966")</x:f>
      </x:c>
    </x:row>
    <x:row r="1748" spans="1:10">
      <x:c r="A1748" s="1" t="s">
        <x:v>1757</x:v>
      </x:c>
      <x:c r="B1748" s="1">
        <x:f>IFERROR(__xludf.DUMMYFUNCTION("""COMPUTED_VALUE"""),"El detectiu Conan vs. Kaito Kid")</x:f>
      </x:c>
      <x:c r="C1748" s="1">
        <x:f>IFERROR(__xludf.DUMMYFUNCTION("""COMPUTED_VALUE"""),"2024")</x:f>
      </x:c>
    </x:row>
    <x:row r="1749" spans="1:10">
      <x:c r="A1749" s="1" t="s">
        <x:v>1758</x:v>
      </x:c>
      <x:c r="B1749" s="1">
        <x:f>IFERROR(__xludf.DUMMYFUNCTION("""COMPUTED_VALUE"""),"El detectiu Conan: 1 El gratacel explosiu")</x:f>
      </x:c>
      <x:c r="C1749" s="1">
        <x:f>IFERROR(__xludf.DUMMYFUNCTION("""COMPUTED_VALUE"""),"1997")</x:f>
      </x:c>
    </x:row>
    <x:row r="1750" spans="1:10">
      <x:c r="A1750" s="1" t="s">
        <x:v>1759</x:v>
      </x:c>
      <x:c r="B1750" s="1">
        <x:f>IFERROR(__xludf.DUMMYFUNCTION("""COMPUTED_VALUE"""),"El detectiu Conan: 10 El rèquiem dels detectius")</x:f>
      </x:c>
      <x:c r="C1750" s="1">
        <x:f>IFERROR(__xludf.DUMMYFUNCTION("""COMPUTED_VALUE"""),"2006")</x:f>
      </x:c>
    </x:row>
    <x:row r="1751" spans="1:10">
      <x:c r="A1751" s="1" t="s">
        <x:v>1760</x:v>
      </x:c>
      <x:c r="B1751" s="1">
        <x:f>IFERROR(__xludf.DUMMYFUNCTION("""COMPUTED_VALUE"""),"El detectiu Conan: 11 La bandera pirata al fons de l'oceà")</x:f>
      </x:c>
      <x:c r="C1751" s="1">
        <x:f>IFERROR(__xludf.DUMMYFUNCTION("""COMPUTED_VALUE"""),"2007")</x:f>
      </x:c>
    </x:row>
    <x:row r="1752" spans="1:10">
      <x:c r="A1752" s="1" t="s">
        <x:v>1761</x:v>
      </x:c>
      <x:c r="B1752" s="1">
        <x:f>IFERROR(__xludf.DUMMYFUNCTION("""COMPUTED_VALUE"""),"El detectiu Conan: 12 La partitura de la por")</x:f>
      </x:c>
      <x:c r="C1752" s="1">
        <x:f>IFERROR(__xludf.DUMMYFUNCTION("""COMPUTED_VALUE"""),"2008")</x:f>
      </x:c>
    </x:row>
    <x:row r="1753" spans="1:10">
      <x:c r="A1753" s="1" t="s">
        <x:v>1762</x:v>
      </x:c>
      <x:c r="B1753" s="1">
        <x:f>IFERROR(__xludf.DUMMYFUNCTION("""COMPUTED_VALUE"""),"El detectiu Conan: 13 El perseguidor negre")</x:f>
      </x:c>
      <x:c r="C1753" s="1">
        <x:f>IFERROR(__xludf.DUMMYFUNCTION("""COMPUTED_VALUE"""),"2009")</x:f>
      </x:c>
    </x:row>
    <x:row r="1754" spans="1:10">
      <x:c r="A1754" s="1" t="s">
        <x:v>1763</x:v>
      </x:c>
      <x:c r="B1754" s="1">
        <x:f>IFERROR(__xludf.DUMMYFUNCTION("""COMPUTED_VALUE"""),"El detectiu Conan: 14 La nau perduda al cel")</x:f>
      </x:c>
      <x:c r="C1754" s="1">
        <x:f>IFERROR(__xludf.DUMMYFUNCTION("""COMPUTED_VALUE"""),"2010")</x:f>
      </x:c>
    </x:row>
    <x:row r="1755" spans="1:10">
      <x:c r="A1755" s="1" t="s">
        <x:v>1764</x:v>
      </x:c>
      <x:c r="B1755" s="1">
        <x:f>IFERROR(__xludf.DUMMYFUNCTION("""COMPUTED_VALUE"""),"El detectiu Conan: 15 Quinze minuts de silenci")</x:f>
      </x:c>
      <x:c r="C1755" s="1">
        <x:f>IFERROR(__xludf.DUMMYFUNCTION("""COMPUTED_VALUE"""),"2011")</x:f>
      </x:c>
    </x:row>
    <x:row r="1756" spans="1:10">
      <x:c r="A1756" s="1" t="s">
        <x:v>1765</x:v>
      </x:c>
      <x:c r="B1756" s="1">
        <x:f>IFERROR(__xludf.DUMMYFUNCTION("""COMPUTED_VALUE"""),"El detectiu Conan: 16 L'onzè davanter")</x:f>
      </x:c>
      <x:c r="C1756" s="1">
        <x:f>IFERROR(__xludf.DUMMYFUNCTION("""COMPUTED_VALUE"""),"2012")</x:f>
      </x:c>
    </x:row>
    <x:row r="1757" spans="1:10">
      <x:c r="A1757" s="1" t="s">
        <x:v>1766</x:v>
      </x:c>
      <x:c r="B1757" s="1">
        <x:f>IFERROR(__xludf.DUMMYFUNCTION("""COMPUTED_VALUE"""),"El detectiu Conan: 17 El detectiu al mar distant")</x:f>
      </x:c>
      <x:c r="C1757" s="1">
        <x:f>IFERROR(__xludf.DUMMYFUNCTION("""COMPUTED_VALUE"""),"2013")</x:f>
      </x:c>
    </x:row>
    <x:row r="1758" spans="1:10">
      <x:c r="A1758" s="1" t="s">
        <x:v>1767</x:v>
      </x:c>
      <x:c r="B1758" s="1">
        <x:f>IFERROR(__xludf.DUMMYFUNCTION("""COMPUTED_VALUE"""),"El detectiu Conan: 18 El franctirador dimensional")</x:f>
      </x:c>
      <x:c r="C1758" s="1">
        <x:f>IFERROR(__xludf.DUMMYFUNCTION("""COMPUTED_VALUE"""),"2014")</x:f>
      </x:c>
    </x:row>
    <x:row r="1759" spans="1:10">
      <x:c r="A1759" s="1" t="s">
        <x:v>1768</x:v>
      </x:c>
      <x:c r="B1759" s="1">
        <x:f>IFERROR(__xludf.DUMMYFUNCTION("""COMPUTED_VALUE"""),"El detectiu Conan: 19 Els gira-sols del foc infernal")</x:f>
      </x:c>
      <x:c r="C1759" s="1">
        <x:f>IFERROR(__xludf.DUMMYFUNCTION("""COMPUTED_VALUE"""),"2015")</x:f>
      </x:c>
    </x:row>
    <x:row r="1760" spans="1:10">
      <x:c r="A1760" s="1" t="s">
        <x:v>1769</x:v>
      </x:c>
      <x:c r="B1760" s="1">
        <x:f>IFERROR(__xludf.DUMMYFUNCTION("""COMPUTED_VALUE"""),"El detectiu Conan: 2 La catorzena víctima")</x:f>
      </x:c>
      <x:c r="C1760" s="1">
        <x:f>IFERROR(__xludf.DUMMYFUNCTION("""COMPUTED_VALUE"""),"1998")</x:f>
      </x:c>
    </x:row>
    <x:row r="1761" spans="1:10">
      <x:c r="A1761" s="1" t="s">
        <x:v>1770</x:v>
      </x:c>
      <x:c r="B1761" s="1">
        <x:f>IFERROR(__xludf.DUMMYFUNCTION("""COMPUTED_VALUE"""),"El detectiu Conan: 20 El malson més negre")</x:f>
      </x:c>
      <x:c r="C1761" s="1">
        <x:f>IFERROR(__xludf.DUMMYFUNCTION("""COMPUTED_VALUE"""),"2016")</x:f>
      </x:c>
    </x:row>
    <x:row r="1762" spans="1:10">
      <x:c r="A1762" s="1" t="s">
        <x:v>1771</x:v>
      </x:c>
      <x:c r="B1762" s="1">
        <x:f>IFERROR(__xludf.DUMMYFUNCTION("""COMPUTED_VALUE"""),"El detectiu Conan: 21 La carta d'amor escarlata")</x:f>
      </x:c>
      <x:c r="C1762" s="1">
        <x:f>IFERROR(__xludf.DUMMYFUNCTION("""COMPUTED_VALUE"""),"2017")</x:f>
      </x:c>
    </x:row>
    <x:row r="1763" spans="1:10">
      <x:c r="A1763" s="1" t="s">
        <x:v>1772</x:v>
      </x:c>
      <x:c r="B1763" s="1">
        <x:f>IFERROR(__xludf.DUMMYFUNCTION("""COMPUTED_VALUE"""),"El detectiu Conan: 22 El cas Zero")</x:f>
      </x:c>
      <x:c r="C1763" s="1">
        <x:f>IFERROR(__xludf.DUMMYFUNCTION("""COMPUTED_VALUE"""),"2018")</x:f>
      </x:c>
    </x:row>
    <x:row r="1764" spans="1:10">
      <x:c r="A1764" s="1" t="s">
        <x:v>1773</x:v>
      </x:c>
      <x:c r="B1764" s="1">
        <x:f>IFERROR(__xludf.DUMMYFUNCTION("""COMPUTED_VALUE"""),"El detectiu Conan: 23 El puny de safir blau")</x:f>
      </x:c>
      <x:c r="C1764" s="1">
        <x:f>IFERROR(__xludf.DUMMYFUNCTION("""COMPUTED_VALUE"""),"2019")</x:f>
      </x:c>
    </x:row>
    <x:row r="1765" spans="1:10">
      <x:c r="A1765" s="1" t="s">
        <x:v>1774</x:v>
      </x:c>
      <x:c r="B1765" s="1">
        <x:f>IFERROR(__xludf.DUMMYFUNCTION("""COMPUTED_VALUE"""),"El detectiu Conan: 24 La bala escarlata")</x:f>
      </x:c>
      <x:c r="C1765" s="1">
        <x:f>IFERROR(__xludf.DUMMYFUNCTION("""COMPUTED_VALUE"""),"2021")</x:f>
      </x:c>
    </x:row>
    <x:row r="1766" spans="1:10">
      <x:c r="A1766" s="1" t="s">
        <x:v>1775</x:v>
      </x:c>
      <x:c r="B1766" s="1">
        <x:f>IFERROR(__xludf.DUMMYFUNCTION("""COMPUTED_VALUE"""),"El detectiu Conan: 25 La núvia de Halloween")</x:f>
      </x:c>
      <x:c r="C1766" s="1">
        <x:f>IFERROR(__xludf.DUMMYFUNCTION("""COMPUTED_VALUE"""),"2022")</x:f>
      </x:c>
    </x:row>
    <x:row r="1767" spans="1:10">
      <x:c r="A1767" s="1" t="s">
        <x:v>1776</x:v>
      </x:c>
      <x:c r="B1767" s="1">
        <x:f>IFERROR(__xludf.DUMMYFUNCTION("""COMPUTED_VALUE"""),"El detectiu Conan: 26 Black Iron Submarine")</x:f>
      </x:c>
      <x:c r="C1767" s="1">
        <x:f>IFERROR(__xludf.DUMMYFUNCTION("""COMPUTED_VALUE"""),"2023")</x:f>
      </x:c>
    </x:row>
    <x:row r="1768" spans="1:10">
      <x:c r="A1768" s="1" t="s">
        <x:v>1777</x:v>
      </x:c>
      <x:c r="B1768" s="1">
        <x:f>IFERROR(__xludf.DUMMYFUNCTION("""COMPUTED_VALUE"""),"El detectiu Conan: 27 The Million Dollar Pentagram")</x:f>
      </x:c>
      <x:c r="C1768" s="1">
        <x:f>IFERROR(__xludf.DUMMYFUNCTION("""COMPUTED_VALUE"""),"2024")</x:f>
      </x:c>
    </x:row>
    <x:row r="1769" spans="1:10">
      <x:c r="A1769" s="1" t="s">
        <x:v>1778</x:v>
      </x:c>
      <x:c r="B1769" s="1">
        <x:f>IFERROR(__xludf.DUMMYFUNCTION("""COMPUTED_VALUE"""),"El detectiu Conan: 3 L'últim mag del segle")</x:f>
      </x:c>
      <x:c r="C1769" s="1">
        <x:f>IFERROR(__xludf.DUMMYFUNCTION("""COMPUTED_VALUE"""),"1999")</x:f>
      </x:c>
    </x:row>
    <x:row r="1770" spans="1:10">
      <x:c r="A1770" s="1" t="s">
        <x:v>1779</x:v>
      </x:c>
      <x:c r="B1770" s="1">
        <x:f>IFERROR(__xludf.DUMMYFUNCTION("""COMPUTED_VALUE"""),"El detectiu Conan: 4 Atrapat als seus ulls")</x:f>
      </x:c>
      <x:c r="C1770" s="1">
        <x:f>IFERROR(__xludf.DUMMYFUNCTION("""COMPUTED_VALUE"""),"2000")</x:f>
      </x:c>
    </x:row>
    <x:row r="1771" spans="1:10">
      <x:c r="A1771" s="1" t="s">
        <x:v>1780</x:v>
      </x:c>
      <x:c r="B1771" s="1">
        <x:f>IFERROR(__xludf.DUMMYFUNCTION("""COMPUTED_VALUE"""),"El detectiu Conan: 5 Compte enrere cap al cel")</x:f>
      </x:c>
      <x:c r="C1771" s="1">
        <x:f>IFERROR(__xludf.DUMMYFUNCTION("""COMPUTED_VALUE"""),"2001")</x:f>
      </x:c>
    </x:row>
    <x:row r="1772" spans="1:10">
      <x:c r="A1772" s="1" t="s">
        <x:v>1781</x:v>
      </x:c>
      <x:c r="B1772" s="1">
        <x:f>IFERROR(__xludf.DUMMYFUNCTION("""COMPUTED_VALUE"""),"El detectiu Conan: 6 El fantasma de Baker Street")</x:f>
      </x:c>
      <x:c r="C1772" s="1">
        <x:f>IFERROR(__xludf.DUMMYFUNCTION("""COMPUTED_VALUE"""),"2002")</x:f>
      </x:c>
    </x:row>
    <x:row r="1773" spans="1:10">
      <x:c r="A1773" s="1" t="s">
        <x:v>1782</x:v>
      </x:c>
      <x:c r="B1773" s="1">
        <x:f>IFERROR(__xludf.DUMMYFUNCTION("""COMPUTED_VALUE"""),"El detectiu Conan: 7 cruïlla a l'antiga capital")</x:f>
      </x:c>
      <x:c r="C1773" s="1">
        <x:f>IFERROR(__xludf.DUMMYFUNCTION("""COMPUTED_VALUE"""),"2003")</x:f>
      </x:c>
    </x:row>
    <x:row r="1774" spans="1:10">
      <x:c r="A1774" s="1" t="s">
        <x:v>1783</x:v>
      </x:c>
      <x:c r="B1774" s="1">
        <x:f>IFERROR(__xludf.DUMMYFUNCTION("""COMPUTED_VALUE"""),"El detectiu Conan: 8 El mag del cel platejat")</x:f>
      </x:c>
      <x:c r="C1774" s="1">
        <x:f>IFERROR(__xludf.DUMMYFUNCTION("""COMPUTED_VALUE"""),"2004")</x:f>
      </x:c>
    </x:row>
    <x:row r="1775" spans="1:10">
      <x:c r="A1775" s="1" t="s">
        <x:v>1784</x:v>
      </x:c>
      <x:c r="B1775" s="1">
        <x:f>IFERROR(__xludf.DUMMYFUNCTION("""COMPUTED_VALUE"""),"El detectiu Conan: 9 Estratègia sobre les profunditats")</x:f>
      </x:c>
      <x:c r="C1775" s="1">
        <x:f>IFERROR(__xludf.DUMMYFUNCTION("""COMPUTED_VALUE"""),"2005")</x:f>
      </x:c>
    </x:row>
    <x:row r="1776" spans="1:10">
      <x:c r="A1776" s="1" t="s">
        <x:v>1785</x:v>
      </x:c>
      <x:c r="B1776" s="1">
        <x:f>IFERROR(__xludf.DUMMYFUNCTION("""COMPUTED_VALUE"""),"El detectiu Conan: Black Iron Mystery Train (Especial)")</x:f>
      </x:c>
      <x:c r="C1776" s="1">
        <x:f>IFERROR(__xludf.DUMMYFUNCTION("""COMPUTED_VALUE"""),"2023")</x:f>
      </x:c>
    </x:row>
    <x:row r="1777" spans="1:10">
      <x:c r="A1777" s="1" t="s">
        <x:v>1786</x:v>
      </x:c>
      <x:c r="B1777" s="1">
        <x:f>IFERROR(__xludf.DUMMYFUNCTION("""COMPUTED_VALUE"""),"El detectiu Conan: Història d'amor a la comissaria")</x:f>
      </x:c>
      <x:c r="C1777" s="1">
        <x:f>IFERROR(__xludf.DUMMYFUNCTION("""COMPUTED_VALUE"""),"2022")</x:f>
      </x:c>
    </x:row>
    <x:row r="1778" spans="1:10">
      <x:c r="A1778" s="1" t="s">
        <x:v>1787</x:v>
      </x:c>
      <x:c r="B1778" s="1">
        <x:f>IFERROR(__xludf.DUMMYFUNCTION("""COMPUTED_VALUE"""),"El detectiu Conan: The Scarlet Alibi")</x:f>
      </x:c>
      <x:c r="C1778" s="1">
        <x:f>IFERROR(__xludf.DUMMYFUNCTION("""COMPUTED_VALUE"""),"2021")</x:f>
      </x:c>
    </x:row>
    <x:row r="1779" spans="1:10">
      <x:c r="A1779" s="1" t="s">
        <x:v>1788</x:v>
      </x:c>
      <x:c r="B1779" s="1">
        <x:f>IFERROR(__xludf.DUMMYFUNCTION("""COMPUTED_VALUE"""),"El dia de demà")</x:f>
      </x:c>
      <x:c r="C1779" s="1">
        <x:f>IFERROR(__xludf.DUMMYFUNCTION("""COMPUTED_VALUE"""),"2004")</x:f>
      </x:c>
    </x:row>
    <x:row r="1780" spans="1:10">
      <x:c r="A1780" s="1" t="s">
        <x:v>1789</x:v>
      </x:c>
      <x:c r="B1780" s="1">
        <x:f>IFERROR(__xludf.DUMMYFUNCTION("""COMPUTED_VALUE"""),"El dia de la bandera")</x:f>
      </x:c>
      <x:c r="C1780" s="1">
        <x:f>IFERROR(__xludf.DUMMYFUNCTION("""COMPUTED_VALUE"""),"2021")</x:f>
      </x:c>
    </x:row>
    <x:row r="1781" spans="1:10">
      <x:c r="A1781" s="1" t="s">
        <x:v>1790</x:v>
      </x:c>
      <x:c r="B1781" s="1">
        <x:f>IFERROR(__xludf.DUMMYFUNCTION("""COMPUTED_VALUE"""),"El dia de Sant Valentí")</x:f>
      </x:c>
      <x:c r="C1781" s="1">
        <x:f>IFERROR(__xludf.DUMMYFUNCTION("""COMPUTED_VALUE"""),"2010")</x:f>
      </x:c>
    </x:row>
    <x:row r="1782" spans="1:10">
      <x:c r="A1782" s="1" t="s">
        <x:v>1791</x:v>
      </x:c>
      <x:c r="B1782" s="1">
        <x:f>IFERROR(__xludf.DUMMYFUNCTION("""COMPUTED_VALUE"""),"El dia del dofí")</x:f>
      </x:c>
      <x:c r="C1782" s="1">
        <x:f>IFERROR(__xludf.DUMMYFUNCTION("""COMPUTED_VALUE"""),"1973")</x:f>
      </x:c>
    </x:row>
    <x:row r="1783" spans="1:10">
      <x:c r="A1783" s="1" t="s">
        <x:v>1792</x:v>
      </x:c>
      <x:c r="B1783" s="1">
        <x:f>IFERROR(__xludf.DUMMYFUNCTION("""COMPUTED_VALUE"""),"El dia del teu casament")</x:f>
      </x:c>
      <x:c r="C1783" s="1">
        <x:f>IFERROR(__xludf.DUMMYFUNCTION("""COMPUTED_VALUE"""),"2013")</x:f>
      </x:c>
    </x:row>
    <x:row r="1784" spans="1:10">
      <x:c r="A1784" s="1" t="s">
        <x:v>1793</x:v>
      </x:c>
      <x:c r="B1784" s="1">
        <x:f>IFERROR(__xludf.DUMMYFUNCTION("""COMPUTED_VALUE"""),"El dia dels tramposos")</x:f>
      </x:c>
      <x:c r="C1784" s="1">
        <x:f>IFERROR(__xludf.DUMMYFUNCTION("""COMPUTED_VALUE"""),"1970")</x:f>
      </x:c>
    </x:row>
    <x:row r="1785" spans="1:10">
      <x:c r="A1785" s="1" t="s">
        <x:v>1794</x:v>
      </x:c>
      <x:c r="B1785" s="1">
        <x:f>IFERROR(__xludf.DUMMYFUNCTION("""COMPUTED_VALUE"""),"El diable es vesteix de Prada")</x:f>
      </x:c>
      <x:c r="C1785" s="1">
        <x:f>IFERROR(__xludf.DUMMYFUNCTION("""COMPUTED_VALUE"""),"2006")</x:f>
      </x:c>
    </x:row>
    <x:row r="1786" spans="1:10">
      <x:c r="A1786" s="1" t="s">
        <x:v>1795</x:v>
      </x:c>
      <x:c r="B1786" s="1">
        <x:f>IFERROR(__xludf.DUMMYFUNCTION("""COMPUTED_VALUE"""),"El diable i jo")</x:f>
      </x:c>
      <x:c r="C1786" s="1">
        <x:f>IFERROR(__xludf.DUMMYFUNCTION("""COMPUTED_VALUE"""),"1946")</x:f>
      </x:c>
    </x:row>
    <x:row r="1787" spans="1:10">
      <x:c r="A1787" s="1" t="s">
        <x:v>1796</x:v>
      </x:c>
      <x:c r="B1787" s="1">
        <x:f>IFERROR(__xludf.DUMMYFUNCTION("""COMPUTED_VALUE"""),"El diari de Bridget Jones")</x:f>
      </x:c>
      <x:c r="C1787" s="1">
        <x:f>IFERROR(__xludf.DUMMYFUNCTION("""COMPUTED_VALUE"""),"2001")</x:f>
      </x:c>
    </x:row>
    <x:row r="1788" spans="1:10">
      <x:c r="A1788" s="1" t="s">
        <x:v>1797</x:v>
      </x:c>
      <x:c r="B1788" s="1">
        <x:f>IFERROR(__xludf.DUMMYFUNCTION("""COMPUTED_VALUE"""),"El diari de la Florentina")</x:f>
      </x:c>
      <x:c r="C1788" s="1">
        <x:f>IFERROR(__xludf.DUMMYFUNCTION("""COMPUTED_VALUE"""),"2014")</x:f>
      </x:c>
    </x:row>
    <x:row r="1789" spans="1:10">
      <x:c r="A1789" s="1" t="s">
        <x:v>1798</x:v>
      </x:c>
      <x:c r="B1789" s="1">
        <x:f>IFERROR(__xludf.DUMMYFUNCTION("""COMPUTED_VALUE"""),"El dimoni sota la pell")</x:f>
      </x:c>
      <x:c r="C1789" s="1">
        <x:f>IFERROR(__xludf.DUMMYFUNCTION("""COMPUTED_VALUE"""),"2010")</x:f>
      </x:c>
    </x:row>
    <x:row r="1790" spans="1:10">
      <x:c r="A1790" s="1" t="s">
        <x:v>1799</x:v>
      </x:c>
      <x:c r="B1790" s="1">
        <x:f>IFERROR(__xludf.DUMMYFUNCTION("""COMPUTED_VALUE"""),"El discurs de Pau Casals a l'ONU")</x:f>
      </x:c>
      <x:c r="C1790" s="1">
        <x:f>IFERROR(__xludf.DUMMYFUNCTION("""COMPUTED_VALUE"""),"1971")</x:f>
      </x:c>
    </x:row>
    <x:row r="1791" spans="1:10">
      <x:c r="A1791" s="1" t="s">
        <x:v>1800</x:v>
      </x:c>
      <x:c r="B1791" s="1">
        <x:f>IFERROR(__xludf.DUMMYFUNCTION("""COMPUTED_VALUE"""),"El discurs del rei")</x:f>
      </x:c>
      <x:c r="C1791" s="1">
        <x:f>IFERROR(__xludf.DUMMYFUNCTION("""COMPUTED_VALUE"""),"2010")</x:f>
      </x:c>
    </x:row>
    <x:row r="1792" spans="1:10">
      <x:c r="A1792" s="1" t="s">
        <x:v>1801</x:v>
      </x:c>
      <x:c r="B1792" s="1">
        <x:f>IFERROR(__xludf.DUMMYFUNCTION("""COMPUTED_VALUE"""),"El doble del diable")</x:f>
      </x:c>
      <x:c r="C1792" s="1">
        <x:f>IFERROR(__xludf.DUMMYFUNCTION("""COMPUTED_VALUE"""),"2011")</x:f>
      </x:c>
    </x:row>
    <x:row r="1793" spans="1:10">
      <x:c r="A1793" s="1" t="s">
        <x:v>1802</x:v>
      </x:c>
      <x:c r="B1793" s="1">
        <x:f>IFERROR(__xludf.DUMMYFUNCTION("""COMPUTED_VALUE"""),"El doctor T i les dones")</x:f>
      </x:c>
      <x:c r="C1793" s="1">
        <x:f>IFERROR(__xludf.DUMMYFUNCTION("""COMPUTED_VALUE"""),"2000")</x:f>
      </x:c>
    </x:row>
    <x:row r="1794" spans="1:10">
      <x:c r="A1794" s="1" t="s">
        <x:v>1803</x:v>
      </x:c>
      <x:c r="B1794" s="1">
        <x:f>IFERROR(__xludf.DUMMYFUNCTION("""COMPUTED_VALUE"""),"El domini dels sentits")</x:f>
      </x:c>
      <x:c r="C1794" s="1">
        <x:f>IFERROR(__xludf.DUMMYFUNCTION("""COMPUTED_VALUE"""),"1996")</x:f>
      </x:c>
    </x:row>
    <x:row r="1795" spans="1:10">
      <x:c r="A1795" s="1" t="s">
        <x:v>1804</x:v>
      </x:c>
      <x:c r="B1795" s="1">
        <x:f>IFERROR(__xludf.DUMMYFUNCTION("""COMPUTED_VALUE"""),"El dormilega")</x:f>
      </x:c>
      <x:c r="C1795" s="1">
        <x:f>IFERROR(__xludf.DUMMYFUNCTION("""COMPUTED_VALUE"""),"1973")</x:f>
      </x:c>
    </x:row>
    <x:row r="1796" spans="1:10">
      <x:c r="A1796" s="1" t="s">
        <x:v>1805</x:v>
      </x:c>
      <x:c r="B1796" s="1">
        <x:f>IFERROR(__xludf.DUMMYFUNCTION("""COMPUTED_VALUE"""),"El dotze home")</x:f>
      </x:c>
      <x:c r="C1796" s="1">
        <x:f>IFERROR(__xludf.DUMMYFUNCTION("""COMPUTED_VALUE"""),"2017")</x:f>
      </x:c>
    </x:row>
    <x:row r="1797" spans="1:10">
      <x:c r="A1797" s="1" t="s">
        <x:v>1806</x:v>
      </x:c>
      <x:c r="B1797" s="1">
        <x:f>IFERROR(__xludf.DUMMYFUNCTION("""COMPUTED_VALUE"""),"El Dr. Jekyll i el Sr. Hyde")</x:f>
      </x:c>
      <x:c r="C1797" s="1">
        <x:f>IFERROR(__xludf.DUMMYFUNCTION("""COMPUTED_VALUE"""),"1920")</x:f>
      </x:c>
    </x:row>
    <x:row r="1798" spans="1:10">
      <x:c r="A1798" s="1" t="s">
        <x:v>1807</x:v>
      </x:c>
      <x:c r="B1798" s="1">
        <x:f>IFERROR(__xludf.DUMMYFUNCTION("""COMPUTED_VALUE"""),"El Dream Team")</x:f>
      </x:c>
      <x:c r="C1798" s="1">
        <x:f>IFERROR(__xludf.DUMMYFUNCTION("""COMPUTED_VALUE"""),"2016")</x:f>
      </x:c>
    </x:row>
    <x:row r="1799" spans="1:10">
      <x:c r="A1799" s="1" t="s">
        <x:v>1808</x:v>
      </x:c>
      <x:c r="B1799" s="1">
        <x:f>IFERROR(__xludf.DUMMYFUNCTION("""COMPUTED_VALUE"""),"El dret d'escollir")</x:f>
      </x:c>
      <x:c r="C1799" s="1">
        <x:f>IFERROR(__xludf.DUMMYFUNCTION("""COMPUTED_VALUE"""),"1983")</x:f>
      </x:c>
    </x:row>
    <x:row r="1800" spans="1:10">
      <x:c r="A1800" s="1" t="s">
        <x:v>1809</x:v>
      </x:c>
      <x:c r="B1800" s="1">
        <x:f>IFERROR(__xludf.DUMMYFUNCTION("""COMPUTED_VALUE"""),"El dubte")</x:f>
      </x:c>
      <x:c r="C1800" s="1">
        <x:f>IFERROR(__xludf.DUMMYFUNCTION("""COMPUTED_VALUE"""),"2008")</x:f>
      </x:c>
    </x:row>
    <x:row r="1801" spans="1:10">
      <x:c r="A1801" s="1" t="s">
        <x:v>1810</x:v>
      </x:c>
      <x:c r="B1801" s="1">
        <x:f>IFERROR(__xludf.DUMMYFUNCTION("""COMPUTED_VALUE"""),"El duc")</x:f>
      </x:c>
      <x:c r="C1801" s="1">
        <x:f>IFERROR(__xludf.DUMMYFUNCTION("""COMPUTED_VALUE"""),"2020")</x:f>
      </x:c>
    </x:row>
    <x:row r="1802" spans="1:10">
      <x:c r="A1802" s="1" t="s">
        <x:v>1811</x:v>
      </x:c>
      <x:c r="B1802" s="1">
        <x:f>IFERROR(__xludf.DUMMYFUNCTION("""COMPUTED_VALUE"""),"El factor aleatori")</x:f>
      </x:c>
      <x:c r="C1802" s="1">
        <x:f>IFERROR(__xludf.DUMMYFUNCTION("""COMPUTED_VALUE"""),"1995")</x:f>
      </x:c>
    </x:row>
    <x:row r="1803" spans="1:10">
      <x:c r="A1803" s="1" t="s">
        <x:v>1812</x:v>
      </x:c>
      <x:c r="B1803" s="1">
        <x:f>IFERROR(__xludf.DUMMYFUNCTION("""COMPUTED_VALUE"""),"El falcó i la fletxa")</x:f>
      </x:c>
      <x:c r="C1803" s="1">
        <x:f>IFERROR(__xludf.DUMMYFUNCTION("""COMPUTED_VALUE"""),"1950")</x:f>
      </x:c>
    </x:row>
    <x:row r="1804" spans="1:10">
      <x:c r="A1804" s="1" t="s">
        <x:v>1813</x:v>
      </x:c>
      <x:c r="B1804" s="1">
        <x:f>IFERROR(__xludf.DUMMYFUNCTION("""COMPUTED_VALUE"""),"El falsificador de passaports")</x:f>
      </x:c>
      <x:c r="C1804" s="1">
        <x:f>IFERROR(__xludf.DUMMYFUNCTION("""COMPUTED_VALUE"""),"2022")</x:f>
      </x:c>
    </x:row>
    <x:row r="1805" spans="1:10">
      <x:c r="A1805" s="1" t="s">
        <x:v>1814</x:v>
      </x:c>
      <x:c r="B1805" s="1">
        <x:f>IFERROR(__xludf.DUMMYFUNCTION("""COMPUTED_VALUE"""),"El fantasma de Canterville")</x:f>
      </x:c>
      <x:c r="C1805" s="1">
        <x:f>IFERROR(__xludf.DUMMYFUNCTION("""COMPUTED_VALUE"""),"2018")</x:f>
      </x:c>
    </x:row>
    <x:row r="1806" spans="1:10">
      <x:c r="A1806" s="1" t="s">
        <x:v>1815</x:v>
      </x:c>
      <x:c r="B1806" s="1">
        <x:f>IFERROR(__xludf.DUMMYFUNCTION("""COMPUTED_VALUE"""),"El fantasma de la meva dona")</x:f>
      </x:c>
      <x:c r="C1806" s="1">
        <x:f>IFERROR(__xludf.DUMMYFUNCTION("""COMPUTED_VALUE"""),"2026")</x:f>
      </x:c>
    </x:row>
    <x:row r="1807" spans="1:10">
      <x:c r="A1807" s="1" t="s">
        <x:v>1816</x:v>
      </x:c>
      <x:c r="B1807" s="1">
        <x:f>IFERROR(__xludf.DUMMYFUNCTION("""COMPUTED_VALUE"""),"El favor")</x:f>
      </x:c>
      <x:c r="C1807" s="1">
        <x:f>IFERROR(__xludf.DUMMYFUNCTION("""COMPUTED_VALUE"""),"2023")</x:f>
      </x:c>
    </x:row>
    <x:row r="1808" spans="1:10">
      <x:c r="A1808" s="1" t="s">
        <x:v>1817</x:v>
      </x:c>
      <x:c r="B1808" s="1">
        <x:f>IFERROR(__xludf.DUMMYFUNCTION("""COMPUTED_VALUE"""),"El fidel")</x:f>
      </x:c>
      <x:c r="C1808" s="1">
        <x:f>IFERROR(__xludf.DUMMYFUNCTION("""COMPUTED_VALUE"""),"2017")</x:f>
      </x:c>
    </x:row>
    <x:row r="1809" spans="1:10">
      <x:c r="A1809" s="1" t="s">
        <x:v>1818</x:v>
      </x:c>
      <x:c r="B1809" s="1">
        <x:f>IFERROR(__xludf.DUMMYFUNCTION("""COMPUTED_VALUE"""),"El fill")</x:f>
      </x:c>
      <x:c r="C1809" s="1">
        <x:f>IFERROR(__xludf.DUMMYFUNCTION("""COMPUTED_VALUE"""),"2022")</x:f>
      </x:c>
    </x:row>
    <x:row r="1810" spans="1:10">
      <x:c r="A1810" s="1" t="s">
        <x:v>1819</x:v>
      </x:c>
      <x:c r="B1810" s="1">
        <x:f>IFERROR(__xludf.DUMMYFUNCTION("""COMPUTED_VALUE"""),"El fill de Bigfoot")</x:f>
      </x:c>
      <x:c r="C1810" s="1">
        <x:f>IFERROR(__xludf.DUMMYFUNCTION("""COMPUTED_VALUE"""),"2017")</x:f>
      </x:c>
    </x:row>
    <x:row r="1811" spans="1:10">
      <x:c r="A1811" s="1" t="s">
        <x:v>1820</x:v>
      </x:c>
      <x:c r="B1811" s="1">
        <x:f>IFERROR(__xludf.DUMMYFUNCTION("""COMPUTED_VALUE"""),"El fill de Godzilla")</x:f>
      </x:c>
      <x:c r="C1811" s="1">
        <x:f>IFERROR(__xludf.DUMMYFUNCTION("""COMPUTED_VALUE"""),"1967")</x:f>
      </x:c>
    </x:row>
    <x:row r="1812" spans="1:10">
      <x:c r="A1812" s="1" t="s">
        <x:v>1821</x:v>
      </x:c>
      <x:c r="B1812" s="1">
        <x:f>IFERROR(__xludf.DUMMYFUNCTION("""COMPUTED_VALUE"""),"El fill de la Bridget Jones")</x:f>
      </x:c>
      <x:c r="C1812" s="1">
        <x:f>IFERROR(__xludf.DUMMYFUNCTION("""COMPUTED_VALUE"""),"2016")</x:f>
      </x:c>
    </x:row>
    <x:row r="1813" spans="1:10">
      <x:c r="A1813" s="1" t="s">
        <x:v>1822</x:v>
      </x:c>
      <x:c r="B1813" s="1">
        <x:f>IFERROR(__xludf.DUMMYFUNCTION("""COMPUTED_VALUE"""),"El fill de la màscara")</x:f>
      </x:c>
      <x:c r="C1813" s="1">
        <x:f>IFERROR(__xludf.DUMMYFUNCTION("""COMPUTED_VALUE"""),"2005")</x:f>
      </x:c>
    </x:row>
    <x:row r="1814" spans="1:10">
      <x:c r="A1814" s="1" t="s">
        <x:v>1823</x:v>
      </x:c>
      <x:c r="B1814" s="1">
        <x:f>IFERROR(__xludf.DUMMYFUNCTION("""COMPUTED_VALUE"""),"El final de l'idil·li")</x:f>
      </x:c>
      <x:c r="C1814" s="1">
        <x:f>IFERROR(__xludf.DUMMYFUNCTION("""COMPUTED_VALUE"""),"1999")</x:f>
      </x:c>
    </x:row>
    <x:row r="1815" spans="1:10">
      <x:c r="A1815" s="1" t="s">
        <x:v>1824</x:v>
      </x:c>
      <x:c r="B1815" s="1">
        <x:f>IFERROR(__xludf.DUMMYFUNCTION("""COMPUTED_VALUE"""),"El final de la violència")</x:f>
      </x:c>
      <x:c r="C1815" s="1">
        <x:f>IFERROR(__xludf.DUMMYFUNCTION("""COMPUTED_VALUE"""),"1997")</x:f>
      </x:c>
    </x:row>
    <x:row r="1816" spans="1:10">
      <x:c r="A1816" s="1" t="s">
        <x:v>1825</x:v>
      </x:c>
      <x:c r="B1816" s="1">
        <x:f>IFERROR(__xludf.DUMMYFUNCTION("""COMPUTED_VALUE"""),"El final del compte enrere")</x:f>
      </x:c>
      <x:c r="C1816" s="1">
        <x:f>IFERROR(__xludf.DUMMYFUNCTION("""COMPUTED_VALUE"""),"1980")</x:f>
      </x:c>
    </x:row>
    <x:row r="1817" spans="1:10">
      <x:c r="A1817" s="1" t="s">
        <x:v>1826</x:v>
      </x:c>
      <x:c r="B1817" s="1">
        <x:f>IFERROR(__xludf.DUMMYFUNCTION("""COMPUTED_VALUE"""),"El fondant de xocolata")</x:f>
      </x:c>
      <x:c r="C1817" s="1">
        <x:f>IFERROR(__xludf.DUMMYFUNCTION("""COMPUTED_VALUE"""),"2019")</x:f>
      </x:c>
    </x:row>
    <x:row r="1818" spans="1:10">
      <x:c r="A1818" s="1" t="s">
        <x:v>1827</x:v>
      </x:c>
      <x:c r="B1818" s="1">
        <x:f>IFERROR(__xludf.DUMMYFUNCTION("""COMPUTED_VALUE"""),"El Fòrum")</x:f>
      </x:c>
      <x:c r="C1818" s="1">
        <x:f>IFERROR(__xludf.DUMMYFUNCTION("""COMPUTED_VALUE"""),"2019")</x:f>
      </x:c>
    </x:row>
    <x:row r="1819" spans="1:10">
      <x:c r="A1819" s="1" t="s">
        <x:v>1828</x:v>
      </x:c>
      <x:c r="B1819" s="1">
        <x:f>IFERROR(__xludf.DUMMYFUNCTION("""COMPUTED_VALUE"""),"El fotògraf de Mauthausen")</x:f>
      </x:c>
      <x:c r="C1819" s="1">
        <x:f>IFERROR(__xludf.DUMMYFUNCTION("""COMPUTED_VALUE"""),"2018")</x:f>
      </x:c>
    </x:row>
    <x:row r="1820" spans="1:10">
      <x:c r="A1820" s="1" t="s">
        <x:v>1829</x:v>
      </x:c>
      <x:c r="B1820" s="1">
        <x:f>IFERROR(__xludf.DUMMYFUNCTION("""COMPUTED_VALUE"""),"El fotògraf de Minamata")</x:f>
      </x:c>
      <x:c r="C1820" s="1">
        <x:f>IFERROR(__xludf.DUMMYFUNCTION("""COMPUTED_VALUE"""),"2020")</x:f>
      </x:c>
    </x:row>
    <x:row r="1821" spans="1:10">
      <x:c r="A1821" s="1" t="s">
        <x:v>1830</x:v>
      </x:c>
      <x:c r="B1821" s="1">
        <x:f>IFERROR(__xludf.DUMMYFUNCTION("""COMPUTED_VALUE"""),"El franctirador")</x:f>
      </x:c>
      <x:c r="C1821" s="1">
        <x:f>IFERROR(__xludf.DUMMYFUNCTION("""COMPUTED_VALUE"""),"2014")</x:f>
      </x:c>
    </x:row>
    <x:row r="1822" spans="1:10">
      <x:c r="A1822" s="1" t="s">
        <x:v>1831</x:v>
      </x:c>
      <x:c r="B1822" s="1">
        <x:f>IFERROR(__xludf.DUMMYFUNCTION("""COMPUTED_VALUE"""),"El franctirador de Donbass")</x:f>
      </x:c>
      <x:c r="C1822" s="1">
        <x:f>IFERROR(__xludf.DUMMYFUNCTION("""COMPUTED_VALUE"""),"2022")</x:f>
      </x:c>
    </x:row>
    <x:row r="1823" spans="1:10">
      <x:c r="A1823" s="1" t="s">
        <x:v>1832</x:v>
      </x:c>
      <x:c r="B1823" s="1">
        <x:f>IFERROR(__xludf.DUMMYFUNCTION("""COMPUTED_VALUE"""),"El franctirador: El llegat")</x:f>
      </x:c>
      <x:c r="C1823" s="1">
        <x:f>IFERROR(__xludf.DUMMYFUNCTION("""COMPUTED_VALUE"""),"2014")</x:f>
      </x:c>
    </x:row>
    <x:row r="1824" spans="1:10">
      <x:c r="A1824" s="1" t="s">
        <x:v>1833</x:v>
      </x:c>
      <x:c r="B1824" s="1">
        <x:f>IFERROR(__xludf.DUMMYFUNCTION("""COMPUTED_VALUE"""),"El frau")</x:f>
      </x:c>
      <x:c r="C1824" s="1">
        <x:f>IFERROR(__xludf.DUMMYFUNCTION("""COMPUTED_VALUE"""),"2011")</x:f>
      </x:c>
    </x:row>
    <x:row r="1825" spans="1:10">
      <x:c r="A1825" s="1" t="s">
        <x:v>1834</x:v>
      </x:c>
      <x:c r="B1825" s="1">
        <x:f>IFERROR(__xludf.DUMMYFUNCTION("""COMPUTED_VALUE"""),"El fred que crema")</x:f>
      </x:c>
      <x:c r="C1825" s="1">
        <x:f>IFERROR(__xludf.DUMMYFUNCTION("""COMPUTED_VALUE"""),"2022")</x:f>
      </x:c>
    </x:row>
    <x:row r="1826" spans="1:10">
      <x:c r="A1826" s="1" t="s">
        <x:v>1835</x:v>
      </x:c>
      <x:c r="B1826" s="1">
        <x:f>IFERROR(__xludf.DUMMYFUNCTION("""COMPUTED_VALUE"""),"El fugitiu")</x:f>
      </x:c>
      <x:c r="C1826" s="1">
        <x:f>IFERROR(__xludf.DUMMYFUNCTION("""COMPUTED_VALUE"""),"1993")</x:f>
      </x:c>
    </x:row>
    <x:row r="1827" spans="1:10">
      <x:c r="A1827" s="1" t="s">
        <x:v>1836</x:v>
      </x:c>
      <x:c r="B1827" s="1">
        <x:f>IFERROR(__xludf.DUMMYFUNCTION("""COMPUTED_VALUE"""),"El fundador")</x:f>
      </x:c>
      <x:c r="C1827" s="1">
        <x:f>IFERROR(__xludf.DUMMYFUNCTION("""COMPUTED_VALUE"""),"2016")</x:f>
      </x:c>
    </x:row>
    <x:row r="1828" spans="1:10">
      <x:c r="A1828" s="1" t="s">
        <x:v>1837</x:v>
      </x:c>
      <x:c r="B1828" s="1">
        <x:f>IFERROR(__xludf.DUMMYFUNCTION("""COMPUTED_VALUE"""),"El Futbol Club de les Feres")</x:f>
      </x:c>
      <x:c r="C1828" s="1">
        <x:f>IFERROR(__xludf.DUMMYFUNCTION("""COMPUTED_VALUE"""),"2003")</x:f>
      </x:c>
    </x:row>
    <x:row r="1829" spans="1:10">
      <x:c r="A1829" s="1" t="s">
        <x:v>1838</x:v>
      </x:c>
      <x:c r="B1829" s="1">
        <x:f>IFERROR(__xludf.DUMMYFUNCTION("""COMPUTED_VALUE"""),"El Futbol Club de les Feres 2")</x:f>
      </x:c>
      <x:c r="C1829" s="1">
        <x:f>IFERROR(__xludf.DUMMYFUNCTION("""COMPUTED_VALUE"""),"2005")</x:f>
      </x:c>
    </x:row>
    <x:row r="1830" spans="1:10">
      <x:c r="A1830" s="1" t="s">
        <x:v>1839</x:v>
      </x:c>
      <x:c r="B1830" s="1">
        <x:f>IFERROR(__xludf.DUMMYFUNCTION("""COMPUTED_VALUE"""),"El Futbol Club de les Feres 3")</x:f>
      </x:c>
      <x:c r="C1830" s="1">
        <x:f>IFERROR(__xludf.DUMMYFUNCTION("""COMPUTED_VALUE"""),"2006")</x:f>
      </x:c>
    </x:row>
    <x:row r="1831" spans="1:10">
      <x:c r="A1831" s="1" t="s">
        <x:v>1840</x:v>
      </x:c>
      <x:c r="B1831" s="1">
        <x:f>IFERROR(__xludf.DUMMYFUNCTION("""COMPUTED_VALUE"""),"El Futbol Club de les Feres 4")</x:f>
      </x:c>
      <x:c r="C1831" s="1">
        <x:f>IFERROR(__xludf.DUMMYFUNCTION("""COMPUTED_VALUE"""),"2007")</x:f>
      </x:c>
    </x:row>
    <x:row r="1832" spans="1:10">
      <x:c r="A1832" s="1" t="s">
        <x:v>1841</x:v>
      </x:c>
      <x:c r="B1832" s="1">
        <x:f>IFERROR(__xludf.DUMMYFUNCTION("""COMPUTED_VALUE"""),"El Futbol Club de les Feres 5: Més Enllà De L'horitzó")</x:f>
      </x:c>
      <x:c r="C1832" s="1">
        <x:f>IFERROR(__xludf.DUMMYFUNCTION("""COMPUTED_VALUE"""),"2008")</x:f>
      </x:c>
    </x:row>
    <x:row r="1833" spans="1:10">
      <x:c r="A1833" s="1" t="s">
        <x:v>1842</x:v>
      </x:c>
      <x:c r="B1833" s="1">
        <x:f>IFERROR(__xludf.DUMMYFUNCTION("""COMPUTED_VALUE"""),"El gabinet del Dr. Caligari [VOSC]")</x:f>
      </x:c>
      <x:c r="C1833" s="1">
        <x:f>IFERROR(__xludf.DUMMYFUNCTION("""COMPUTED_VALUE"""),"1920")</x:f>
      </x:c>
    </x:row>
    <x:row r="1834" spans="1:10">
      <x:c r="A1834" s="1" t="s">
        <x:v>1843</x:v>
      </x:c>
      <x:c r="B1834" s="1">
        <x:f>IFERROR(__xludf.DUMMYFUNCTION("""COMPUTED_VALUE"""),"El gal moribund")</x:f>
      </x:c>
      <x:c r="C1834" s="1">
        <x:f>IFERROR(__xludf.DUMMYFUNCTION("""COMPUTED_VALUE"""),"2005")</x:f>
      </x:c>
    </x:row>
    <x:row r="1835" spans="1:10">
      <x:c r="A1835" s="1" t="s">
        <x:v>1844</x:v>
      </x:c>
      <x:c r="B1835" s="1">
        <x:f>IFERROR(__xludf.DUMMYFUNCTION("""COMPUTED_VALUE"""),"El gat")</x:f>
      </x:c>
      <x:c r="C1835" s="1">
        <x:f>IFERROR(__xludf.DUMMYFUNCTION("""COMPUTED_VALUE"""),"2003")</x:f>
      </x:c>
    </x:row>
    <x:row r="1836" spans="1:10">
      <x:c r="A1836" s="1" t="s">
        <x:v>1845</x:v>
      </x:c>
      <x:c r="B1836" s="1">
        <x:f>IFERROR(__xludf.DUMMYFUNCTION("""COMPUTED_VALUE"""),"El gat amb botes")</x:f>
      </x:c>
      <x:c r="C1836" s="1">
        <x:f>IFERROR(__xludf.DUMMYFUNCTION("""COMPUTED_VALUE"""),"2011")</x:f>
      </x:c>
    </x:row>
    <x:row r="1837" spans="1:10">
      <x:c r="A1837" s="1" t="s">
        <x:v>1846</x:v>
      </x:c>
      <x:c r="B1837" s="1">
        <x:f>IFERROR(__xludf.DUMMYFUNCTION("""COMPUTED_VALUE"""),"El gat amb botes: L'últim desig")</x:f>
      </x:c>
      <x:c r="C1837" s="1">
        <x:f>IFERROR(__xludf.DUMMYFUNCTION("""COMPUTED_VALUE"""),"2022")</x:f>
      </x:c>
    </x:row>
    <x:row r="1838" spans="1:10">
      <x:c r="A1838" s="1" t="s">
        <x:v>1847</x:v>
      </x:c>
      <x:c r="B1838" s="1">
        <x:f>IFERROR(__xludf.DUMMYFUNCTION("""COMPUTED_VALUE"""),"El gat Tabby i altres històries felines")</x:f>
      </x:c>
      <x:c r="C1838" s="1">
        <x:f>IFERROR(__xludf.DUMMYFUNCTION("""COMPUTED_VALUE"""),"2023")</x:f>
      </x:c>
    </x:row>
    <x:row r="1839" spans="1:10">
      <x:c r="A1839" s="1" t="s">
        <x:v>1848</x:v>
      </x:c>
      <x:c r="B1839" s="1">
        <x:f>IFERROR(__xludf.DUMMYFUNCTION("""COMPUTED_VALUE"""),"El gendarme de Saint-Tropez")</x:f>
      </x:c>
      <x:c r="C1839" s="1">
        <x:f>IFERROR(__xludf.DUMMYFUNCTION("""COMPUTED_VALUE"""),"1964")</x:f>
      </x:c>
    </x:row>
    <x:row r="1840" spans="1:10">
      <x:c r="A1840" s="1" t="s">
        <x:v>1849</x:v>
      </x:c>
      <x:c r="B1840" s="1">
        <x:f>IFERROR(__xludf.DUMMYFUNCTION("""COMPUTED_VALUE"""),"El gendarme es casa")</x:f>
      </x:c>
      <x:c r="C1840" s="1">
        <x:f>IFERROR(__xludf.DUMMYFUNCTION("""COMPUTED_VALUE"""),"1968")</x:f>
      </x:c>
    </x:row>
    <x:row r="1841" spans="1:10">
      <x:c r="A1841" s="1" t="s">
        <x:v>1850</x:v>
      </x:c>
      <x:c r="B1841" s="1">
        <x:f>IFERROR(__xludf.DUMMYFUNCTION("""COMPUTED_VALUE"""),"El gendarme i els extraterrestres")</x:f>
      </x:c>
      <x:c r="C1841" s="1">
        <x:f>IFERROR(__xludf.DUMMYFUNCTION("""COMPUTED_VALUE"""),"1979")</x:f>
      </x:c>
    </x:row>
    <x:row r="1842" spans="1:10">
      <x:c r="A1842" s="1" t="s">
        <x:v>1851</x:v>
      </x:c>
      <x:c r="B1842" s="1">
        <x:f>IFERROR(__xludf.DUMMYFUNCTION("""COMPUTED_VALUE"""),"El gendarme i les gendarmes")</x:f>
      </x:c>
      <x:c r="C1842" s="1">
        <x:f>IFERROR(__xludf.DUMMYFUNCTION("""COMPUTED_VALUE"""),"1982")</x:f>
      </x:c>
    </x:row>
    <x:row r="1843" spans="1:10">
      <x:c r="A1843" s="1" t="s">
        <x:v>1852</x:v>
      </x:c>
      <x:c r="B1843" s="1">
        <x:f>IFERROR(__xludf.DUMMYFUNCTION("""COMPUTED_VALUE"""),"El gendarme toca el dos")</x:f>
      </x:c>
      <x:c r="C1843" s="1">
        <x:f>IFERROR(__xludf.DUMMYFUNCTION("""COMPUTED_VALUE"""),"1970")</x:f>
      </x:c>
    </x:row>
    <x:row r="1844" spans="1:10">
      <x:c r="A1844" s="1" t="s">
        <x:v>1853</x:v>
      </x:c>
      <x:c r="B1844" s="1">
        <x:f>IFERROR(__xludf.DUMMYFUNCTION("""COMPUTED_VALUE"""),"El gènere femení")</x:f>
      </x:c>
      <x:c r="C1844" s="1">
        <x:f>IFERROR(__xludf.DUMMYFUNCTION("""COMPUTED_VALUE"""),"2011")</x:f>
      </x:c>
    </x:row>
    <x:row r="1845" spans="1:10">
      <x:c r="A1845" s="1" t="s">
        <x:v>1854</x:v>
      </x:c>
      <x:c r="B1845" s="1">
        <x:f>IFERROR(__xludf.DUMMYFUNCTION("""COMPUTED_VALUE"""),"El genet pàl·lid")</x:f>
      </x:c>
      <x:c r="C1845" s="1">
        <x:f>IFERROR(__xludf.DUMMYFUNCTION("""COMPUTED_VALUE"""),"1985")</x:f>
      </x:c>
    </x:row>
    <x:row r="1846" spans="1:10">
      <x:c r="A1846" s="1" t="s">
        <x:v>1855</x:v>
      </x:c>
      <x:c r="B1846" s="1">
        <x:f>IFERROR(__xludf.DUMMYFUNCTION("""COMPUTED_VALUE"""),"El geperut de Notre Dame")</x:f>
      </x:c>
      <x:c r="C1846" s="1">
        <x:f>IFERROR(__xludf.DUMMYFUNCTION("""COMPUTED_VALUE"""),"1996")</x:f>
      </x:c>
    </x:row>
    <x:row r="1847" spans="1:10">
      <x:c r="A1847" s="1" t="s">
        <x:v>1856</x:v>
      </x:c>
      <x:c r="B1847" s="1">
        <x:f>IFERROR(__xludf.DUMMYFUNCTION("""COMPUTED_VALUE"""),"El gólem de Limehouse")</x:f>
      </x:c>
      <x:c r="C1847" s="1">
        <x:f>IFERROR(__xludf.DUMMYFUNCTION("""COMPUTED_VALUE"""),"2016")</x:f>
      </x:c>
    </x:row>
    <x:row r="1848" spans="1:10">
      <x:c r="A1848" s="1" t="s">
        <x:v>1857</x:v>
      </x:c>
      <x:c r="B1848" s="1">
        <x:f>IFERROR(__xludf.DUMMYFUNCTION("""COMPUTED_VALUE"""),"#N/A")</x:f>
      </x:c>
      <x:c r="C1848" s="1"/>
    </x:row>
    <x:row r="1849" spans="1:10">
      <x:c r="A1849" s="1" t="s">
        <x:v>1858</x:v>
      </x:c>
      <x:c r="B1849" s="1">
        <x:f>IFERROR(__xludf.DUMMYFUNCTION("""COMPUTED_VALUE"""),"El gos dels Baskervilles")</x:f>
      </x:c>
      <x:c r="C1849" s="1">
        <x:f>IFERROR(__xludf.DUMMYFUNCTION("""COMPUTED_VALUE"""),"1959")</x:f>
      </x:c>
    </x:row>
    <x:row r="1850" spans="1:10">
      <x:c r="A1850" s="1" t="s">
        <x:v>1859</x:v>
      </x:c>
      <x:c r="B1850" s="1">
        <x:f>IFERROR(__xludf.DUMMYFUNCTION("""COMPUTED_VALUE"""),"El graduat")</x:f>
      </x:c>
      <x:c r="C1850" s="1">
        <x:f>IFERROR(__xludf.DUMMYFUNCTION("""COMPUTED_VALUE"""),"1967")</x:f>
      </x:c>
    </x:row>
    <x:row r="1851" spans="1:10">
      <x:c r="A1851" s="1" t="s">
        <x:v>1860</x:v>
      </x:c>
      <x:c r="B1851" s="1">
        <x:f>IFERROR(__xludf.DUMMYFUNCTION("""COMPUTED_VALUE"""),"El gran Albert")</x:f>
      </x:c>
      <x:c r="C1851" s="1">
        <x:f>IFERROR(__xludf.DUMMYFUNCTION("""COMPUTED_VALUE"""),"2004")</x:f>
      </x:c>
    </x:row>
    <x:row r="1852" spans="1:10">
      <x:c r="A1852" s="1" t="s">
        <x:v>1861</x:v>
      </x:c>
      <x:c r="B1852" s="1">
        <x:f>IFERROR(__xludf.DUMMYFUNCTION("""COMPUTED_VALUE"""),"El gran bany")</x:f>
      </x:c>
      <x:c r="C1852" s="1">
        <x:f>IFERROR(__xludf.DUMMYFUNCTION("""COMPUTED_VALUE"""),"2018")</x:f>
      </x:c>
    </x:row>
    <x:row r="1853" spans="1:10">
      <x:c r="A1853" s="1" t="s">
        <x:v>1862</x:v>
      </x:c>
      <x:c r="B1853" s="1">
        <x:f>IFERROR(__xludf.DUMMYFUNCTION("""COMPUTED_VALUE"""),"El gran combat")</x:f>
      </x:c>
      <x:c r="C1853" s="1">
        <x:f>IFERROR(__xludf.DUMMYFUNCTION("""COMPUTED_VALUE"""),"1964")</x:f>
      </x:c>
    </x:row>
    <x:row r="1854" spans="1:10">
      <x:c r="A1854" s="1" t="s">
        <x:v>1863</x:v>
      </x:c>
      <x:c r="B1854" s="1">
        <x:f>IFERROR(__xludf.DUMMYFUNCTION("""COMPUTED_VALUE"""),"El gran comediant")</x:f>
      </x:c>
      <x:c r="C1854" s="1">
        <x:f>IFERROR(__xludf.DUMMYFUNCTION("""COMPUTED_VALUE"""),"2023")</x:f>
      </x:c>
    </x:row>
    <x:row r="1855" spans="1:10">
      <x:c r="A1855" s="1" t="s">
        <x:v>1864</x:v>
      </x:c>
      <x:c r="B1855" s="1">
        <x:f>IFERROR(__xludf.DUMMYFUNCTION("""COMPUTED_VALUE"""),"El gran cop")</x:f>
      </x:c>
      <x:c r="C1855" s="1">
        <x:f>IFERROR(__xludf.DUMMYFUNCTION("""COMPUTED_VALUE"""),"2004")</x:f>
      </x:c>
    </x:row>
    <x:row r="1856" spans="1:10">
      <x:c r="A1856" s="1" t="s">
        <x:v>1865</x:v>
      </x:c>
      <x:c r="B1856" s="1">
        <x:f>IFERROR(__xludf.DUMMYFUNCTION("""COMPUTED_VALUE"""),"El gran cop")</x:f>
      </x:c>
      <x:c r="C1856" s="1">
        <x:f>IFERROR(__xludf.DUMMYFUNCTION("""COMPUTED_VALUE"""),"2012")</x:f>
      </x:c>
    </x:row>
    <x:row r="1857" spans="1:10">
      <x:c r="A1857" s="1" t="s">
        <x:v>1866</x:v>
      </x:c>
      <x:c r="B1857" s="1">
        <x:f>IFERROR(__xludf.DUMMYFUNCTION("""COMPUTED_VALUE"""),"El gran dia")</x:f>
      </x:c>
      <x:c r="C1857" s="1">
        <x:f>IFERROR(__xludf.DUMMYFUNCTION("""COMPUTED_VALUE"""),"2015")</x:f>
      </x:c>
    </x:row>
    <x:row r="1858" spans="1:10">
      <x:c r="A1858" s="1" t="s">
        <x:v>1867</x:v>
      </x:c>
      <x:c r="B1858" s="1">
        <x:f>IFERROR(__xludf.DUMMYFUNCTION("""COMPUTED_VALUE"""),"El gran dictador [VO]")</x:f>
      </x:c>
      <x:c r="C1858" s="1">
        <x:f>IFERROR(__xludf.DUMMYFUNCTION("""COMPUTED_VALUE"""),"1940")</x:f>
      </x:c>
    </x:row>
    <x:row r="1859" spans="1:10">
      <x:c r="A1859" s="1" t="s">
        <x:v>1868</x:v>
      </x:c>
      <x:c r="B1859" s="1">
        <x:f>IFERROR(__xludf.DUMMYFUNCTION("""COMPUTED_VALUE"""),"El gran falcó")</x:f>
      </x:c>
      <x:c r="C1859" s="1">
        <x:f>IFERROR(__xludf.DUMMYFUNCTION("""COMPUTED_VALUE"""),"1991")</x:f>
      </x:c>
    </x:row>
    <x:row r="1860" spans="1:10">
      <x:c r="A1860" s="1" t="s">
        <x:v>1869</x:v>
      </x:c>
      <x:c r="B1860" s="1">
        <x:f>IFERROR(__xludf.DUMMYFUNCTION("""COMPUTED_VALUE"""),"El gran Flamarion")</x:f>
      </x:c>
      <x:c r="C1860" s="1">
        <x:f>IFERROR(__xludf.DUMMYFUNCTION("""COMPUTED_VALUE"""),"1945")</x:f>
      </x:c>
    </x:row>
    <x:row r="1861" spans="1:10">
      <x:c r="A1861" s="1" t="s">
        <x:v>1870</x:v>
      </x:c>
      <x:c r="B1861" s="1">
        <x:f>IFERROR(__xludf.DUMMYFUNCTION("""COMPUTED_VALUE"""),"El gran Gato")</x:f>
      </x:c>
      <x:c r="C1861" s="1">
        <x:f>IFERROR(__xludf.DUMMYFUNCTION("""COMPUTED_VALUE"""),"2002")</x:f>
      </x:c>
    </x:row>
    <x:row r="1862" spans="1:10">
      <x:c r="A1862" s="1" t="s">
        <x:v>1871</x:v>
      </x:c>
      <x:c r="B1862" s="1">
        <x:f>IFERROR(__xludf.DUMMYFUNCTION("""COMPUTED_VALUE"""),"El gran Gatsby")</x:f>
      </x:c>
      <x:c r="C1862" s="1">
        <x:f>IFERROR(__xludf.DUMMYFUNCTION("""COMPUTED_VALUE"""),"2013")</x:f>
      </x:c>
    </x:row>
    <x:row r="1863" spans="1:10">
      <x:c r="A1863" s="1" t="s">
        <x:v>1872</x:v>
      </x:c>
      <x:c r="B1863" s="1">
        <x:f>IFERROR(__xludf.DUMMYFUNCTION("""COMPUTED_VALUE"""),"El gran Lebowski")</x:f>
      </x:c>
      <x:c r="C1863" s="1">
        <x:f>IFERROR(__xludf.DUMMYFUNCTION("""COMPUTED_VALUE"""),"1998")</x:f>
      </x:c>
    </x:row>
    <x:row r="1864" spans="1:10">
      <x:c r="A1864" s="1" t="s">
        <x:v>1873</x:v>
      </x:c>
      <x:c r="B1864" s="1">
        <x:f>IFERROR(__xludf.DUMMYFUNCTION("""COMPUTED_VALUE"""),"El gran Maurice")</x:f>
      </x:c>
      <x:c r="C1864" s="1">
        <x:f>IFERROR(__xludf.DUMMYFUNCTION("""COMPUTED_VALUE"""),"2021")</x:f>
      </x:c>
    </x:row>
    <x:row r="1865" spans="1:10">
      <x:c r="A1865" s="1" t="s">
        <x:v>1874</x:v>
      </x:c>
      <x:c r="B1865" s="1">
        <x:f>IFERROR(__xludf.DUMMYFUNCTION("""COMPUTED_VALUE"""),"El gran quadern")</x:f>
      </x:c>
      <x:c r="C1865" s="1">
        <x:f>IFERROR(__xludf.DUMMYFUNCTION("""COMPUTED_VALUE"""),"2013")</x:f>
      </x:c>
    </x:row>
    <x:row r="1866" spans="1:10">
      <x:c r="A1866" s="1" t="s">
        <x:v>1875</x:v>
      </x:c>
      <x:c r="B1866" s="1">
        <x:f>IFERROR(__xludf.DUMMYFUNCTION("""COMPUTED_VALUE"""),"El gran showman")</x:f>
      </x:c>
      <x:c r="C1866" s="1">
        <x:f>IFERROR(__xludf.DUMMYFUNCTION("""COMPUTED_VALUE"""),"2017")</x:f>
      </x:c>
    </x:row>
    <x:row r="1867" spans="1:10">
      <x:c r="A1867" s="1" t="s">
        <x:v>1876</x:v>
      </x:c>
      <x:c r="B1867" s="1">
        <x:f>IFERROR(__xludf.DUMMYFUNCTION("""COMPUTED_VALUE"""),"El gran silenci Horta de Sant Joan")</x:f>
      </x:c>
      <x:c r="C1867" s="1">
        <x:f>IFERROR(__xludf.DUMMYFUNCTION("""COMPUTED_VALUE"""),"2014")</x:f>
      </x:c>
    </x:row>
    <x:row r="1868" spans="1:10">
      <x:c r="A1868" s="1" t="s">
        <x:v>1877</x:v>
      </x:c>
      <x:c r="B1868" s="1">
        <x:f>IFERROR(__xludf.DUMMYFUNCTION("""COMPUTED_VALUE"""),"El gran Stan")</x:f>
      </x:c>
      <x:c r="C1868" s="1">
        <x:f>IFERROR(__xludf.DUMMYFUNCTION("""COMPUTED_VALUE"""),"2007")</x:f>
      </x:c>
    </x:row>
    <x:row r="1869" spans="1:10">
      <x:c r="A1869" s="1" t="s">
        <x:v>1878</x:v>
      </x:c>
      <x:c r="B1869" s="1">
        <x:f>IFERROR(__xludf.DUMMYFUNCTION("""COMPUTED_VALUE"""),"El gran Vázquez")</x:f>
      </x:c>
      <x:c r="C1869" s="1">
        <x:f>IFERROR(__xludf.DUMMYFUNCTION("""COMPUTED_VALUE"""),"2010")</x:f>
      </x:c>
    </x:row>
    <x:row r="1870" spans="1:10">
      <x:c r="A1870" s="1" t="s">
        <x:v>1879</x:v>
      </x:c>
      <x:c r="B1870" s="1">
        <x:f>IFERROR(__xludf.DUMMYFUNCTION("""COMPUTED_VALUE"""),"El gras i el prim")</x:f>
      </x:c>
      <x:c r="C1870" s="1">
        <x:f>IFERROR(__xludf.DUMMYFUNCTION("""COMPUTED_VALUE"""),"2018")</x:f>
      </x:c>
    </x:row>
    <x:row r="1871" spans="1:10">
      <x:c r="A1871" s="1" t="s">
        <x:v>1880</x:v>
      </x:c>
      <x:c r="B1871" s="1">
        <x:f>IFERROR(__xludf.DUMMYFUNCTION("""COMPUTED_VALUE"""),"El Greco")</x:f>
      </x:c>
      <x:c r="C1871" s="1">
        <x:f>IFERROR(__xludf.DUMMYFUNCTION("""COMPUTED_VALUE"""),"2007")</x:f>
      </x:c>
    </x:row>
    <x:row r="1872" spans="1:10">
      <x:c r="A1872" s="1" t="s">
        <x:v>1881</x:v>
      </x:c>
      <x:c r="B1872" s="1">
        <x:f>IFERROR(__xludf.DUMMYFUNCTION("""COMPUTED_VALUE"""),"El Grinch")</x:f>
      </x:c>
      <x:c r="C1872" s="1">
        <x:f>IFERROR(__xludf.DUMMYFUNCTION("""COMPUTED_VALUE"""),"2018")</x:f>
      </x:c>
    </x:row>
    <x:row r="1873" spans="1:10">
      <x:c r="A1873" s="1" t="s">
        <x:v>1882</x:v>
      </x:c>
      <x:c r="B1873" s="1">
        <x:f>IFERROR(__xludf.DUMMYFUNCTION("""COMPUTED_VALUE"""),"El Grúfal")</x:f>
      </x:c>
      <x:c r="C1873" s="1">
        <x:f>IFERROR(__xludf.DUMMYFUNCTION("""COMPUTED_VALUE"""),"2009")</x:f>
      </x:c>
    </x:row>
    <x:row r="1874" spans="1:10">
      <x:c r="A1874" s="1" t="s">
        <x:v>1883</x:v>
      </x:c>
      <x:c r="B1874" s="1">
        <x:f>IFERROR(__xludf.DUMMYFUNCTION("""COMPUTED_VALUE"""),"El guarda del Zoo")</x:f>
      </x:c>
      <x:c r="C1874" s="1">
        <x:f>IFERROR(__xludf.DUMMYFUNCTION("""COMPUTED_VALUE"""),"2011")</x:f>
      </x:c>
    </x:row>
    <x:row r="1875" spans="1:10">
      <x:c r="A1875" s="1" t="s">
        <x:v>1884</x:v>
      </x:c>
      <x:c r="B1875" s="1">
        <x:f>IFERROR(__xludf.DUMMYFUNCTION("""COMPUTED_VALUE"""),"El guardaespatlles")</x:f>
      </x:c>
      <x:c r="C1875" s="1">
        <x:f>IFERROR(__xludf.DUMMYFUNCTION("""COMPUTED_VALUE"""),"1992")</x:f>
      </x:c>
    </x:row>
    <x:row r="1876" spans="1:10">
      <x:c r="A1876" s="1" t="s">
        <x:v>1885</x:v>
      </x:c>
      <x:c r="B1876" s="1">
        <x:f>IFERROR(__xludf.DUMMYFUNCTION("""COMPUTED_VALUE"""),"El guru de les bodes")</x:f>
      </x:c>
      <x:c r="C1876" s="1">
        <x:f>IFERROR(__xludf.DUMMYFUNCTION("""COMPUTED_VALUE"""),"2015")</x:f>
      </x:c>
    </x:row>
    <x:row r="1877" spans="1:10">
      <x:c r="A1877" s="1" t="s">
        <x:v>1886</x:v>
      </x:c>
      <x:c r="B1877" s="1">
        <x:f>IFERROR(__xludf.DUMMYFUNCTION("""COMPUTED_VALUE"""),"El gust de les llavors de poma")</x:f>
      </x:c>
      <x:c r="C1877" s="1">
        <x:f>IFERROR(__xludf.DUMMYFUNCTION("""COMPUTED_VALUE"""),"2013")</x:f>
      </x:c>
    </x:row>
    <x:row r="1878" spans="1:10">
      <x:c r="A1878" s="1" t="s">
        <x:v>1887</x:v>
      </x:c>
      <x:c r="B1878" s="1">
        <x:f>IFERROR(__xludf.DUMMYFUNCTION("""COMPUTED_VALUE"""),"El Hobbit: La desolació de Smaug [VOSC]")</x:f>
      </x:c>
      <x:c r="C1878" s="1">
        <x:f>IFERROR(__xludf.DUMMYFUNCTION("""COMPUTED_VALUE"""),"2013")</x:f>
      </x:c>
    </x:row>
    <x:row r="1879" spans="1:10">
      <x:c r="A1879" s="1" t="s">
        <x:v>1888</x:v>
      </x:c>
      <x:c r="B1879" s="1">
        <x:f>IFERROR(__xludf.DUMMYFUNCTION("""COMPUTED_VALUE"""),"El Hòbbit: un viatge inesperat")</x:f>
      </x:c>
      <x:c r="C1879" s="1">
        <x:f>IFERROR(__xludf.DUMMYFUNCTION("""COMPUTED_VALUE"""),"2012")</x:f>
      </x:c>
    </x:row>
    <x:row r="1880" spans="1:10">
      <x:c r="A1880" s="1" t="s">
        <x:v>1889</x:v>
      </x:c>
      <x:c r="B1880" s="1">
        <x:f>IFERROR(__xludf.DUMMYFUNCTION("""COMPUTED_VALUE"""),"El Iang-tsé en flames")</x:f>
      </x:c>
      <x:c r="C1880" s="1">
        <x:f>IFERROR(__xludf.DUMMYFUNCTION("""COMPUTED_VALUE"""),"1966")</x:f>
      </x:c>
    </x:row>
    <x:row r="1881" spans="1:10">
      <x:c r="A1881" s="1" t="s">
        <x:v>1890</x:v>
      </x:c>
      <x:c r="B1881" s="1">
        <x:f>IFERROR(__xludf.DUMMYFUNCTION("""COMPUTED_VALUE"""),"El jardí dels Finzi Contini")</x:f>
      </x:c>
      <x:c r="C1881" s="1">
        <x:f>IFERROR(__xludf.DUMMYFUNCTION("""COMPUTED_VALUE"""),"1970")</x:f>
      </x:c>
    </x:row>
    <x:row r="1882" spans="1:10">
      <x:c r="A1882" s="1" t="s">
        <x:v>1891</x:v>
      </x:c>
      <x:c r="B1882" s="1">
        <x:f>IFERROR(__xludf.DUMMYFUNCTION("""COMPUTED_VALUE"""),"El joc de l'amor")</x:f>
      </x:c>
      <x:c r="C1882" s="1">
        <x:f>IFERROR(__xludf.DUMMYFUNCTION("""COMPUTED_VALUE"""),"2007")</x:f>
      </x:c>
    </x:row>
    <x:row r="1883" spans="1:10">
      <x:c r="A1883" s="1" t="s">
        <x:v>1892</x:v>
      </x:c>
      <x:c r="B1883" s="1">
        <x:f>IFERROR(__xludf.DUMMYFUNCTION("""COMPUTED_VALUE"""),"El joc de l'Ender")</x:f>
      </x:c>
      <x:c r="C1883" s="1">
        <x:f>IFERROR(__xludf.DUMMYFUNCTION("""COMPUTED_VALUE"""),"2013")</x:f>
      </x:c>
    </x:row>
    <x:row r="1884" spans="1:10">
      <x:c r="A1884" s="1" t="s">
        <x:v>1893</x:v>
      </x:c>
      <x:c r="B1884" s="1">
        <x:f>IFERROR(__xludf.DUMMYFUNCTION("""COMPUTED_VALUE"""),"El joc de la veritat")</x:f>
      </x:c>
      <x:c r="C1884" s="1">
        <x:f>IFERROR(__xludf.DUMMYFUNCTION("""COMPUTED_VALUE"""),"2004")</x:f>
      </x:c>
    </x:row>
    <x:row r="1885" spans="1:10">
      <x:c r="A1885" s="1" t="s">
        <x:v>1894</x:v>
      </x:c>
      <x:c r="B1885" s="1">
        <x:f>IFERROR(__xludf.DUMMYFUNCTION("""COMPUTED_VALUE"""),"El joc del penjat")</x:f>
      </x:c>
      <x:c r="C1885" s="1">
        <x:f>IFERROR(__xludf.DUMMYFUNCTION("""COMPUTED_VALUE"""),"2008")</x:f>
      </x:c>
    </x:row>
    <x:row r="1886" spans="1:10">
      <x:c r="A1886" s="1" t="s">
        <x:v>1895</x:v>
      </x:c>
      <x:c r="B1886" s="1">
        <x:f>IFERROR(__xludf.DUMMYFUNCTION("""COMPUTED_VALUE"""),"El joc dels idiotes")</x:f>
      </x:c>
      <x:c r="C1886" s="1">
        <x:f>IFERROR(__xludf.DUMMYFUNCTION("""COMPUTED_VALUE"""),"2006")</x:f>
      </x:c>
    </x:row>
    <x:row r="1887" spans="1:10">
      <x:c r="A1887" s="1" t="s">
        <x:v>1896</x:v>
      </x:c>
      <x:c r="B1887" s="1">
        <x:f>IFERROR(__xludf.DUMMYFUNCTION("""COMPUTED_VALUE"""),"El jove Ahmed")</x:f>
      </x:c>
      <x:c r="C1887" s="1">
        <x:f>IFERROR(__xludf.DUMMYFUNCTION("""COMPUTED_VALUE"""),"2019")</x:f>
      </x:c>
    </x:row>
    <x:row r="1888" spans="1:10">
      <x:c r="A1888" s="1" t="s">
        <x:v>1897</x:v>
      </x:c>
      <x:c r="B1888" s="1">
        <x:f>IFERROR(__xludf.DUMMYFUNCTION("""COMPUTED_VALUE"""),"El jove Frankenstein")</x:f>
      </x:c>
      <x:c r="C1888" s="1">
        <x:f>IFERROR(__xludf.DUMMYFUNCTION("""COMPUTED_VALUE"""),"1974")</x:f>
      </x:c>
    </x:row>
    <x:row r="1889" spans="1:10">
      <x:c r="A1889" s="1" t="s">
        <x:v>1898</x:v>
      </x:c>
      <x:c r="B1889" s="1">
        <x:f>IFERROR(__xludf.DUMMYFUNCTION("""COMPUTED_VALUE"""),"El judici")</x:f>
      </x:c>
      <x:c r="C1889" s="1">
        <x:f>IFERROR(__xludf.DUMMYFUNCTION("""COMPUTED_VALUE"""),"2021")</x:f>
      </x:c>
    </x:row>
    <x:row r="1890" spans="1:10">
      <x:c r="A1890" s="1" t="s">
        <x:v>1899</x:v>
      </x:c>
      <x:c r="B1890" s="1">
        <x:f>IFERROR(__xludf.DUMMYFUNCTION("""COMPUTED_VALUE"""),"El Jueves: 46 anys tocant els nassos")</x:f>
      </x:c>
      <x:c r="C1890" s="1">
        <x:f>IFERROR(__xludf.DUMMYFUNCTION("""COMPUTED_VALUE"""),"2023")</x:f>
      </x:c>
    </x:row>
    <x:row r="1891" spans="1:10">
      <x:c r="A1891" s="1" t="s">
        <x:v>1900</x:v>
      </x:c>
      <x:c r="B1891" s="1">
        <x:f>IFERROR(__xludf.DUMMYFUNCTION("""COMPUTED_VALUE"""),"El jurament")</x:f>
      </x:c>
      <x:c r="C1891" s="1">
        <x:f>IFERROR(__xludf.DUMMYFUNCTION("""COMPUTED_VALUE"""),"2001")</x:f>
      </x:c>
    </x:row>
    <x:row r="1892" spans="1:10">
      <x:c r="A1892" s="1" t="s">
        <x:v>1901</x:v>
      </x:c>
      <x:c r="B1892" s="1">
        <x:f>IFERROR(__xludf.DUMMYFUNCTION("""COMPUTED_VALUE"""),"El jutge")</x:f>
      </x:c>
      <x:c r="C1892" s="1">
        <x:f>IFERROR(__xludf.DUMMYFUNCTION("""COMPUTED_VALUE"""),"2014")</x:f>
      </x:c>
    </x:row>
    <x:row r="1893" spans="1:10">
      <x:c r="A1893" s="1" t="s">
        <x:v>1902</x:v>
      </x:c>
      <x:c r="B1893" s="1">
        <x:f>IFERROR(__xludf.DUMMYFUNCTION("""COMPUTED_VALUE"""),"El jutge de les tenebres")</x:f>
      </x:c>
      <x:c r="C1893" s="1">
        <x:f>IFERROR(__xludf.DUMMYFUNCTION("""COMPUTED_VALUE"""),"1991")</x:f>
      </x:c>
    </x:row>
    <x:row r="1894" spans="1:10">
      <x:c r="A1894" s="1" t="s">
        <x:v>1903</x:v>
      </x:c>
      <x:c r="B1894" s="1">
        <x:f>IFERROR(__xludf.DUMMYFUNCTION("""COMPUTED_VALUE"""),"El jutge Priest")</x:f>
      </x:c>
      <x:c r="C1894" s="1">
        <x:f>IFERROR(__xludf.DUMMYFUNCTION("""COMPUTED_VALUE"""),"1934")</x:f>
      </x:c>
    </x:row>
    <x:row r="1895" spans="1:10">
      <x:c r="A1895" s="1" t="s">
        <x:v>1904</x:v>
      </x:c>
      <x:c r="B1895" s="1">
        <x:f>IFERROR(__xludf.DUMMYFUNCTION("""COMPUTED_VALUE"""),"El knack... i com aconseguir-lo")</x:f>
      </x:c>
      <x:c r="C1895" s="1">
        <x:f>IFERROR(__xludf.DUMMYFUNCTION("""COMPUTED_VALUE"""),"1965")</x:f>
      </x:c>
    </x:row>
    <x:row r="1896" spans="1:10">
      <x:c r="A1896" s="1" t="s">
        <x:v>1905</x:v>
      </x:c>
      <x:c r="B1896" s="1">
        <x:f>IFERROR(__xludf.DUMMYFUNCTION("""COMPUTED_VALUE"""),"El Kursk, un submarí en aigües turbulentes")</x:f>
      </x:c>
      <x:c r="C1896" s="1">
        <x:f>IFERROR(__xludf.DUMMYFUNCTION("""COMPUTED_VALUE"""),"2008")</x:f>
      </x:c>
    </x:row>
    <x:row r="1897" spans="1:10">
      <x:c r="A1897" s="1" t="s">
        <x:v>1906</x:v>
      </x:c>
      <x:c r="B1897" s="1">
        <x:f>IFERROR(__xludf.DUMMYFUNCTION("""COMPUTED_VALUE"""),"El lector")</x:f>
      </x:c>
      <x:c r="C1897" s="1">
        <x:f>IFERROR(__xludf.DUMMYFUNCTION("""COMPUTED_VALUE"""),"2008")</x:f>
      </x:c>
    </x:row>
    <x:row r="1898" spans="1:10">
      <x:c r="A1898" s="1" t="s">
        <x:v>1907</x:v>
      </x:c>
      <x:c r="B1898" s="1">
        <x:f>IFERROR(__xludf.DUMMYFUNCTION("""COMPUTED_VALUE"""),"El límit de l'amor")</x:f>
      </x:c>
      <x:c r="C1898" s="1">
        <x:f>IFERROR(__xludf.DUMMYFUNCTION("""COMPUTED_VALUE"""),"2008")</x:f>
      </x:c>
    </x:row>
    <x:row r="1899" spans="1:10">
      <x:c r="A1899" s="1" t="s">
        <x:v>1908</x:v>
      </x:c>
      <x:c r="B1899" s="1">
        <x:f>IFERROR(__xludf.DUMMYFUNCTION("""COMPUTED_VALUE"""),"El llac blau")</x:f>
      </x:c>
      <x:c r="C1899" s="1">
        <x:f>IFERROR(__xludf.DUMMYFUNCTION("""COMPUTED_VALUE"""),"1980")</x:f>
      </x:c>
    </x:row>
    <x:row r="1900" spans="1:10">
      <x:c r="A1900" s="1" t="s">
        <x:v>1909</x:v>
      </x:c>
      <x:c r="B1900" s="1">
        <x:f>IFERROR(__xludf.DUMMYFUNCTION("""COMPUTED_VALUE"""),"El llac Eden")</x:f>
      </x:c>
      <x:c r="C1900" s="1">
        <x:f>IFERROR(__xludf.DUMMYFUNCTION("""COMPUTED_VALUE"""),"2008")</x:f>
      </x:c>
    </x:row>
    <x:row r="1901" spans="1:10">
      <x:c r="A1901" s="1" t="s">
        <x:v>1910</x:v>
      </x:c>
      <x:c r="B1901" s="1">
        <x:f>IFERROR(__xludf.DUMMYFUNCTION("""COMPUTED_VALUE"""),"El llaç sagrat")</x:f>
      </x:c>
      <x:c r="C1901" s="1">
        <x:f>IFERROR(__xludf.DUMMYFUNCTION("""COMPUTED_VALUE"""),"1939")</x:f>
      </x:c>
    </x:row>
    <x:row r="1902" spans="1:10">
      <x:c r="A1902" s="1" t="s">
        <x:v>1911</x:v>
      </x:c>
      <x:c r="B1902" s="1">
        <x:f>IFERROR(__xludf.DUMMYFUNCTION("""COMPUTED_VALUE"""),"El lladre de Bagdad")</x:f>
      </x:c>
      <x:c r="C1902" s="1">
        <x:f>IFERROR(__xludf.DUMMYFUNCTION("""COMPUTED_VALUE"""),"1940")</x:f>
      </x:c>
    </x:row>
    <x:row r="1903" spans="1:10">
      <x:c r="A1903" s="1" t="s">
        <x:v>1912</x:v>
      </x:c>
      <x:c r="B1903" s="1">
        <x:f>IFERROR(__xludf.DUMMYFUNCTION("""COMPUTED_VALUE"""),"El lladre de paraules")</x:f>
      </x:c>
      <x:c r="C1903" s="1">
        <x:f>IFERROR(__xludf.DUMMYFUNCTION("""COMPUTED_VALUE"""),"2012")</x:f>
      </x:c>
    </x:row>
    <x:row r="1904" spans="1:10">
      <x:c r="A1904" s="1" t="s">
        <x:v>1913</x:v>
      </x:c>
      <x:c r="B1904" s="1">
        <x:f>IFERROR(__xludf.DUMMYFUNCTION("""COMPUTED_VALUE"""),"El llarg Divendres Sant")</x:f>
      </x:c>
      <x:c r="C1904" s="1">
        <x:f>IFERROR(__xludf.DUMMYFUNCTION("""COMPUTED_VALUE"""),"1980")</x:f>
      </x:c>
    </x:row>
    <x:row r="1905" spans="1:10">
      <x:c r="A1905" s="1" t="s">
        <x:v>1914</x:v>
      </x:c>
      <x:c r="B1905" s="1">
        <x:f>IFERROR(__xludf.DUMMYFUNCTION("""COMPUTED_VALUE"""),"El llegat")</x:f>
      </x:c>
      <x:c r="C1905" s="1">
        <x:f>IFERROR(__xludf.DUMMYFUNCTION("""COMPUTED_VALUE"""),"1978")</x:f>
      </x:c>
    </x:row>
    <x:row r="1906" spans="1:10">
      <x:c r="A1906" s="1" t="s">
        <x:v>1915</x:v>
      </x:c>
      <x:c r="B1906" s="1">
        <x:f>IFERROR(__xludf.DUMMYFUNCTION("""COMPUTED_VALUE"""),"El llegat")</x:f>
      </x:c>
      <x:c r="C1906" s="1">
        <x:f>IFERROR(__xludf.DUMMYFUNCTION("""COMPUTED_VALUE"""),"2023")</x:f>
      </x:c>
    </x:row>
    <x:row r="1907" spans="1:10">
      <x:c r="A1907" s="1" t="s">
        <x:v>1916</x:v>
      </x:c>
      <x:c r="B1907" s="1">
        <x:f>IFERROR(__xludf.DUMMYFUNCTION("""COMPUTED_VALUE"""),"El llegat de la maternitat d'Elna")</x:f>
      </x:c>
      <x:c r="C1907" s="1">
        <x:f>IFERROR(__xludf.DUMMYFUNCTION("""COMPUTED_VALUE"""),"2007")</x:f>
      </x:c>
    </x:row>
    <x:row r="1908" spans="1:10">
      <x:c r="A1908" s="1" t="s">
        <x:v>1917</x:v>
      </x:c>
      <x:c r="B1908" s="1">
        <x:f>IFERROR(__xludf.DUMMYFUNCTION("""COMPUTED_VALUE"""),"El llibre d'Eli")</x:f>
      </x:c>
      <x:c r="C1908" s="1">
        <x:f>IFERROR(__xludf.DUMMYFUNCTION("""COMPUTED_VALUE"""),"2010")</x:f>
      </x:c>
    </x:row>
    <x:row r="1909" spans="1:10">
      <x:c r="A1909" s="1" t="s">
        <x:v>1918</x:v>
      </x:c>
      <x:c r="B1909" s="1">
        <x:f>IFERROR(__xludf.DUMMYFUNCTION("""COMPUTED_VALUE"""),"El llibre de la selva")</x:f>
      </x:c>
      <x:c r="C1909" s="1">
        <x:f>IFERROR(__xludf.DUMMYFUNCTION("""COMPUTED_VALUE"""),"1942")</x:f>
      </x:c>
    </x:row>
    <x:row r="1910" spans="1:10">
      <x:c r="A1910" s="1" t="s">
        <x:v>1919</x:v>
      </x:c>
      <x:c r="B1910" s="1">
        <x:f>IFERROR(__xludf.DUMMYFUNCTION("""COMPUTED_VALUE"""),"El llibre de la selva 2")</x:f>
      </x:c>
      <x:c r="C1910" s="1">
        <x:f>IFERROR(__xludf.DUMMYFUNCTION("""COMPUTED_VALUE"""),"2003")</x:f>
      </x:c>
    </x:row>
    <x:row r="1911" spans="1:10">
      <x:c r="A1911" s="1" t="s">
        <x:v>1920</x:v>
      </x:c>
      <x:c r="B1911" s="1">
        <x:f>IFERROR(__xludf.DUMMYFUNCTION("""COMPUTED_VALUE"""),"El llibre de la selva: L'aventura continua")</x:f>
      </x:c>
      <x:c r="C1911" s="1">
        <x:f>IFERROR(__xludf.DUMMYFUNCTION("""COMPUTED_VALUE"""),"1994")</x:f>
      </x:c>
    </x:row>
    <x:row r="1912" spans="1:10">
      <x:c r="A1912" s="1" t="s">
        <x:v>1921</x:v>
      </x:c>
      <x:c r="B1912" s="1">
        <x:f>IFERROR(__xludf.DUMMYFUNCTION("""COMPUTED_VALUE"""),"El llibre de la selva: xafarranxo a la selva")</x:f>
      </x:c>
      <x:c r="C1912" s="1">
        <x:f>IFERROR(__xludf.DUMMYFUNCTION("""COMPUTED_VALUE"""),"2013")</x:f>
      </x:c>
    </x:row>
    <x:row r="1913" spans="1:10">
      <x:c r="A1913" s="1" t="s">
        <x:v>1922</x:v>
      </x:c>
      <x:c r="B1913" s="1">
        <x:f>IFERROR(__xludf.DUMMYFUNCTION("""COMPUTED_VALUE"""),"El llibre màgic")</x:f>
      </x:c>
      <x:c r="C1913" s="1">
        <x:f>IFERROR(__xludf.DUMMYFUNCTION("""COMPUTED_VALUE"""),"2005")</x:f>
      </x:c>
    </x:row>
    <x:row r="1914" spans="1:10">
      <x:c r="A1914" s="1" t="s">
        <x:v>1923</x:v>
      </x:c>
      <x:c r="B1914" s="1">
        <x:f>IFERROR(__xludf.DUMMYFUNCTION("""COMPUTED_VALUE"""),"El llibre negre")</x:f>
      </x:c>
      <x:c r="C1914" s="1">
        <x:f>IFERROR(__xludf.DUMMYFUNCTION("""COMPUTED_VALUE"""),"2006")</x:f>
      </x:c>
    </x:row>
    <x:row r="1915" spans="1:10">
      <x:c r="A1915" s="1" t="s">
        <x:v>1924</x:v>
      </x:c>
      <x:c r="B1915" s="1">
        <x:f>IFERROR(__xludf.DUMMYFUNCTION("""COMPUTED_VALUE"""),"El lluitador")</x:f>
      </x:c>
      <x:c r="C1915" s="1">
        <x:f>IFERROR(__xludf.DUMMYFUNCTION("""COMPUTED_VALUE"""),"2008")</x:f>
      </x:c>
    </x:row>
    <x:row r="1916" spans="1:10">
      <x:c r="A1916" s="1" t="s">
        <x:v>1925</x:v>
      </x:c>
      <x:c r="B1916" s="1">
        <x:f>IFERROR(__xludf.DUMMYFUNCTION("""COMPUTED_VALUE"""),"El lotus blau")</x:f>
      </x:c>
      <x:c r="C1916" s="1">
        <x:f>IFERROR(__xludf.DUMMYFUNCTION("""COMPUTED_VALUE"""),"1991")</x:f>
      </x:c>
    </x:row>
    <x:row r="1917" spans="1:10">
      <x:c r="A1917" s="1" t="s">
        <x:v>1926</x:v>
      </x:c>
      <x:c r="B1917" s="1">
        <x:f>IFERROR(__xludf.DUMMYFUNCTION("""COMPUTED_VALUE"""),"El Madrid Real. La llegenda negra de la glòria blanca")</x:f>
      </x:c>
      <x:c r="C1917" s="1">
        <x:f>IFERROR(__xludf.DUMMYFUNCTION("""COMPUTED_VALUE"""),"2014")</x:f>
      </x:c>
    </x:row>
    <x:row r="1918" spans="1:10">
      <x:c r="A1918" s="1" t="s">
        <x:v>1927</x:v>
      </x:c>
      <x:c r="B1918" s="1">
        <x:f>IFERROR(__xludf.DUMMYFUNCTION("""COMPUTED_VALUE"""),"El Mago Pop: la il·lusió del Paral·lel")</x:f>
      </x:c>
      <x:c r="C1918" s="1">
        <x:f>IFERROR(__xludf.DUMMYFUNCTION("""COMPUTED_VALUE"""),"2021")</x:f>
      </x:c>
    </x:row>
    <x:row r="1919" spans="1:10">
      <x:c r="A1919" s="1" t="s">
        <x:v>1928</x:v>
      </x:c>
      <x:c r="B1919" s="1">
        <x:f>IFERROR(__xludf.DUMMYFUNCTION("""COMPUTED_VALUE"""),"El majordom")</x:f>
      </x:c>
      <x:c r="C1919" s="1">
        <x:f>IFERROR(__xludf.DUMMYFUNCTION("""COMPUTED_VALUE"""),"2013")</x:f>
      </x:c>
    </x:row>
    <x:row r="1920" spans="1:10">
      <x:c r="A1920" s="1" t="s">
        <x:v>1929</x:v>
      </x:c>
      <x:c r="B1920" s="1">
        <x:f>IFERROR(__xludf.DUMMYFUNCTION("""COMPUTED_VALUE"""),"El majordom anglès")</x:f>
      </x:c>
      <x:c r="C1920" s="1">
        <x:f>IFERROR(__xludf.DUMMYFUNCTION("""COMPUTED_VALUE"""),"2023")</x:f>
      </x:c>
    </x:row>
    <x:row r="1921" spans="1:10">
      <x:c r="A1921" s="1" t="s">
        <x:v>1930</x:v>
      </x:c>
      <x:c r="B1921" s="1">
        <x:f>IFERROR(__xludf.DUMMYFUNCTION("""COMPUTED_VALUE"""),"El making of de La llum d'Elna")</x:f>
      </x:c>
      <x:c r="C1921" s="1">
        <x:f>IFERROR(__xludf.DUMMYFUNCTION("""COMPUTED_VALUE"""),"2017")</x:f>
      </x:c>
    </x:row>
    <x:row r="1922" spans="1:10">
      <x:c r="A1922" s="1" t="s">
        <x:v>1931</x:v>
      </x:c>
      <x:c r="B1922" s="1">
        <x:f>IFERROR(__xludf.DUMMYFUNCTION("""COMPUTED_VALUE"""),"El mal no existeix")</x:f>
      </x:c>
      <x:c r="C1922" s="1">
        <x:f>IFERROR(__xludf.DUMMYFUNCTION("""COMPUTED_VALUE"""),"2020")</x:f>
      </x:c>
    </x:row>
    <x:row r="1923" spans="1:10">
      <x:c r="A1923" s="1" t="s">
        <x:v>1932</x:v>
      </x:c>
      <x:c r="B1923" s="1">
        <x:f>IFERROR(__xludf.DUMMYFUNCTION("""COMPUTED_VALUE"""),"El mal que els homes fan")</x:f>
      </x:c>
      <x:c r="C1923" s="1">
        <x:f>IFERROR(__xludf.DUMMYFUNCTION("""COMPUTED_VALUE"""),"2015")</x:f>
      </x:c>
    </x:row>
    <x:row r="1924" spans="1:10">
      <x:c r="A1924" s="1" t="s">
        <x:v>1933</x:v>
      </x:c>
      <x:c r="B1924" s="1">
        <x:f>IFERROR(__xludf.DUMMYFUNCTION("""COMPUTED_VALUE"""),"El mal son")</x:f>
      </x:c>
      <x:c r="C1924" s="1">
        <x:f>IFERROR(__xludf.DUMMYFUNCTION("""COMPUTED_VALUE"""),"2025")</x:f>
      </x:c>
    </x:row>
    <x:row r="1925" spans="1:10">
      <x:c r="A1925" s="1" t="s">
        <x:v>1934</x:v>
      </x:c>
      <x:c r="B1925" s="1">
        <x:f>IFERROR(__xludf.DUMMYFUNCTION("""COMPUTED_VALUE"""),"El malson de la Mandy")</x:f>
      </x:c>
      <x:c r="C1925" s="1">
        <x:f>IFERROR(__xludf.DUMMYFUNCTION("""COMPUTED_VALUE"""),"2017")</x:f>
      </x:c>
    </x:row>
    <x:row r="1926" spans="1:10">
      <x:c r="A1926" s="1" t="s">
        <x:v>1935</x:v>
      </x:c>
      <x:c r="B1926" s="1">
        <x:f>IFERROR(__xludf.DUMMYFUNCTION("""COMPUTED_VALUE"""),"El malson de Peter Pan")</x:f>
      </x:c>
      <x:c r="C1926" s="1">
        <x:f>IFERROR(__xludf.DUMMYFUNCTION("""COMPUTED_VALUE"""),"2025")</x:f>
      </x:c>
    </x:row>
    <x:row r="1927" spans="1:10">
      <x:c r="A1927" s="1" t="s">
        <x:v>1936</x:v>
      </x:c>
      <x:c r="B1927" s="1">
        <x:f>IFERROR(__xludf.DUMMYFUNCTION("""COMPUTED_VALUE"""),"El maquinista")</x:f>
      </x:c>
      <x:c r="C1927" s="1">
        <x:f>IFERROR(__xludf.DUMMYFUNCTION("""COMPUTED_VALUE"""),"2004")</x:f>
      </x:c>
    </x:row>
    <x:row r="1928" spans="1:10">
      <x:c r="A1928" s="1" t="s">
        <x:v>1937</x:v>
      </x:c>
      <x:c r="B1928" s="1">
        <x:f>IFERROR(__xludf.DUMMYFUNCTION("""COMPUTED_VALUE"""),"El maquinista de La General [VOSC]")</x:f>
      </x:c>
      <x:c r="C1928" s="1">
        <x:f>IFERROR(__xludf.DUMMYFUNCTION("""COMPUTED_VALUE"""),"1926")</x:f>
      </x:c>
    </x:row>
    <x:row r="1929" spans="1:10">
      <x:c r="A1929" s="1" t="s">
        <x:v>1938</x:v>
      </x:c>
      <x:c r="B1929" s="1">
        <x:f>IFERROR(__xludf.DUMMYFUNCTION("""COMPUTED_VALUE"""),"El mar")</x:f>
      </x:c>
      <x:c r="C1929" s="1">
        <x:f>IFERROR(__xludf.DUMMYFUNCTION("""COMPUTED_VALUE"""),"2000")</x:f>
      </x:c>
    </x:row>
    <x:row r="1930" spans="1:10">
      <x:c r="A1930" s="1" t="s">
        <x:v>1939</x:v>
      </x:c>
      <x:c r="B1930" s="1">
        <x:f>IFERROR(__xludf.DUMMYFUNCTION("""COMPUTED_VALUE"""),"El mar, en suspens")</x:f>
      </x:c>
      <x:c r="C1930" s="1">
        <x:f>IFERROR(__xludf.DUMMYFUNCTION("""COMPUTED_VALUE"""),"2024")</x:f>
      </x:c>
    </x:row>
    <x:row r="1931" spans="1:10">
      <x:c r="A1931" s="1" t="s">
        <x:v>1940</x:v>
      </x:c>
      <x:c r="B1931" s="1">
        <x:f>IFERROR(__xludf.DUMMYFUNCTION("""COMPUTED_VALUE"""),"El mariner")</x:f>
      </x:c>
      <x:c r="C1931" s="1">
        <x:f>IFERROR(__xludf.DUMMYFUNCTION("""COMPUTED_VALUE"""),"1915")</x:f>
      </x:c>
    </x:row>
    <x:row r="1932" spans="1:10">
      <x:c r="A1932" s="1" t="s">
        <x:v>1941</x:v>
      </x:c>
      <x:c r="B1932" s="1">
        <x:f>IFERROR(__xludf.DUMMYFUNCTION("""COMPUTED_VALUE"""),"El mariner que va caure en desgràcia del mar")</x:f>
      </x:c>
      <x:c r="C1932" s="1">
        <x:f>IFERROR(__xludf.DUMMYFUNCTION("""COMPUTED_VALUE"""),"1976")</x:f>
      </x:c>
    </x:row>
    <x:row r="1933" spans="1:10">
      <x:c r="A1933" s="1" t="s">
        <x:v>1942</x:v>
      </x:c>
      <x:c r="B1933" s="1">
        <x:f>IFERROR(__xludf.DUMMYFUNCTION("""COMPUTED_VALUE"""),"El marit de la perruquera")</x:f>
      </x:c>
      <x:c r="C1933" s="1">
        <x:f>IFERROR(__xludf.DUMMYFUNCTION("""COMPUTED_VALUE"""),"1990")</x:f>
      </x:c>
    </x:row>
    <x:row r="1934" spans="1:10">
      <x:c r="A1934" s="1" t="s">
        <x:v>1943</x:v>
      </x:c>
      <x:c r="B1934" s="1">
        <x:f>IFERROR(__xludf.DUMMYFUNCTION("""COMPUTED_VALUE"""),"El matador")</x:f>
      </x:c>
      <x:c r="C1934" s="1">
        <x:f>IFERROR(__xludf.DUMMYFUNCTION("""COMPUTED_VALUE"""),"2005")</x:f>
      </x:c>
    </x:row>
    <x:row r="1935" spans="1:10">
      <x:c r="A1935" s="1" t="s">
        <x:v>1944</x:v>
      </x:c>
      <x:c r="B1935" s="1">
        <x:f>IFERROR(__xludf.DUMMYFUNCTION("""COMPUTED_VALUE"""),"El mecànic")</x:f>
      </x:c>
      <x:c r="C1935" s="1">
        <x:f>IFERROR(__xludf.DUMMYFUNCTION("""COMPUTED_VALUE"""),"2011")</x:f>
      </x:c>
    </x:row>
    <x:row r="1936" spans="1:10">
      <x:c r="A1936" s="1" t="s">
        <x:v>1945</x:v>
      </x:c>
      <x:c r="B1936" s="1">
        <x:f>IFERROR(__xludf.DUMMYFUNCTION("""COMPUTED_VALUE"""),"El medalló")</x:f>
      </x:c>
      <x:c r="C1936" s="1">
        <x:f>IFERROR(__xludf.DUMMYFUNCTION("""COMPUTED_VALUE"""),"2003")</x:f>
      </x:c>
    </x:row>
    <x:row r="1937" spans="1:10">
      <x:c r="A1937" s="1" t="s">
        <x:v>1946</x:v>
      </x:c>
      <x:c r="B1937" s="1">
        <x:f>IFERROR(__xludf.DUMMYFUNCTION("""COMPUTED_VALUE"""),"El menjar dels déus")</x:f>
      </x:c>
      <x:c r="C1937" s="1">
        <x:f>IFERROR(__xludf.DUMMYFUNCTION("""COMPUTED_VALUE"""),"1976")</x:f>
      </x:c>
    </x:row>
    <x:row r="1938" spans="1:10">
      <x:c r="A1938" s="1" t="s">
        <x:v>1947</x:v>
      </x:c>
      <x:c r="B1938" s="1">
        <x:f>IFERROR(__xludf.DUMMYFUNCTION("""COMPUTED_VALUE"""),"El mercader de Venècia")</x:f>
      </x:c>
      <x:c r="C1938" s="1">
        <x:f>IFERROR(__xludf.DUMMYFUNCTION("""COMPUTED_VALUE"""),"2004")</x:f>
      </x:c>
    </x:row>
    <x:row r="1939" spans="1:10">
      <x:c r="A1939" s="1" t="s">
        <x:v>1948</x:v>
      </x:c>
      <x:c r="B1939" s="1">
        <x:f>IFERROR(__xludf.DUMMYFUNCTION("""COMPUTED_VALUE"""),"El Merder 2016")</x:f>
      </x:c>
      <x:c r="C1939" s="1">
        <x:f>IFERROR(__xludf.DUMMYFUNCTION("""COMPUTED_VALUE"""),"2016")</x:f>
      </x:c>
    </x:row>
    <x:row r="1940" spans="1:10">
      <x:c r="A1940" s="1" t="s">
        <x:v>1949</x:v>
      </x:c>
      <x:c r="B1940" s="1">
        <x:f>IFERROR(__xludf.DUMMYFUNCTION("""COMPUTED_VALUE"""),"El més important de la vida és no haver mort")</x:f>
      </x:c>
      <x:c r="C1940" s="1">
        <x:f>IFERROR(__xludf.DUMMYFUNCTION("""COMPUTED_VALUE"""),"2009")</x:f>
      </x:c>
    </x:row>
    <x:row r="1941" spans="1:10">
      <x:c r="A1941" s="1" t="s">
        <x:v>1950</x:v>
      </x:c>
      <x:c r="B1941" s="1">
        <x:f>IFERROR(__xludf.DUMMYFUNCTION("""COMPUTED_VALUE"""),"El Messies de Haendel - Dublin")</x:f>
      </x:c>
      <x:c r="C1941" s="1">
        <x:f>IFERROR(__xludf.DUMMYFUNCTION("""COMPUTED_VALUE"""),"1992")</x:f>
      </x:c>
    </x:row>
    <x:row r="1942" spans="1:10">
      <x:c r="A1942" s="1" t="s">
        <x:v>1951</x:v>
      </x:c>
      <x:c r="B1942" s="1">
        <x:f>IFERROR(__xludf.DUMMYFUNCTION("""COMPUTED_VALUE"""),"El mestre")</x:f>
      </x:c>
      <x:c r="C1942" s="1">
        <x:f>IFERROR(__xludf.DUMMYFUNCTION("""COMPUTED_VALUE"""),"1992")</x:f>
      </x:c>
    </x:row>
    <x:row r="1943" spans="1:10">
      <x:c r="A1943" s="1" t="s">
        <x:v>1952</x:v>
      </x:c>
      <x:c r="B1943" s="1">
        <x:f>IFERROR(__xludf.DUMMYFUNCTION("""COMPUTED_VALUE"""),"El mestre de l'aigua")</x:f>
      </x:c>
      <x:c r="C1943" s="1">
        <x:f>IFERROR(__xludf.DUMMYFUNCTION("""COMPUTED_VALUE"""),"2014")</x:f>
      </x:c>
    </x:row>
    <x:row r="1944" spans="1:10">
      <x:c r="A1944" s="1" t="s">
        <x:v>1953</x:v>
      </x:c>
      <x:c r="B1944" s="1">
        <x:f>IFERROR(__xludf.DUMMYFUNCTION("""COMPUTED_VALUE"""),"El mestre jardiner")</x:f>
      </x:c>
      <x:c r="C1944" s="1">
        <x:f>IFERROR(__xludf.DUMMYFUNCTION("""COMPUTED_VALUE"""),"2022")</x:f>
      </x:c>
    </x:row>
    <x:row r="1945" spans="1:10">
      <x:c r="A1945" s="1" t="s">
        <x:v>1954</x:v>
      </x:c>
      <x:c r="B1945" s="1">
        <x:f>IFERROR(__xludf.DUMMYFUNCTION("""COMPUTED_VALUE"""),"El mestre que va prometre el mar")</x:f>
      </x:c>
      <x:c r="C1945" s="1">
        <x:f>IFERROR(__xludf.DUMMYFUNCTION("""COMPUTED_VALUE"""),"2023")</x:f>
      </x:c>
    </x:row>
    <x:row r="1946" spans="1:10">
      <x:c r="A1946" s="1" t="s">
        <x:v>1955</x:v>
      </x:c>
      <x:c r="B1946" s="1">
        <x:f>IFERROR(__xludf.DUMMYFUNCTION("""COMPUTED_VALUE"""),"El metge")</x:f>
      </x:c>
      <x:c r="C1946" s="1">
        <x:f>IFERROR(__xludf.DUMMYFUNCTION("""COMPUTED_VALUE"""),"2013")</x:f>
      </x:c>
    </x:row>
    <x:row r="1947" spans="1:10">
      <x:c r="A1947" s="1" t="s">
        <x:v>1956</x:v>
      </x:c>
      <x:c r="B1947" s="1">
        <x:f>IFERROR(__xludf.DUMMYFUNCTION("""COMPUTED_VALUE"""),"El mètode Farrer")</x:f>
      </x:c>
      <x:c r="C1947" s="1">
        <x:f>IFERROR(__xludf.DUMMYFUNCTION("""COMPUTED_VALUE"""),"2024")</x:f>
      </x:c>
    </x:row>
    <x:row r="1948" spans="1:10">
      <x:c r="A1948" s="1" t="s">
        <x:v>1957</x:v>
      </x:c>
      <x:c r="B1948" s="1">
        <x:f>IFERROR(__xludf.DUMMYFUNCTION("""COMPUTED_VALUE"""),"El mètode Grönholm")</x:f>
      </x:c>
      <x:c r="C1948" s="1">
        <x:f>IFERROR(__xludf.DUMMYFUNCTION("""COMPUTED_VALUE"""),"2015")</x:f>
      </x:c>
    </x:row>
    <x:row r="1949" spans="1:10">
      <x:c r="A1949" s="1" t="s">
        <x:v>1958</x:v>
      </x:c>
      <x:c r="B1949" s="1">
        <x:f>IFERROR(__xludf.DUMMYFUNCTION("""COMPUTED_VALUE"""),"El Metralla")</x:f>
      </x:c>
      <x:c r="C1949" s="1">
        <x:f>IFERROR(__xludf.DUMMYFUNCTION("""COMPUTED_VALUE"""),"2021")</x:f>
      </x:c>
    </x:row>
    <x:row r="1950" spans="1:10">
      <x:c r="A1950" s="1" t="s">
        <x:v>1959</x:v>
      </x:c>
      <x:c r="B1950" s="1">
        <x:f>IFERROR(__xludf.DUMMYFUNCTION("""COMPUTED_VALUE"""),"El meu amic el gegant")</x:f>
      </x:c>
      <x:c r="C1950" s="1">
        <x:f>IFERROR(__xludf.DUMMYFUNCTION("""COMPUTED_VALUE"""),"2016")</x:f>
      </x:c>
    </x:row>
    <x:row r="1951" spans="1:10">
      <x:c r="A1951" s="1" t="s">
        <x:v>1960</x:v>
      </x:c>
      <x:c r="B1951" s="1">
        <x:f>IFERROR(__xludf.DUMMYFUNCTION("""COMPUTED_VALUE"""),"El meu amic Mr. Morgan")</x:f>
      </x:c>
      <x:c r="C1951" s="1">
        <x:f>IFERROR(__xludf.DUMMYFUNCTION("""COMPUTED_VALUE"""),"2013")</x:f>
      </x:c>
    </x:row>
    <x:row r="1952" spans="1:10">
      <x:c r="A1952" s="1" t="s">
        <x:v>1961</x:v>
      </x:c>
      <x:c r="B1952" s="1">
        <x:f>IFERROR(__xludf.DUMMYFUNCTION("""COMPUTED_VALUE"""),"El meu avi va anar a Cuba. Viatge d’anada i tornada")</x:f>
      </x:c>
      <x:c r="C1952" s="1">
        <x:f>IFERROR(__xludf.DUMMYFUNCTION("""COMPUTED_VALUE"""),"2024")</x:f>
      </x:c>
    </x:row>
    <x:row r="1953" spans="1:10">
      <x:c r="A1953" s="1" t="s">
        <x:v>1962</x:v>
      </x:c>
      <x:c r="B1953" s="1">
        <x:f>IFERROR(__xludf.DUMMYFUNCTION("""COMPUTED_VALUE"""),"El meu camí interior")</x:f>
      </x:c>
      <x:c r="C1953" s="1">
        <x:f>IFERROR(__xludf.DUMMYFUNCTION("""COMPUTED_VALUE"""),"2023")</x:f>
      </x:c>
    </x:row>
    <x:row r="1954" spans="1:10">
      <x:c r="A1954" s="1" t="s">
        <x:v>1963</x:v>
      </x:c>
      <x:c r="B1954" s="1">
        <x:f>IFERROR(__xludf.DUMMYFUNCTION("""COMPUTED_VALUE"""),"El meu cosí")</x:f>
      </x:c>
      <x:c r="C1954" s="1">
        <x:f>IFERROR(__xludf.DUMMYFUNCTION("""COMPUTED_VALUE"""),"2020")</x:f>
      </x:c>
    </x:row>
    <x:row r="1955" spans="1:10">
      <x:c r="A1955" s="1" t="s">
        <x:v>1964</x:v>
      </x:c>
      <x:c r="B1955" s="1">
        <x:f>IFERROR(__xludf.DUMMYFUNCTION("""COMPUTED_VALUE"""),"El meu crim")</x:f>
      </x:c>
      <x:c r="C1955" s="1">
        <x:f>IFERROR(__xludf.DUMMYFUNCTION("""COMPUTED_VALUE"""),"2023")</x:f>
      </x:c>
    </x:row>
    <x:row r="1956" spans="1:10">
      <x:c r="A1956" s="1" t="s">
        <x:v>1965</x:v>
      </x:c>
      <x:c r="B1956" s="1">
        <x:f>IFERROR(__xludf.DUMMYFUNCTION("""COMPUTED_VALUE"""),"El meu doble als Alps")</x:f>
      </x:c>
      <x:c r="C1956" s="1">
        <x:f>IFERROR(__xludf.DUMMYFUNCTION("""COMPUTED_VALUE"""),"1967")</x:f>
      </x:c>
    </x:row>
    <x:row r="1957" spans="1:10">
      <x:c r="A1957" s="1" t="s">
        <x:v>1966</x:v>
      </x:c>
      <x:c r="B1957" s="1">
        <x:f>IFERROR(__xludf.DUMMYFUNCTION("""COMPUTED_VALUE"""),"El meu estimat germà")</x:f>
      </x:c>
      <x:c r="C1957" s="1">
        <x:f>IFERROR(__xludf.DUMMYFUNCTION("""COMPUTED_VALUE"""),"2016")</x:f>
      </x:c>
    </x:row>
    <x:row r="1958" spans="1:10">
      <x:c r="A1958" s="1" t="s">
        <x:v>1967</x:v>
      </x:c>
      <x:c r="B1958" s="1">
        <x:f>IFERROR(__xludf.DUMMYFUNCTION("""COMPUTED_VALUE"""),"El meu fill")</x:f>
      </x:c>
      <x:c r="C1958" s="1">
        <x:f>IFERROR(__xludf.DUMMYFUNCTION("""COMPUTED_VALUE"""),"2014")</x:f>
      </x:c>
    </x:row>
    <x:row r="1959" spans="1:10">
      <x:c r="A1959" s="1" t="s">
        <x:v>1968</x:v>
      </x:c>
      <x:c r="B1959" s="1">
        <x:f>IFERROR(__xludf.DUMMYFUNCTION("""COMPUTED_VALUE"""),"El meu fill i jo")</x:f>
      </x:c>
      <x:c r="C1959" s="1">
        <x:f>IFERROR(__xludf.DUMMYFUNCTION("""COMPUTED_VALUE"""),"2011")</x:f>
      </x:c>
    </x:row>
    <x:row r="1960" spans="1:10">
      <x:c r="A1960" s="1" t="s">
        <x:v>1969</x:v>
      </x:c>
      <x:c r="B1960" s="1">
        <x:f>IFERROR(__xludf.DUMMYFUNCTION("""COMPUTED_VALUE"""),"El meu germà és fill únic")</x:f>
      </x:c>
      <x:c r="C1960" s="1">
        <x:f>IFERROR(__xludf.DUMMYFUNCTION("""COMPUTED_VALUE"""),"2007")</x:f>
      </x:c>
    </x:row>
    <x:row r="1961" spans="1:10">
      <x:c r="A1961" s="1" t="s">
        <x:v>1970</x:v>
      </x:c>
      <x:c r="B1961" s="1">
        <x:f>IFERROR(__xludf.DUMMYFUNCTION("""COMPUTED_VALUE"""),"El meu germà persegueix dinosaures")</x:f>
      </x:c>
      <x:c r="C1961" s="1">
        <x:f>IFERROR(__xludf.DUMMYFUNCTION("""COMPUTED_VALUE"""),"2019")</x:f>
      </x:c>
    </x:row>
    <x:row r="1962" spans="1:10">
      <x:c r="A1962" s="1" t="s">
        <x:v>1971</x:v>
      </x:c>
      <x:c r="B1962" s="1">
        <x:f>IFERROR(__xludf.DUMMYFUNCTION("""COMPUTED_VALUE"""),"El meu gos és un detectiu")</x:f>
      </x:c>
      <x:c r="C1962" s="1">
        <x:f>IFERROR(__xludf.DUMMYFUNCTION("""COMPUTED_VALUE"""),"2018")</x:f>
      </x:c>
    </x:row>
    <x:row r="1963" spans="1:10">
      <x:c r="A1963" s="1" t="s">
        <x:v>1972</x:v>
      </x:c>
      <x:c r="B1963" s="1">
        <x:f>IFERROR(__xludf.DUMMYFUNCTION("""COMPUTED_VALUE"""),"El meu millor amic")</x:f>
      </x:c>
      <x:c r="C1963" s="1">
        <x:f>IFERROR(__xludf.DUMMYFUNCTION("""COMPUTED_VALUE"""),"2006")</x:f>
      </x:c>
    </x:row>
    <x:row r="1964" spans="1:10">
      <x:c r="A1964" s="1" t="s">
        <x:v>1973</x:v>
      </x:c>
      <x:c r="B1964" s="1">
        <x:f>IFERROR(__xludf.DUMMYFUNCTION("""COMPUTED_VALUE"""),"El meu monstre i jo")</x:f>
      </x:c>
      <x:c r="C1964" s="1">
        <x:f>IFERROR(__xludf.DUMMYFUNCTION("""COMPUTED_VALUE"""),"2007")</x:f>
      </x:c>
    </x:row>
    <x:row r="1965" spans="1:10">
      <x:c r="A1965" s="1" t="s">
        <x:v>1974</x:v>
      </x:c>
      <x:c r="B1965" s="1">
        <x:f>IFERROR(__xludf.DUMMYFUNCTION("""COMPUTED_VALUE"""),"El meu nom és Druillet")</x:f>
      </x:c>
      <x:c r="C1965" s="1">
        <x:f>IFERROR(__xludf.DUMMYFUNCTION("""COMPUTED_VALUE"""),"2012")</x:f>
      </x:c>
    </x:row>
    <x:row r="1966" spans="1:10">
      <x:c r="A1966" s="1" t="s">
        <x:v>1975</x:v>
      </x:c>
      <x:c r="B1966" s="1">
        <x:f>IFERROR(__xludf.DUMMYFUNCTION("""COMPUTED_VALUE"""),"El meu nòvio és un lladre")</x:f>
      </x:c>
      <x:c r="C1966" s="1">
        <x:f>IFERROR(__xludf.DUMMYFUNCTION("""COMPUTED_VALUE"""),"2008")</x:f>
      </x:c>
    </x:row>
    <x:row r="1967" spans="1:10">
      <x:c r="A1967" s="1" t="s">
        <x:v>1976</x:v>
      </x:c>
      <x:c r="B1967" s="1">
        <x:f>IFERROR(__xludf.DUMMYFUNCTION("""COMPUTED_VALUE"""),"El meu pare, el meu heroi")</x:f>
      </x:c>
      <x:c r="C1967" s="1">
        <x:f>IFERROR(__xludf.DUMMYFUNCTION("""COMPUTED_VALUE"""),"1991")</x:f>
      </x:c>
    </x:row>
    <x:row r="1968" spans="1:10">
      <x:c r="A1968" s="1" t="s">
        <x:v>1977</x:v>
      </x:c>
      <x:c r="B1968" s="1">
        <x:f>IFERROR(__xludf.DUMMYFUNCTION("""COMPUTED_VALUE"""),"El meu pare, un turista sexual")</x:f>
      </x:c>
      <x:c r="C1968" s="1">
        <x:f>IFERROR(__xludf.DUMMYFUNCTION("""COMPUTED_VALUE"""),"2024")</x:f>
      </x:c>
    </x:row>
    <x:row r="1969" spans="1:10">
      <x:c r="A1969" s="1" t="s">
        <x:v>1978</x:v>
      </x:c>
      <x:c r="B1969" s="1">
        <x:f>IFERROR(__xludf.DUMMYFUNCTION("""COMPUTED_VALUE"""),"El meu supergermà")</x:f>
      </x:c>
      <x:c r="C1969" s="1">
        <x:f>IFERROR(__xludf.DUMMYFUNCTION("""COMPUTED_VALUE"""),"2009")</x:f>
      </x:c>
    </x:row>
    <x:row r="1970" spans="1:10">
      <x:c r="A1970" s="1" t="s">
        <x:v>1979</x:v>
      </x:c>
      <x:c r="B1970" s="1">
        <x:f>IFERROR(__xludf.DUMMYFUNCTION("""COMPUTED_VALUE"""),"El meu veí Totoro")</x:f>
      </x:c>
      <x:c r="C1970" s="1">
        <x:f>IFERROR(__xludf.DUMMYFUNCTION("""COMPUTED_VALUE"""),"1988")</x:f>
      </x:c>
    </x:row>
    <x:row r="1971" spans="1:10">
      <x:c r="A1971" s="1" t="s">
        <x:v>1980</x:v>
      </x:c>
      <x:c r="B1971" s="1">
        <x:f>IFERROR(__xludf.DUMMYFUNCTION("""COMPUTED_VALUE"""),"El mexicà")</x:f>
      </x:c>
      <x:c r="C1971" s="1">
        <x:f>IFERROR(__xludf.DUMMYFUNCTION("""COMPUTED_VALUE"""),"2003")</x:f>
      </x:c>
    </x:row>
    <x:row r="1972" spans="1:10">
      <x:c r="A1972" s="1" t="s">
        <x:v>1981</x:v>
      </x:c>
      <x:c r="B1972" s="1">
        <x:f>IFERROR(__xludf.DUMMYFUNCTION("""COMPUTED_VALUE"""),"El mico d'acer")</x:f>
      </x:c>
      <x:c r="C1972" s="1">
        <x:f>IFERROR(__xludf.DUMMYFUNCTION("""COMPUTED_VALUE"""),"1993")</x:f>
      </x:c>
    </x:row>
    <x:row r="1973" spans="1:10">
      <x:c r="A1973" s="1" t="s">
        <x:v>1982</x:v>
      </x:c>
      <x:c r="B1973" s="1">
        <x:f>IFERROR(__xludf.DUMMYFUNCTION("""COMPUTED_VALUE"""),"El millor")</x:f>
      </x:c>
      <x:c r="C1973" s="1">
        <x:f>IFERROR(__xludf.DUMMYFUNCTION("""COMPUTED_VALUE"""),"1984")</x:f>
      </x:c>
    </x:row>
    <x:row r="1974" spans="1:10">
      <x:c r="A1974" s="1" t="s">
        <x:v>1983</x:v>
      </x:c>
      <x:c r="B1974" s="1">
        <x:f>IFERROR(__xludf.DUMMYFUNCTION("""COMPUTED_VALUE"""),"El millor de mi")</x:f>
      </x:c>
      <x:c r="C1974" s="1">
        <x:f>IFERROR(__xludf.DUMMYFUNCTION("""COMPUTED_VALUE"""),"2007")</x:f>
      </x:c>
    </x:row>
    <x:row r="1975" spans="1:10">
      <x:c r="A1975" s="1" t="s">
        <x:v>1984</x:v>
      </x:c>
      <x:c r="B1975" s="1">
        <x:f>IFERROR(__xludf.DUMMYFUNCTION("""COMPUTED_VALUE"""),"El millor dia de la meva vida")</x:f>
      </x:c>
      <x:c r="C1975" s="1">
        <x:f>IFERROR(__xludf.DUMMYFUNCTION("""COMPUTED_VALUE"""),"2004")</x:f>
      </x:c>
    </x:row>
    <x:row r="1976" spans="1:10">
      <x:c r="A1976" s="1" t="s">
        <x:v>1985</x:v>
      </x:c>
      <x:c r="B1976" s="1">
        <x:f>IFERROR(__xludf.DUMMYFUNCTION("""COMPUTED_VALUE"""),"El millor encara ha de venir")</x:f>
      </x:c>
      <x:c r="C1976" s="1">
        <x:f>IFERROR(__xludf.DUMMYFUNCTION("""COMPUTED_VALUE"""),"2019")</x:f>
      </x:c>
    </x:row>
    <x:row r="1977" spans="1:10">
      <x:c r="A1977" s="1" t="s">
        <x:v>1986</x:v>
      </x:c>
      <x:c r="B1977" s="1">
        <x:f>IFERROR(__xludf.DUMMYFUNCTION("""COMPUTED_VALUE"""),"El millor per ella")</x:f>
      </x:c>
      <x:c r="C1977" s="1">
        <x:f>IFERROR(__xludf.DUMMYFUNCTION("""COMPUTED_VALUE"""),"2014")</x:f>
      </x:c>
    </x:row>
    <x:row r="1978" spans="1:10">
      <x:c r="A1978" s="1" t="s">
        <x:v>1987</x:v>
      </x:c>
      <x:c r="B1978" s="1">
        <x:f>IFERROR(__xludf.DUMMYFUNCTION("""COMPUTED_VALUE"""),"El miracle de Henry Poole")</x:f>
      </x:c>
      <x:c r="C1978" s="1">
        <x:f>IFERROR(__xludf.DUMMYFUNCTION("""COMPUTED_VALUE"""),"2008")</x:f>
      </x:c>
    </x:row>
    <x:row r="1979" spans="1:10">
      <x:c r="A1979" s="1" t="s">
        <x:v>1988</x:v>
      </x:c>
      <x:c r="B1979" s="1">
        <x:f>IFERROR(__xludf.DUMMYFUNCTION("""COMPUTED_VALUE"""),"El miracle de la Dama Grisa")</x:f>
      </x:c>
      <x:c r="C1979" s="1">
        <x:f>IFERROR(__xludf.DUMMYFUNCTION("""COMPUTED_VALUE"""),"2014")</x:f>
      </x:c>
    </x:row>
    <x:row r="1980" spans="1:10">
      <x:c r="A1980" s="1" t="s">
        <x:v>1989</x:v>
      </x:c>
      <x:c r="B1980" s="1">
        <x:f>IFERROR(__xludf.DUMMYFUNCTION("""COMPUTED_VALUE"""),"El miracle del Hudson")</x:f>
      </x:c>
      <x:c r="C1980" s="1">
        <x:f>IFERROR(__xludf.DUMMYFUNCTION("""COMPUTED_VALUE"""),"2011")</x:f>
      </x:c>
    </x:row>
    <x:row r="1981" spans="1:10">
      <x:c r="A1981" s="1" t="s">
        <x:v>1990</x:v>
      </x:c>
      <x:c r="B1981" s="1">
        <x:f>IFERROR(__xludf.DUMMYFUNCTION("""COMPUTED_VALUE"""),"El mirall trencat")</x:f>
      </x:c>
      <x:c r="C1981" s="1">
        <x:f>IFERROR(__xludf.DUMMYFUNCTION("""COMPUTED_VALUE"""),"1980")</x:f>
      </x:c>
    </x:row>
    <x:row r="1982" spans="1:10">
      <x:c r="A1982" s="1" t="s">
        <x:v>1991</x:v>
      </x:c>
      <x:c r="B1982" s="1">
        <x:f>IFERROR(__xludf.DUMMYFUNCTION("""COMPUTED_VALUE"""),"El missatger")</x:f>
      </x:c>
      <x:c r="C1982" s="1">
        <x:f>IFERROR(__xludf.DUMMYFUNCTION("""COMPUTED_VALUE"""),"1971")</x:f>
      </x:c>
    </x:row>
    <x:row r="1983" spans="1:10">
      <x:c r="A1983" s="1" t="s">
        <x:v>1992</x:v>
      </x:c>
      <x:c r="B1983" s="1">
        <x:f>IFERROR(__xludf.DUMMYFUNCTION("""COMPUTED_VALUE"""),"El missatger")</x:f>
      </x:c>
      <x:c r="C1983" s="1">
        <x:f>IFERROR(__xludf.DUMMYFUNCTION("""COMPUTED_VALUE"""),"2013")</x:f>
      </x:c>
    </x:row>
    <x:row r="1984" spans="1:10">
      <x:c r="A1984" s="1" t="s">
        <x:v>1993</x:v>
      </x:c>
      <x:c r="B1984" s="1">
        <x:f>IFERROR(__xludf.DUMMYFUNCTION("""COMPUTED_VALUE"""),"El missatger de Varsòvia")</x:f>
      </x:c>
      <x:c r="C1984" s="1">
        <x:f>IFERROR(__xludf.DUMMYFUNCTION("""COMPUTED_VALUE"""),"2019")</x:f>
      </x:c>
    </x:row>
    <x:row r="1985" spans="1:10">
      <x:c r="A1985" s="1" t="s">
        <x:v>1994</x:v>
      </x:c>
      <x:c r="B1985" s="1">
        <x:f>IFERROR(__xludf.DUMMYFUNCTION("""COMPUTED_VALUE"""),"El missatger del futur")</x:f>
      </x:c>
      <x:c r="C1985" s="1">
        <x:f>IFERROR(__xludf.DUMMYFUNCTION("""COMPUTED_VALUE"""),"1997")</x:f>
      </x:c>
    </x:row>
    <x:row r="1986" spans="1:10">
      <x:c r="A1986" s="1" t="s">
        <x:v>1995</x:v>
      </x:c>
      <x:c r="B1986" s="1">
        <x:f>IFERROR(__xludf.DUMMYFUNCTION("""COMPUTED_VALUE"""),"El misteri d'El Cavall Cendrós")</x:f>
      </x:c>
      <x:c r="C1986" s="1">
        <x:f>IFERROR(__xludf.DUMMYFUNCTION("""COMPUTED_VALUE"""),"2020")</x:f>
      </x:c>
    </x:row>
    <x:row r="1987" spans="1:10">
      <x:c r="A1987" s="1" t="s">
        <x:v>1996</x:v>
      </x:c>
      <x:c r="B1987" s="1">
        <x:f>IFERROR(__xludf.DUMMYFUNCTION("""COMPUTED_VALUE"""),"El misteri de Ginostra")</x:f>
      </x:c>
      <x:c r="C1987" s="1">
        <x:f>IFERROR(__xludf.DUMMYFUNCTION("""COMPUTED_VALUE"""),"2002")</x:f>
      </x:c>
    </x:row>
    <x:row r="1988" spans="1:10">
      <x:c r="A1988" s="1" t="s">
        <x:v>1997</x:v>
      </x:c>
      <x:c r="B1988" s="1">
        <x:f>IFERROR(__xludf.DUMMYFUNCTION("""COMPUTED_VALUE"""),"El misteri de la pedra de Rosetta")</x:f>
      </x:c>
      <x:c r="C1988" s="1">
        <x:f>IFERROR(__xludf.DUMMYFUNCTION("""COMPUTED_VALUE"""),"2005")</x:f>
      </x:c>
    </x:row>
    <x:row r="1989" spans="1:10">
      <x:c r="A1989" s="1" t="s">
        <x:v>1998</x:v>
      </x:c>
      <x:c r="B1989" s="1">
        <x:f>IFERROR(__xludf.DUMMYFUNCTION("""COMPUTED_VALUE"""),"El misteri del Nil")</x:f>
      </x:c>
      <x:c r="C1989" s="1">
        <x:f>IFERROR(__xludf.DUMMYFUNCTION("""COMPUTED_VALUE"""),"2005")</x:f>
      </x:c>
    </x:row>
    <x:row r="1990" spans="1:10">
      <x:c r="A1990" s="1" t="s">
        <x:v>1999</x:v>
      </x:c>
      <x:c r="B1990" s="1">
        <x:f>IFERROR(__xludf.DUMMYFUNCTION("""COMPUTED_VALUE"""),"El misteri del pink flamingo")</x:f>
      </x:c>
      <x:c r="C1990" s="1">
        <x:f>IFERROR(__xludf.DUMMYFUNCTION("""COMPUTED_VALUE"""),"2020")</x:f>
      </x:c>
    </x:row>
    <x:row r="1991" spans="1:10">
      <x:c r="A1991" s="1" t="s">
        <x:v>2000</x:v>
      </x:c>
      <x:c r="B1991" s="1">
        <x:f>IFERROR(__xludf.DUMMYFUNCTION("""COMPUTED_VALUE"""),"El misteri dels pingüins")</x:f>
      </x:c>
      <x:c r="C1991" s="1">
        <x:f>IFERROR(__xludf.DUMMYFUNCTION("""COMPUTED_VALUE"""),"2018")</x:f>
      </x:c>
    </x:row>
    <x:row r="1992" spans="1:10">
      <x:c r="A1992" s="1" t="s">
        <x:v>2001</x:v>
      </x:c>
      <x:c r="B1992" s="1">
        <x:f>IFERROR(__xludf.DUMMYFUNCTION("""COMPUTED_VALUE"""),"El mite")</x:f>
      </x:c>
      <x:c r="C1992" s="1">
        <x:f>IFERROR(__xludf.DUMMYFUNCTION("""COMPUTED_VALUE"""),"2005")</x:f>
      </x:c>
    </x:row>
    <x:row r="1993" spans="1:10">
      <x:c r="A1993" s="1" t="s">
        <x:v>2002</x:v>
      </x:c>
      <x:c r="B1993" s="1">
        <x:f>IFERROR(__xludf.DUMMYFUNCTION("""COMPUTED_VALUE"""),"El mitjó màgic")</x:f>
      </x:c>
      <x:c r="C1993" s="1">
        <x:f>IFERROR(__xludf.DUMMYFUNCTION("""COMPUTED_VALUE"""),"2015")</x:f>
      </x:c>
    </x:row>
    <x:row r="1994" spans="1:10">
      <x:c r="A1994" s="1" t="s">
        <x:v>2003</x:v>
      </x:c>
      <x:c r="B1994" s="1">
        <x:f>IFERROR(__xludf.DUMMYFUNCTION("""COMPUTED_VALUE"""),"El món d'ahir")</x:f>
      </x:c>
      <x:c r="C1994" s="1">
        <x:f>IFERROR(__xludf.DUMMYFUNCTION("""COMPUTED_VALUE"""),"2022")</x:f>
      </x:c>
    </x:row>
    <x:row r="1995" spans="1:10">
      <x:c r="A1995" s="1" t="s">
        <x:v>2004</x:v>
      </x:c>
      <x:c r="B1995" s="1">
        <x:f>IFERROR(__xludf.DUMMYFUNCTION("""COMPUTED_VALUE"""),"El món de Sofia")</x:f>
      </x:c>
      <x:c r="C1995" s="1">
        <x:f>IFERROR(__xludf.DUMMYFUNCTION("""COMPUTED_VALUE"""),"1999")</x:f>
      </x:c>
    </x:row>
    <x:row r="1996" spans="1:10">
      <x:c r="A1996" s="1" t="s">
        <x:v>2005</x:v>
      </x:c>
      <x:c r="B1996" s="1">
        <x:f>IFERROR(__xludf.DUMMYFUNCTION("""COMPUTED_VALUE"""),"El món dels perduts")</x:f>
      </x:c>
      <x:c r="C1996" s="1">
        <x:f>IFERROR(__xludf.DUMMYFUNCTION("""COMPUTED_VALUE"""),"2009")</x:f>
      </x:c>
    </x:row>
    <x:row r="1997" spans="1:10">
      <x:c r="A1997" s="1" t="s">
        <x:v>2006</x:v>
      </x:c>
      <x:c r="B1997" s="1">
        <x:f>IFERROR(__xludf.DUMMYFUNCTION("""COMPUTED_VALUE"""),"El món on volíem viure. Robert Capa, 15 de gener de 1939")</x:f>
      </x:c>
      <x:c r="C1997" s="1">
        <x:f>IFERROR(__xludf.DUMMYFUNCTION("""COMPUTED_VALUE"""),"2014")</x:f>
      </x:c>
    </x:row>
    <x:row r="1998" spans="1:10">
      <x:c r="A1998" s="1" t="s">
        <x:v>2007</x:v>
      </x:c>
      <x:c r="B1998" s="1">
        <x:f>IFERROR(__xludf.DUMMYFUNCTION("""COMPUTED_VALUE"""),"El món perdut")</x:f>
      </x:c>
      <x:c r="C1998" s="1">
        <x:f>IFERROR(__xludf.DUMMYFUNCTION("""COMPUTED_VALUE"""),"1925")</x:f>
      </x:c>
    </x:row>
    <x:row r="1999" spans="1:10">
      <x:c r="A1999" s="1" t="s">
        <x:v>2008</x:v>
      </x:c>
      <x:c r="B1999" s="1">
        <x:f>IFERROR(__xludf.DUMMYFUNCTION("""COMPUTED_VALUE"""),"El món perdut")</x:f>
      </x:c>
      <x:c r="C1999" s="1">
        <x:f>IFERROR(__xludf.DUMMYFUNCTION("""COMPUTED_VALUE"""),"1998")</x:f>
      </x:c>
    </x:row>
    <x:row r="2000" spans="1:10">
      <x:c r="A2000" s="1" t="s">
        <x:v>2009</x:v>
      </x:c>
      <x:c r="B2000" s="1">
        <x:f>IFERROR(__xludf.DUMMYFUNCTION("""COMPUTED_VALUE"""),"El món prodigiós. Nova York, herois units")</x:f>
      </x:c>
      <x:c r="C2000" s="1">
        <x:f>IFERROR(__xludf.DUMMYFUNCTION("""COMPUTED_VALUE"""),"2020")</x:f>
      </x:c>
    </x:row>
    <x:row r="2001" spans="1:10">
      <x:c r="A2001" s="1" t="s">
        <x:v>2010</x:v>
      </x:c>
      <x:c r="B2001" s="1">
        <x:f>IFERROR(__xludf.DUMMYFUNCTION("""COMPUTED_VALUE"""),"El monjo")</x:f>
      </x:c>
      <x:c r="C2001" s="1">
        <x:f>IFERROR(__xludf.DUMMYFUNCTION("""COMPUTED_VALUE"""),"2011")</x:f>
      </x:c>
    </x:row>
    <x:row r="2002" spans="1:10">
      <x:c r="A2002" s="1" t="s">
        <x:v>2011</x:v>
      </x:c>
      <x:c r="B2002" s="1">
        <x:f>IFERROR(__xludf.DUMMYFUNCTION("""COMPUTED_VALUE"""),"El monjo i el rifle")</x:f>
      </x:c>
      <x:c r="C2002" s="1">
        <x:f>IFERROR(__xludf.DUMMYFUNCTION("""COMPUTED_VALUE"""),"2023")</x:f>
      </x:c>
    </x:row>
    <x:row r="2003" spans="1:10">
      <x:c r="A2003" s="1" t="s">
        <x:v>2012</x:v>
      </x:c>
      <x:c r="B2003" s="1">
        <x:f>IFERROR(__xludf.DUMMYFUNCTION("""COMPUTED_VALUE"""),"El monstre del pou")</x:f>
      </x:c>
      <x:c r="C2003" s="1">
        <x:f>IFERROR(__xludf.DUMMYFUNCTION("""COMPUTED_VALUE"""),"2007")</x:f>
      </x:c>
    </x:row>
    <x:row r="2004" spans="1:10">
      <x:c r="A2004" s="1" t="s">
        <x:v>2013</x:v>
      </x:c>
      <x:c r="B2004" s="1">
        <x:f>IFERROR(__xludf.DUMMYFUNCTION("""COMPUTED_VALUE"""),"El monstre dels temps remots")</x:f>
      </x:c>
      <x:c r="C2004" s="1">
        <x:f>IFERROR(__xludf.DUMMYFUNCTION("""COMPUTED_VALUE"""),"1953")</x:f>
      </x:c>
    </x:row>
    <x:row r="2005" spans="1:10">
      <x:c r="A2005" s="1" t="s">
        <x:v>2014</x:v>
      </x:c>
      <x:c r="B2005" s="1">
        <x:f>IFERROR(__xludf.DUMMYFUNCTION("""COMPUTED_VALUE"""),"El monstre marí")</x:f>
      </x:c>
      <x:c r="C2005" s="1">
        <x:f>IFERROR(__xludf.DUMMYFUNCTION("""COMPUTED_VALUE"""),"2022")</x:f>
      </x:c>
    </x:row>
    <x:row r="2006" spans="1:10">
      <x:c r="A2006" s="1" t="s">
        <x:v>2015</x:v>
      </x:c>
      <x:c r="B2006" s="1">
        <x:f>IFERROR(__xludf.DUMMYFUNCTION("""COMPUTED_VALUE"""),"El mort de la platja")</x:f>
      </x:c>
      <x:c r="C2006" s="1">
        <x:f>IFERROR(__xludf.DUMMYFUNCTION("""COMPUTED_VALUE"""),"2018")</x:f>
      </x:c>
    </x:row>
    <x:row r="2007" spans="1:10">
      <x:c r="A2007" s="1" t="s">
        <x:v>2016</x:v>
      </x:c>
      <x:c r="B2007" s="1">
        <x:f>IFERROR(__xludf.DUMMYFUNCTION("""COMPUTED_VALUE"""),"El mort i ser feliç")</x:f>
      </x:c>
      <x:c r="C2007" s="1">
        <x:f>IFERROR(__xludf.DUMMYFUNCTION("""COMPUTED_VALUE"""),"2012")</x:f>
      </x:c>
    </x:row>
    <x:row r="2008" spans="1:10">
      <x:c r="A2008" s="1" t="s">
        <x:v>2017</x:v>
      </x:c>
      <x:c r="B2008" s="1">
        <x:f>IFERROR(__xludf.DUMMYFUNCTION("""COMPUTED_VALUE"""),"El motí del Defiant")</x:f>
      </x:c>
      <x:c r="C2008" s="1">
        <x:f>IFERROR(__xludf.DUMMYFUNCTION("""COMPUTED_VALUE"""),"1962")</x:f>
      </x:c>
    </x:row>
    <x:row r="2009" spans="1:10">
      <x:c r="A2009" s="1" t="s">
        <x:v>2018</x:v>
      </x:c>
      <x:c r="B2009" s="1">
        <x:f>IFERROR(__xludf.DUMMYFUNCTION("""COMPUTED_VALUE"""),"El motorista fantasma")</x:f>
      </x:c>
      <x:c r="C2009" s="1">
        <x:f>IFERROR(__xludf.DUMMYFUNCTION("""COMPUTED_VALUE"""),"2007")</x:f>
      </x:c>
    </x:row>
    <x:row r="2010" spans="1:10">
      <x:c r="A2010" s="1" t="s">
        <x:v>2019</x:v>
      </x:c>
      <x:c r="B2010" s="1">
        <x:f>IFERROR(__xludf.DUMMYFUNCTION("""COMPUTED_VALUE"""),"El Nadal d'en Casper")</x:f>
      </x:c>
      <x:c r="C2010" s="1">
        <x:f>IFERROR(__xludf.DUMMYFUNCTION("""COMPUTED_VALUE"""),"2000")</x:f>
      </x:c>
    </x:row>
    <x:row r="2011" spans="1:10">
      <x:c r="A2011" s="1" t="s">
        <x:v>2020</x:v>
      </x:c>
      <x:c r="B2011" s="1">
        <x:f>IFERROR(__xludf.DUMMYFUNCTION("""COMPUTED_VALUE"""),"El nadal de Fèlix el Gat")</x:f>
      </x:c>
      <x:c r="C2011" s="1">
        <x:f>IFERROR(__xludf.DUMMYFUNCTION("""COMPUTED_VALUE"""),"2004")</x:f>
      </x:c>
    </x:row>
    <x:row r="2012" spans="1:10">
      <x:c r="A2012" s="1" t="s">
        <x:v>2021</x:v>
      </x:c>
      <x:c r="B2012" s="1">
        <x:f>IFERROR(__xludf.DUMMYFUNCTION("""COMPUTED_VALUE"""),"El Nadal oblidat")</x:f>
      </x:c>
      <x:c r="C2012" s="1">
        <x:f>IFERROR(__xludf.DUMMYFUNCTION("""COMPUTED_VALUE"""),"2019")</x:f>
      </x:c>
    </x:row>
    <x:row r="2013" spans="1:10">
      <x:c r="A2013" s="1" t="s">
        <x:v>2022</x:v>
      </x:c>
      <x:c r="B2013" s="1">
        <x:f>IFERROR(__xludf.DUMMYFUNCTION("""COMPUTED_VALUE"""),"El nadó en cap")</x:f>
      </x:c>
      <x:c r="C2013" s="1">
        <x:f>IFERROR(__xludf.DUMMYFUNCTION("""COMPUTED_VALUE"""),"2017")</x:f>
      </x:c>
    </x:row>
    <x:row r="2014" spans="1:10">
      <x:c r="A2014" s="1" t="s">
        <x:v>2023</x:v>
      </x:c>
      <x:c r="B2014" s="1">
        <x:f>IFERROR(__xludf.DUMMYFUNCTION("""COMPUTED_VALUE"""),"El nadó en cap: Negocis de família")</x:f>
      </x:c>
      <x:c r="C2014" s="1">
        <x:f>IFERROR(__xludf.DUMMYFUNCTION("""COMPUTED_VALUE"""),"2021")</x:f>
      </x:c>
    </x:row>
    <x:row r="2015" spans="1:10">
      <x:c r="A2015" s="1" t="s">
        <x:v>2024</x:v>
      </x:c>
      <x:c r="B2015" s="1">
        <x:f>IFERROR(__xludf.DUMMYFUNCTION("""COMPUTED_VALUE"""),"El naixement d'una nació")</x:f>
      </x:c>
      <x:c r="C2015" s="1">
        <x:f>IFERROR(__xludf.DUMMYFUNCTION("""COMPUTED_VALUE"""),"1915")</x:f>
      </x:c>
    </x:row>
    <x:row r="2016" spans="1:10">
      <x:c r="A2016" s="1" t="s">
        <x:v>2025</x:v>
      </x:c>
      <x:c r="B2016" s="1">
        <x:f>IFERROR(__xludf.DUMMYFUNCTION("""COMPUTED_VALUE"""),"El nedador")</x:f>
      </x:c>
      <x:c r="C2016" s="1">
        <x:f>IFERROR(__xludf.DUMMYFUNCTION("""COMPUTED_VALUE"""),"1968")</x:f>
      </x:c>
    </x:row>
    <x:row r="2017" spans="1:10">
      <x:c r="A2017" s="1" t="s">
        <x:v>2026</x:v>
      </x:c>
      <x:c r="B2017" s="1">
        <x:f>IFERROR(__xludf.DUMMYFUNCTION("""COMPUTED_VALUE"""),"El negre té nom")</x:f>
      </x:c>
      <x:c r="C2017" s="1">
        <x:f>IFERROR(__xludf.DUMMYFUNCTION("""COMPUTED_VALUE"""),"2025")</x:f>
      </x:c>
    </x:row>
    <x:row r="2018" spans="1:10">
      <x:c r="A2018" s="1" t="s">
        <x:v>2027</x:v>
      </x:c>
      <x:c r="B2018" s="1">
        <x:f>IFERROR(__xludf.DUMMYFUNCTION("""COMPUTED_VALUE"""),"El nen 44")</x:f>
      </x:c>
      <x:c r="C2018" s="1">
        <x:f>IFERROR(__xludf.DUMMYFUNCTION("""COMPUTED_VALUE"""),"2015")</x:f>
      </x:c>
    </x:row>
    <x:row r="2019" spans="1:10">
      <x:c r="A2019" s="1" t="s">
        <x:v>2028</x:v>
      </x:c>
      <x:c r="B2019" s="1">
        <x:f>IFERROR(__xludf.DUMMYFUNCTION("""COMPUTED_VALUE"""),"El nen de dalt")</x:f>
      </x:c>
      <x:c r="C2019" s="1">
        <x:f>IFERROR(__xludf.DUMMYFUNCTION("""COMPUTED_VALUE"""),"2012")</x:f>
      </x:c>
    </x:row>
    <x:row r="2020" spans="1:10">
      <x:c r="A2020" s="1" t="s">
        <x:v>2029</x:v>
      </x:c>
      <x:c r="B2020" s="1">
        <x:f>IFERROR(__xludf.DUMMYFUNCTION("""COMPUTED_VALUE"""),"El nen de la bicicleta")</x:f>
      </x:c>
      <x:c r="C2020" s="1">
        <x:f>IFERROR(__xludf.DUMMYFUNCTION("""COMPUTED_VALUE"""),"2011")</x:f>
      </x:c>
    </x:row>
    <x:row r="2021" spans="1:10">
      <x:c r="A2021" s="1" t="s">
        <x:v>2030</x:v>
      </x:c>
      <x:c r="B2021" s="1">
        <x:f>IFERROR(__xludf.DUMMYFUNCTION("""COMPUTED_VALUE"""),"El nen de Mart")</x:f>
      </x:c>
      <x:c r="C2021" s="1">
        <x:f>IFERROR(__xludf.DUMMYFUNCTION("""COMPUTED_VALUE"""),"2007")</x:f>
      </x:c>
    </x:row>
    <x:row r="2022" spans="1:10">
      <x:c r="A2022" s="1" t="s">
        <x:v>2031</x:v>
      </x:c>
      <x:c r="B2022" s="1">
        <x:f>IFERROR(__xludf.DUMMYFUNCTION("""COMPUTED_VALUE"""),"El nen del bosc")</x:f>
      </x:c>
      <x:c r="C2022" s="1">
        <x:f>IFERROR(__xludf.DUMMYFUNCTION("""COMPUTED_VALUE"""),"2023")</x:f>
      </x:c>
    </x:row>
    <x:row r="2023" spans="1:10">
      <x:c r="A2023" s="1" t="s">
        <x:v>2032</x:v>
      </x:c>
      <x:c r="B2023" s="1">
        <x:f>IFERROR(__xludf.DUMMYFUNCTION("""COMPUTED_VALUE"""),"El nen i el món")</x:f>
      </x:c>
      <x:c r="C2023" s="1">
        <x:f>IFERROR(__xludf.DUMMYFUNCTION("""COMPUTED_VALUE"""),"2013")</x:f>
      </x:c>
    </x:row>
    <x:row r="2024" spans="1:10">
      <x:c r="A2024" s="1" t="s">
        <x:v>2033</x:v>
      </x:c>
      <x:c r="B2024" s="1">
        <x:f>IFERROR(__xludf.DUMMYFUNCTION("""COMPUTED_VALUE"""),"El nen i la bèstia")</x:f>
      </x:c>
      <x:c r="C2024" s="1">
        <x:f>IFERROR(__xludf.DUMMYFUNCTION("""COMPUTED_VALUE"""),"2015")</x:f>
      </x:c>
    </x:row>
    <x:row r="2025" spans="1:10">
      <x:c r="A2025" s="1" t="s">
        <x:v>2034</x:v>
      </x:c>
      <x:c r="B2025" s="1">
        <x:f>IFERROR(__xludf.DUMMYFUNCTION("""COMPUTED_VALUE"""),"El nen que volia ser un ós")</x:f>
      </x:c>
      <x:c r="C2025" s="1">
        <x:f>IFERROR(__xludf.DUMMYFUNCTION("""COMPUTED_VALUE"""),"2002")</x:f>
      </x:c>
    </x:row>
    <x:row r="2026" spans="1:10">
      <x:c r="A2026" s="1" t="s">
        <x:v>2035</x:v>
      </x:c>
      <x:c r="B2026" s="1">
        <x:f>IFERROR(__xludf.DUMMYFUNCTION("""COMPUTED_VALUE"""),"El netejador")</x:f>
      </x:c>
      <x:c r="C2026" s="1">
        <x:f>IFERROR(__xludf.DUMMYFUNCTION("""COMPUTED_VALUE"""),"2007")</x:f>
      </x:c>
    </x:row>
    <x:row r="2027" spans="1:10">
      <x:c r="A2027" s="1" t="s">
        <x:v>2036</x:v>
      </x:c>
      <x:c r="B2027" s="1">
        <x:f>IFERROR(__xludf.DUMMYFUNCTION("""COMPUTED_VALUE"""),"El noi i l'ocell")</x:f>
      </x:c>
      <x:c r="C2027" s="1">
        <x:f>IFERROR(__xludf.DUMMYFUNCTION("""COMPUTED_VALUE"""),"2023")</x:f>
      </x:c>
    </x:row>
    <x:row r="2028" spans="1:10">
      <x:c r="A2028" s="1" t="s">
        <x:v>2037</x:v>
      </x:c>
      <x:c r="B2028" s="1">
        <x:f>IFERROR(__xludf.DUMMYFUNCTION("""COMPUTED_VALUE"""),"El noi invisible [VOSC]")</x:f>
      </x:c>
      <x:c r="C2028" s="1">
        <x:f>IFERROR(__xludf.DUMMYFUNCTION("""COMPUTED_VALUE"""),"1957")</x:f>
      </x:c>
    </x:row>
    <x:row r="2029" spans="1:10">
      <x:c r="A2029" s="1" t="s">
        <x:v>2038</x:v>
      </x:c>
      <x:c r="B2029" s="1">
        <x:f>IFERROR(__xludf.DUMMYFUNCTION("""COMPUTED_VALUE"""),"El nom")</x:f>
      </x:c>
      <x:c r="C2029" s="1">
        <x:f>IFERROR(__xludf.DUMMYFUNCTION("""COMPUTED_VALUE"""),"2017")</x:f>
      </x:c>
    </x:row>
    <x:row r="2030" spans="1:10">
      <x:c r="A2030" s="1" t="s">
        <x:v>2039</x:v>
      </x:c>
      <x:c r="B2030" s="1">
        <x:f>IFERROR(__xludf.DUMMYFUNCTION("""COMPUTED_VALUE"""),"El nom de la gent")</x:f>
      </x:c>
      <x:c r="C2030" s="1">
        <x:f>IFERROR(__xludf.DUMMYFUNCTION("""COMPUTED_VALUE"""),"2010")</x:f>
      </x:c>
    </x:row>
    <x:row r="2031" spans="1:10">
      <x:c r="A2031" s="1" t="s">
        <x:v>2040</x:v>
      </x:c>
      <x:c r="B2031" s="1">
        <x:f>IFERROR(__xludf.DUMMYFUNCTION("""COMPUTED_VALUE"""),"El nom de la rosa")</x:f>
      </x:c>
      <x:c r="C2031" s="1">
        <x:f>IFERROR(__xludf.DUMMYFUNCTION("""COMPUTED_VALUE"""),"1986")</x:f>
      </x:c>
    </x:row>
    <x:row r="2032" spans="1:10">
      <x:c r="A2032" s="1" t="s">
        <x:v>2041</x:v>
      </x:c>
      <x:c r="B2032" s="1">
        <x:f>IFERROR(__xludf.DUMMYFUNCTION("""COMPUTED_VALUE"""),"El nostre pare, el venjador dels nazis")</x:f>
      </x:c>
      <x:c r="C2032" s="1">
        <x:f>IFERROR(__xludf.DUMMYFUNCTION("""COMPUTED_VALUE"""),"2023")</x:f>
      </x:c>
    </x:row>
    <x:row r="2033" spans="1:10">
      <x:c r="A2033" s="1" t="s">
        <x:v>2042</x:v>
      </x:c>
      <x:c r="B2033" s="1">
        <x:f>IFERROR(__xludf.DUMMYFUNCTION("""COMPUTED_VALUE"""),"El nostre petit gran casament")</x:f>
      </x:c>
      <x:c r="C2033" s="1">
        <x:f>IFERROR(__xludf.DUMMYFUNCTION("""COMPUTED_VALUE"""),"2023")</x:f>
      </x:c>
    </x:row>
    <x:row r="2034" spans="1:10">
      <x:c r="A2034" s="1" t="s">
        <x:v>2043</x:v>
      </x:c>
      <x:c r="B2034" s="1">
        <x:f>IFERROR(__xludf.DUMMYFUNCTION("""COMPUTED_VALUE"""),"El nostre últim estiu a Escòcia")</x:f>
      </x:c>
      <x:c r="C2034" s="1">
        <x:f>IFERROR(__xludf.DUMMYFUNCTION("""COMPUTED_VALUE"""),"2014")</x:f>
      </x:c>
    </x:row>
    <x:row r="2035" spans="1:10">
      <x:c r="A2035" s="1" t="s">
        <x:v>2044</x:v>
      </x:c>
      <x:c r="B2035" s="1">
        <x:f>IFERROR(__xludf.DUMMYFUNCTION("""COMPUTED_VALUE"""),"El nou")</x:f>
      </x:c>
      <x:c r="C2035" s="1">
        <x:f>IFERROR(__xludf.DUMMYFUNCTION("""COMPUTED_VALUE"""),"2023")</x:f>
      </x:c>
    </x:row>
    <x:row r="2036" spans="1:10">
      <x:c r="A2036" s="1" t="s">
        <x:v>2045</x:v>
      </x:c>
      <x:c r="B2036" s="1">
        <x:f>IFERROR(__xludf.DUMMYFUNCTION("""COMPUTED_VALUE"""),"El nou nou testament")</x:f>
      </x:c>
      <x:c r="C2036" s="1">
        <x:f>IFERROR(__xludf.DUMMYFUNCTION("""COMPUTED_VALUE"""),"2015")</x:f>
      </x:c>
    </x:row>
    <x:row r="2037" spans="1:10">
      <x:c r="A2037" s="1" t="s">
        <x:v>2046</x:v>
      </x:c>
      <x:c r="B2037" s="1">
        <x:f>IFERROR(__xludf.DUMMYFUNCTION("""COMPUTED_VALUE"""),"El nòvio de la meva mare")</x:f>
      </x:c>
      <x:c r="C2037" s="1">
        <x:f>IFERROR(__xludf.DUMMYFUNCTION("""COMPUTED_VALUE"""),"2007")</x:f>
      </x:c>
    </x:row>
    <x:row r="2038" spans="1:10">
      <x:c r="A2038" s="1" t="s">
        <x:v>2047</x:v>
      </x:c>
      <x:c r="B2038" s="1">
        <x:f>IFERROR(__xludf.DUMMYFUNCTION("""COMPUTED_VALUE"""),"El número 23")</x:f>
      </x:c>
      <x:c r="C2038" s="1">
        <x:f>IFERROR(__xludf.DUMMYFUNCTION("""COMPUTED_VALUE"""),"2007")</x:f>
      </x:c>
    </x:row>
    <x:row r="2039" spans="1:10">
      <x:c r="A2039" s="1" t="s">
        <x:v>2048</x:v>
      </x:c>
      <x:c r="B2039" s="1">
        <x:f>IFERROR(__xludf.DUMMYFUNCTION("""COMPUTED_VALUE"""),"El nus del penjat")</x:f>
      </x:c>
      <x:c r="C2039" s="1">
        <x:f>IFERROR(__xludf.DUMMYFUNCTION("""COMPUTED_VALUE"""),"1952")</x:f>
      </x:c>
    </x:row>
    <x:row r="2040" spans="1:10">
      <x:c r="A2040" s="1" t="s">
        <x:v>2049</x:v>
      </x:c>
      <x:c r="B2040" s="1">
        <x:f>IFERROR(__xludf.DUMMYFUNCTION("""COMPUTED_VALUE"""),"El pacient anglès")</x:f>
      </x:c>
      <x:c r="C2040" s="1">
        <x:f>IFERROR(__xludf.DUMMYFUNCTION("""COMPUTED_VALUE"""),"1996")</x:f>
      </x:c>
    </x:row>
    <x:row r="2041" spans="1:10">
      <x:c r="A2041" s="1" t="s">
        <x:v>2050</x:v>
      </x:c>
      <x:c r="B2041" s="1">
        <x:f>IFERROR(__xludf.DUMMYFUNCTION("""COMPUTED_VALUE"""),"El pacte")</x:f>
      </x:c>
      <x:c r="C2041" s="1">
        <x:f>IFERROR(__xludf.DUMMYFUNCTION("""COMPUTED_VALUE"""),"2007")</x:f>
      </x:c>
    </x:row>
    <x:row r="2042" spans="1:10">
      <x:c r="A2042" s="1" t="s">
        <x:v>2051</x:v>
      </x:c>
      <x:c r="B2042" s="1">
        <x:f>IFERROR(__xludf.DUMMYFUNCTION("""COMPUTED_VALUE"""),"El pacte")</x:f>
      </x:c>
      <x:c r="C2042" s="1">
        <x:f>IFERROR(__xludf.DUMMYFUNCTION("""COMPUTED_VALUE"""),"2011")</x:f>
      </x:c>
    </x:row>
    <x:row r="2043" spans="1:10">
      <x:c r="A2043" s="1" t="s">
        <x:v>2052</x:v>
      </x:c>
      <x:c r="B2043" s="1">
        <x:f>IFERROR(__xludf.DUMMYFUNCTION("""COMPUTED_VALUE"""),"El pacte")</x:f>
      </x:c>
      <x:c r="C2043" s="1">
        <x:f>IFERROR(__xludf.DUMMYFUNCTION("""COMPUTED_VALUE"""),"2018")</x:f>
      </x:c>
    </x:row>
    <x:row r="2044" spans="1:10">
      <x:c r="A2044" s="1" t="s">
        <x:v>2053</x:v>
      </x:c>
      <x:c r="B2044" s="1">
        <x:f>IFERROR(__xludf.DUMMYFUNCTION("""COMPUTED_VALUE"""),"El pacte")</x:f>
      </x:c>
      <x:c r="C2044" s="1">
        <x:f>IFERROR(__xludf.DUMMYFUNCTION("""COMPUTED_VALUE"""),"2021")</x:f>
      </x:c>
    </x:row>
    <x:row r="2045" spans="1:10">
      <x:c r="A2045" s="1" t="s">
        <x:v>2054</x:v>
      </x:c>
      <x:c r="B2045" s="1">
        <x:f>IFERROR(__xludf.DUMMYFUNCTION("""COMPUTED_VALUE"""),"El pacte dels estudiants")</x:f>
      </x:c>
      <x:c r="C2045" s="1">
        <x:f>IFERROR(__xludf.DUMMYFUNCTION("""COMPUTED_VALUE"""),"2018")</x:f>
      </x:c>
    </x:row>
    <x:row r="2046" spans="1:10">
      <x:c r="A2046" s="1" t="s">
        <x:v>2055</x:v>
      </x:c>
      <x:c r="B2046" s="1">
        <x:f>IFERROR(__xludf.DUMMYFUNCTION("""COMPUTED_VALUE"""),"El pacte dels llops")</x:f>
      </x:c>
      <x:c r="C2046" s="1">
        <x:f>IFERROR(__xludf.DUMMYFUNCTION("""COMPUTED_VALUE"""),"2001")</x:f>
      </x:c>
    </x:row>
    <x:row r="2047" spans="1:10">
      <x:c r="A2047" s="1" t="s">
        <x:v>2056</x:v>
      </x:c>
      <x:c r="B2047" s="1">
        <x:f>IFERROR(__xludf.DUMMYFUNCTION("""COMPUTED_VALUE"""),"El padrastre")</x:f>
      </x:c>
      <x:c r="C2047" s="1">
        <x:f>IFERROR(__xludf.DUMMYFUNCTION("""COMPUTED_VALUE"""),"2009")</x:f>
      </x:c>
    </x:row>
    <x:row r="2048" spans="1:10">
      <x:c r="A2048" s="1" t="s">
        <x:v>2057</x:v>
      </x:c>
      <x:c r="B2048" s="1">
        <x:f>IFERROR(__xludf.DUMMYFUNCTION("""COMPUTED_VALUE"""),"El padrí I")</x:f>
      </x:c>
      <x:c r="C2048" s="1">
        <x:f>IFERROR(__xludf.DUMMYFUNCTION("""COMPUTED_VALUE"""),"1972")</x:f>
      </x:c>
    </x:row>
    <x:row r="2049" spans="1:10">
      <x:c r="A2049" s="1" t="s">
        <x:v>2058</x:v>
      </x:c>
      <x:c r="B2049" s="1">
        <x:f>IFERROR(__xludf.DUMMYFUNCTION("""COMPUTED_VALUE"""),"El padrí II")</x:f>
      </x:c>
      <x:c r="C2049" s="1">
        <x:f>IFERROR(__xludf.DUMMYFUNCTION("""COMPUTED_VALUE"""),"1974")</x:f>
      </x:c>
    </x:row>
    <x:row r="2050" spans="1:10">
      <x:c r="A2050" s="1" t="s">
        <x:v>2059</x:v>
      </x:c>
      <x:c r="B2050" s="1">
        <x:f>IFERROR(__xludf.DUMMYFUNCTION("""COMPUTED_VALUE"""),"El padrí III")</x:f>
      </x:c>
      <x:c r="C2050" s="1">
        <x:f>IFERROR(__xludf.DUMMYFUNCTION("""COMPUTED_VALUE"""),"1990")</x:f>
      </x:c>
    </x:row>
    <x:row r="2051" spans="1:10">
      <x:c r="A2051" s="1" t="s">
        <x:v>2060</x:v>
      </x:c>
      <x:c r="B2051" s="1">
        <x:f>IFERROR(__xludf.DUMMYFUNCTION("""COMPUTED_VALUE"""),"El país de l'aigua")</x:f>
      </x:c>
      <x:c r="C2051" s="1">
        <x:f>IFERROR(__xludf.DUMMYFUNCTION("""COMPUTED_VALUE"""),"1992")</x:f>
      </x:c>
    </x:row>
    <x:row r="2052" spans="1:10">
      <x:c r="A2052" s="1" t="s">
        <x:v>2061</x:v>
      </x:c>
      <x:c r="B2052" s="1">
        <x:f>IFERROR(__xludf.DUMMYFUNCTION("""COMPUTED_VALUE"""),"El palau de Putin")</x:f>
      </x:c>
      <x:c r="C2052" s="1">
        <x:f>IFERROR(__xludf.DUMMYFUNCTION("""COMPUTED_VALUE"""),"2008")</x:f>
      </x:c>
    </x:row>
    <x:row r="2053" spans="1:10">
      <x:c r="A2053" s="1" t="s">
        <x:v>2062</x:v>
      </x:c>
      <x:c r="B2053" s="1">
        <x:f>IFERROR(__xludf.DUMMYFUNCTION("""COMPUTED_VALUE"""),"El palau ideal")</x:f>
      </x:c>
      <x:c r="C2053" s="1">
        <x:f>IFERROR(__xludf.DUMMYFUNCTION("""COMPUTED_VALUE"""),"2018")</x:f>
      </x:c>
    </x:row>
    <x:row r="2054" spans="1:10">
      <x:c r="A2054" s="1" t="s">
        <x:v>2063</x:v>
      </x:c>
      <x:c r="B2054" s="1">
        <x:f>IFERROR(__xludf.DUMMYFUNCTION("""COMPUTED_VALUE"""),"El pantà")</x:f>
      </x:c>
      <x:c r="C2054" s="1">
        <x:f>IFERROR(__xludf.DUMMYFUNCTION("""COMPUTED_VALUE"""),"2006")</x:f>
      </x:c>
    </x:row>
    <x:row r="2055" spans="1:10">
      <x:c r="A2055" s="1" t="s">
        <x:v>2064</x:v>
      </x:c>
      <x:c r="B2055" s="1">
        <x:f>IFERROR(__xludf.DUMMYFUNCTION("""COMPUTED_VALUE"""),"El papa o la mama")</x:f>
      </x:c>
      <x:c r="C2055" s="1">
        <x:f>IFERROR(__xludf.DUMMYFUNCTION("""COMPUTED_VALUE"""),"2015")</x:f>
      </x:c>
    </x:row>
    <x:row r="2056" spans="1:10">
      <x:c r="A2056" s="1" t="s">
        <x:v>2065</x:v>
      </x:c>
      <x:c r="B2056" s="1">
        <x:f>IFERROR(__xludf.DUMMYFUNCTION("""COMPUTED_VALUE"""),"El papa o la mama 2")</x:f>
      </x:c>
      <x:c r="C2056" s="1">
        <x:f>IFERROR(__xludf.DUMMYFUNCTION("""COMPUTED_VALUE"""),"2016")</x:f>
      </x:c>
    </x:row>
    <x:row r="2057" spans="1:10">
      <x:c r="A2057" s="1" t="s">
        <x:v>2066</x:v>
      </x:c>
      <x:c r="B2057" s="1">
        <x:f>IFERROR(__xludf.DUMMYFUNCTION("""COMPUTED_VALUE"""),"El Papus, anatomia d'un atemptat")</x:f>
      </x:c>
      <x:c r="C2057" s="1">
        <x:f>IFERROR(__xludf.DUMMYFUNCTION("""COMPUTED_VALUE"""),"2010")</x:f>
      </x:c>
    </x:row>
    <x:row r="2058" spans="1:10">
      <x:c r="A2058" s="1" t="s">
        <x:v>2067</x:v>
      </x:c>
      <x:c r="B2058" s="1">
        <x:f>IFERROR(__xludf.DUMMYFUNCTION("""COMPUTED_VALUE"""),"El paradís dels assassins")</x:f>
      </x:c>
      <x:c r="C2058" s="1">
        <x:f>IFERROR(__xludf.DUMMYFUNCTION("""COMPUTED_VALUE"""),"2008")</x:f>
      </x:c>
    </x:row>
    <x:row r="2059" spans="1:10">
      <x:c r="A2059" s="1" t="s">
        <x:v>2068</x:v>
      </x:c>
      <x:c r="B2059" s="1">
        <x:f>IFERROR(__xludf.DUMMYFUNCTION("""COMPUTED_VALUE"""),"El parc màgic")</x:f>
      </x:c>
      <x:c r="C2059" s="1">
        <x:f>IFERROR(__xludf.DUMMYFUNCTION("""COMPUTED_VALUE"""),"2019")</x:f>
      </x:c>
    </x:row>
    <x:row r="2060" spans="1:10">
      <x:c r="A2060" s="1" t="s">
        <x:v>2069</x:v>
      </x:c>
      <x:c r="B2060" s="1">
        <x:f>IFERROR(__xludf.DUMMYFUNCTION("""COMPUTED_VALUE"""),"El pare")</x:f>
      </x:c>
      <x:c r="C2060" s="1">
        <x:f>IFERROR(__xludf.DUMMYFUNCTION("""COMPUTED_VALUE"""),"2020")</x:f>
      </x:c>
    </x:row>
    <x:row r="2061" spans="1:10">
      <x:c r="A2061" s="1" t="s">
        <x:v>2070</x:v>
      </x:c>
      <x:c r="B2061" s="1">
        <x:f>IFERROR(__xludf.DUMMYFUNCTION("""COMPUTED_VALUE"""),"El pare de la núvia")</x:f>
      </x:c>
      <x:c r="C2061" s="1">
        <x:f>IFERROR(__xludf.DUMMYFUNCTION("""COMPUTED_VALUE"""),"2021")</x:f>
      </x:c>
    </x:row>
    <x:row r="2062" spans="1:10">
      <x:c r="A2062" s="1" t="s">
        <x:v>2071</x:v>
      </x:c>
      <x:c r="B2062" s="1">
        <x:f>IFERROR(__xludf.DUMMYFUNCTION("""COMPUTED_VALUE"""),"El partit perfecte")</x:f>
      </x:c>
      <x:c r="C2062" s="1">
        <x:f>IFERROR(__xludf.DUMMYFUNCTION("""COMPUTED_VALUE"""),"2009")</x:f>
      </x:c>
    </x:row>
    <x:row r="2063" spans="1:10">
      <x:c r="A2063" s="1" t="s">
        <x:v>2072</x:v>
      </x:c>
      <x:c r="B2063" s="1">
        <x:f>IFERROR(__xludf.DUMMYFUNCTION("""COMPUTED_VALUE"""),"El pas del nord-oest")</x:f>
      </x:c>
      <x:c r="C2063" s="1">
        <x:f>IFERROR(__xludf.DUMMYFUNCTION("""COMPUTED_VALUE"""),"1940")</x:f>
      </x:c>
    </x:row>
    <x:row r="2064" spans="1:10">
      <x:c r="A2064" s="1" t="s">
        <x:v>2073</x:v>
      </x:c>
      <x:c r="B2064" s="1">
        <x:f>IFERROR(__xludf.DUMMYFUNCTION("""COMPUTED_VALUE"""),"El passat")</x:f>
      </x:c>
      <x:c r="C2064" s="1">
        <x:f>IFERROR(__xludf.DUMMYFUNCTION("""COMPUTED_VALUE"""),"2013")</x:f>
      </x:c>
    </x:row>
    <x:row r="2065" spans="1:10">
      <x:c r="A2065" s="1" t="s">
        <x:v>2074</x:v>
      </x:c>
      <x:c r="B2065" s="1">
        <x:f>IFERROR(__xludf.DUMMYFUNCTION("""COMPUTED_VALUE"""),"El passatger clandestí")</x:f>
      </x:c>
      <x:c r="C2065" s="1">
        <x:f>IFERROR(__xludf.DUMMYFUNCTION("""COMPUTED_VALUE"""),"1995")</x:f>
      </x:c>
    </x:row>
    <x:row r="2066" spans="1:10">
      <x:c r="A2066" s="1" t="s">
        <x:v>2075</x:v>
      </x:c>
      <x:c r="B2066" s="1">
        <x:f>IFERROR(__xludf.DUMMYFUNCTION("""COMPUTED_VALUE"""),"El passatger de la pluja")</x:f>
      </x:c>
      <x:c r="C2066" s="1">
        <x:f>IFERROR(__xludf.DUMMYFUNCTION("""COMPUTED_VALUE"""),"1970")</x:f>
      </x:c>
    </x:row>
    <x:row r="2067" spans="1:10">
      <x:c r="A2067" s="1" t="s">
        <x:v>2076</x:v>
      </x:c>
      <x:c r="B2067" s="1">
        <x:f>IFERROR(__xludf.DUMMYFUNCTION("""COMPUTED_VALUE"""),"El passerell")</x:f>
      </x:c>
      <x:c r="C2067" s="1">
        <x:f>IFERROR(__xludf.DUMMYFUNCTION("""COMPUTED_VALUE"""),"1990")</x:f>
      </x:c>
    </x:row>
    <x:row r="2068" spans="1:10">
      <x:c r="A2068" s="1" t="s">
        <x:v>2077</x:v>
      </x:c>
      <x:c r="B2068" s="1">
        <x:f>IFERROR(__xludf.DUMMYFUNCTION("""COMPUTED_VALUE"""),"El pastís de noces")</x:f>
      </x:c>
      <x:c r="C2068" s="1">
        <x:f>IFERROR(__xludf.DUMMYFUNCTION("""COMPUTED_VALUE"""),"2010")</x:f>
      </x:c>
    </x:row>
    <x:row r="2069" spans="1:10">
      <x:c r="A2069" s="1" t="s">
        <x:v>2078</x:v>
      </x:c>
      <x:c r="B2069" s="1">
        <x:f>IFERROR(__xludf.DUMMYFUNCTION("""COMPUTED_VALUE"""),"El pati de l'escola")</x:f>
      </x:c>
      <x:c r="C2069" s="1">
        <x:f>IFERROR(__xludf.DUMMYFUNCTION("""COMPUTED_VALUE"""),"2022")</x:f>
      </x:c>
    </x:row>
    <x:row r="2070" spans="1:10">
      <x:c r="A2070" s="1" t="s">
        <x:v>2079</x:v>
      </x:c>
      <x:c r="B2070" s="1">
        <x:f>IFERROR(__xludf.DUMMYFUNCTION("""COMPUTED_VALUE"""),"El patriota")</x:f>
      </x:c>
      <x:c r="C2070" s="1">
        <x:f>IFERROR(__xludf.DUMMYFUNCTION("""COMPUTED_VALUE"""),"2000")</x:f>
      </x:c>
    </x:row>
    <x:row r="2071" spans="1:10">
      <x:c r="A2071" s="1" t="s">
        <x:v>2080</x:v>
      </x:c>
      <x:c r="B2071" s="1">
        <x:f>IFERROR(__xludf.DUMMYFUNCTION("""COMPUTED_VALUE"""),"El peix dels desitjos")</x:f>
      </x:c>
      <x:c r="C2071" s="1">
        <x:f>IFERROR(__xludf.DUMMYFUNCTION("""COMPUTED_VALUE"""),"2012")</x:f>
      </x:c>
    </x:row>
    <x:row r="2072" spans="1:10">
      <x:c r="A2072" s="1" t="s">
        <x:v>2081</x:v>
      </x:c>
      <x:c r="B2072" s="1">
        <x:f>IFERROR(__xludf.DUMMYFUNCTION("""COMPUTED_VALUE"""),"El penya-segat vermell (Versió internacional)")</x:f>
      </x:c>
      <x:c r="C2072" s="1">
        <x:f>IFERROR(__xludf.DUMMYFUNCTION("""COMPUTED_VALUE"""),"2009")</x:f>
      </x:c>
    </x:row>
    <x:row r="2073" spans="1:10">
      <x:c r="A2073" s="1" t="s">
        <x:v>2082</x:v>
      </x:c>
      <x:c r="B2073" s="1">
        <x:f>IFERROR(__xludf.DUMMYFUNCTION("""COMPUTED_VALUE"""),"El perdó")</x:f>
      </x:c>
      <x:c r="C2073" s="1">
        <x:f>IFERROR(__xludf.DUMMYFUNCTION("""COMPUTED_VALUE"""),"2000")</x:f>
      </x:c>
    </x:row>
    <x:row r="2074" spans="1:10">
      <x:c r="A2074" s="1" t="s">
        <x:v>2083</x:v>
      </x:c>
      <x:c r="B2074" s="1">
        <x:f>IFERROR(__xludf.DUMMYFUNCTION("""COMPUTED_VALUE"""),"El perdó")</x:f>
      </x:c>
      <x:c r="C2074" s="1">
        <x:f>IFERROR(__xludf.DUMMYFUNCTION("""COMPUTED_VALUE"""),"2020")</x:f>
      </x:c>
    </x:row>
    <x:row r="2075" spans="1:10">
      <x:c r="A2075" s="1" t="s">
        <x:v>2084</x:v>
      </x:c>
      <x:c r="B2075" s="1">
        <x:f>IFERROR(__xludf.DUMMYFUNCTION("""COMPUTED_VALUE"""),"El perdut")</x:f>
      </x:c>
      <x:c r="C2075" s="1">
        <x:f>IFERROR(__xludf.DUMMYFUNCTION("""COMPUTED_VALUE"""),"2016")</x:f>
      </x:c>
    </x:row>
    <x:row r="2076" spans="1:10">
      <x:c r="A2076" s="1" t="s">
        <x:v>2085</x:v>
      </x:c>
      <x:c r="B2076" s="1">
        <x:f>IFERROR(__xludf.DUMMYFUNCTION("""COMPUTED_VALUE"""),"El perfum, història d'un assassí")</x:f>
      </x:c>
      <x:c r="C2076" s="1">
        <x:f>IFERROR(__xludf.DUMMYFUNCTION("""COMPUTED_VALUE"""),"2006")</x:f>
      </x:c>
    </x:row>
    <x:row r="2077" spans="1:10">
      <x:c r="A2077" s="1" t="s">
        <x:v>2086</x:v>
      </x:c>
      <x:c r="B2077" s="1">
        <x:f>IFERROR(__xludf.DUMMYFUNCTION("""COMPUTED_VALUE"""),"El perquè de tot plegat")</x:f>
      </x:c>
      <x:c r="C2077" s="1">
        <x:f>IFERROR(__xludf.DUMMYFUNCTION("""COMPUTED_VALUE"""),"1995")</x:f>
      </x:c>
    </x:row>
    <x:row r="2078" spans="1:10">
      <x:c r="A2078" s="1" t="s">
        <x:v>2087</x:v>
      </x:c>
      <x:c r="B2078" s="1">
        <x:f>IFERROR(__xludf.DUMMYFUNCTION("""COMPUTED_VALUE"""),"El pes de l'aigua")</x:f>
      </x:c>
      <x:c r="C2078" s="1">
        <x:f>IFERROR(__xludf.DUMMYFUNCTION("""COMPUTED_VALUE"""),"2001")</x:f>
      </x:c>
    </x:row>
    <x:row r="2079" spans="1:10">
      <x:c r="A2079" s="1" t="s">
        <x:v>2088</x:v>
      </x:c>
      <x:c r="B2079" s="1">
        <x:f>IFERROR(__xludf.DUMMYFUNCTION("""COMPUTED_VALUE"""),"El pes de la sospita")</x:f>
      </x:c>
      <x:c r="C2079" s="1">
        <x:f>IFERROR(__xludf.DUMMYFUNCTION("""COMPUTED_VALUE"""),"2016")</x:f>
      </x:c>
    </x:row>
    <x:row r="2080" spans="1:10">
      <x:c r="A2080" s="1" t="s">
        <x:v>2089</x:v>
      </x:c>
      <x:c r="B2080" s="1">
        <x:f>IFERROR(__xludf.DUMMYFUNCTION("""COMPUTED_VALUE"""),"El petit brot")</x:f>
      </x:c>
      <x:c r="C2080" s="1">
        <x:f>IFERROR(__xludf.DUMMYFUNCTION("""COMPUTED_VALUE"""),"2015")</x:f>
      </x:c>
    </x:row>
    <x:row r="2081" spans="1:10">
      <x:c r="A2081" s="1" t="s">
        <x:v>2090</x:v>
      </x:c>
      <x:c r="B2081" s="1">
        <x:f>IFERROR(__xludf.DUMMYFUNCTION("""COMPUTED_VALUE"""),"El petit Buda")</x:f>
      </x:c>
      <x:c r="C2081" s="1">
        <x:f>IFERROR(__xludf.DUMMYFUNCTION("""COMPUTED_VALUE"""),"1993")</x:f>
      </x:c>
    </x:row>
    <x:row r="2082" spans="1:10">
      <x:c r="A2082" s="1" t="s">
        <x:v>2091</x:v>
      </x:c>
      <x:c r="B2082" s="1">
        <x:f>IFERROR(__xludf.DUMMYFUNCTION("""COMPUTED_VALUE"""),"El petit mag")</x:f>
      </x:c>
      <x:c r="C2082" s="1">
        <x:f>IFERROR(__xludf.DUMMYFUNCTION("""COMPUTED_VALUE"""),"2013")</x:f>
      </x:c>
    </x:row>
    <x:row r="2083" spans="1:10">
      <x:c r="A2083" s="1" t="s">
        <x:v>2092</x:v>
      </x:c>
      <x:c r="B2083" s="1">
        <x:f>IFERROR(__xludf.DUMMYFUNCTION("""COMPUTED_VALUE"""),"El petit Nicolau")</x:f>
      </x:c>
      <x:c r="C2083" s="1">
        <x:f>IFERROR(__xludf.DUMMYFUNCTION("""COMPUTED_VALUE"""),"2009")</x:f>
      </x:c>
    </x:row>
    <x:row r="2084" spans="1:10">
      <x:c r="A2084" s="1" t="s">
        <x:v>2093</x:v>
      </x:c>
      <x:c r="B2084" s="1">
        <x:f>IFERROR(__xludf.DUMMYFUNCTION("""COMPUTED_VALUE"""),"El petit peó")</x:f>
      </x:c>
      <x:c r="C2084" s="1">
        <x:f>IFERROR(__xludf.DUMMYFUNCTION("""COMPUTED_VALUE"""),"2025")</x:f>
      </x:c>
    </x:row>
    <x:row r="2085" spans="1:10">
      <x:c r="A2085" s="1" t="s">
        <x:v>2094</x:v>
      </x:c>
      <x:c r="B2085" s="1">
        <x:f>IFERROR(__xludf.DUMMYFUNCTION("""COMPUTED_VALUE"""),"El Petit Príncep")</x:f>
      </x:c>
      <x:c r="C2085" s="1">
        <x:f>IFERROR(__xludf.DUMMYFUNCTION("""COMPUTED_VALUE"""),"2015")</x:f>
      </x:c>
    </x:row>
    <x:row r="2086" spans="1:10">
      <x:c r="A2086" s="1" t="s">
        <x:v>2095</x:v>
      </x:c>
      <x:c r="B2086" s="1">
        <x:f>IFERROR(__xludf.DUMMYFUNCTION("""COMPUTED_VALUE"""),"El Petit Príncep, el naixement d'una estrella")</x:f>
      </x:c>
      <x:c r="C2086" s="1">
        <x:f>IFERROR(__xludf.DUMMYFUNCTION("""COMPUTED_VALUE"""),"2023")</x:f>
      </x:c>
    </x:row>
    <x:row r="2087" spans="1:10">
      <x:c r="A2087" s="1" t="s">
        <x:v>2096</x:v>
      </x:c>
      <x:c r="B2087" s="1">
        <x:f>IFERROR(__xludf.DUMMYFUNCTION("""COMPUTED_VALUE"""),"El petit rei Màtsius")</x:f>
      </x:c>
      <x:c r="C2087" s="1">
        <x:f>IFERROR(__xludf.DUMMYFUNCTION("""COMPUTED_VALUE"""),"2007")</x:f>
      </x:c>
    </x:row>
    <x:row r="2088" spans="1:10">
      <x:c r="A2088" s="1" t="s">
        <x:v>2097</x:v>
      </x:c>
      <x:c r="B2088" s="1">
        <x:f>IFERROR(__xludf.DUMMYFUNCTION("""COMPUTED_VALUE"""),"El pianista")</x:f>
      </x:c>
      <x:c r="C2088" s="1">
        <x:f>IFERROR(__xludf.DUMMYFUNCTION("""COMPUTED_VALUE"""),"2002")</x:f>
      </x:c>
    </x:row>
    <x:row r="2089" spans="1:10">
      <x:c r="A2089" s="1" t="s">
        <x:v>2098</x:v>
      </x:c>
      <x:c r="B2089" s="1">
        <x:f>IFERROR(__xludf.DUMMYFUNCTION("""COMPUTED_VALUE"""),"El piano")</x:f>
      </x:c>
      <x:c r="C2089" s="1">
        <x:f>IFERROR(__xludf.DUMMYFUNCTION("""COMPUTED_VALUE"""),"1993")</x:f>
      </x:c>
    </x:row>
    <x:row r="2090" spans="1:10">
      <x:c r="A2090" s="1" t="s">
        <x:v>2099</x:v>
      </x:c>
      <x:c r="B2090" s="1">
        <x:f>IFERROR(__xludf.DUMMYFUNCTION("""COMPUTED_VALUE"""),"El pinzell màgic")</x:f>
      </x:c>
      <x:c r="C2090" s="1">
        <x:f>IFERROR(__xludf.DUMMYFUNCTION("""COMPUTED_VALUE"""),"2014")</x:f>
      </x:c>
    </x:row>
    <x:row r="2091" spans="1:10">
      <x:c r="A2091" s="1" t="s">
        <x:v>2100</x:v>
      </x:c>
      <x:c r="B2091" s="1">
        <x:f>IFERROR(__xludf.DUMMYFUNCTION("""COMPUTED_VALUE"""),"El pirata Barbanegra")</x:f>
      </x:c>
      <x:c r="C2091" s="1">
        <x:f>IFERROR(__xludf.DUMMYFUNCTION("""COMPUTED_VALUE"""),"1952")</x:f>
      </x:c>
    </x:row>
    <x:row r="2092" spans="1:10">
      <x:c r="A2092" s="1" t="s">
        <x:v>2101</x:v>
      </x:c>
      <x:c r="B2092" s="1">
        <x:f>IFERROR(__xludf.DUMMYFUNCTION("""COMPUTED_VALUE"""),"El pirata negre")</x:f>
      </x:c>
      <x:c r="C2092" s="1">
        <x:f>IFERROR(__xludf.DUMMYFUNCTION("""COMPUTED_VALUE"""),"1926")</x:f>
      </x:c>
    </x:row>
    <x:row r="2093" spans="1:10">
      <x:c r="A2093" s="1" t="s">
        <x:v>2102</x:v>
      </x:c>
      <x:c r="B2093" s="1">
        <x:f>IFERROR(__xludf.DUMMYFUNCTION("""COMPUTED_VALUE"""),"El pla B")</x:f>
      </x:c>
      <x:c r="C2093" s="1">
        <x:f>IFERROR(__xludf.DUMMYFUNCTION("""COMPUTED_VALUE"""),"2010")</x:f>
      </x:c>
    </x:row>
    <x:row r="2094" spans="1:10">
      <x:c r="A2094" s="1" t="s">
        <x:v>2103</x:v>
      </x:c>
      <x:c r="B2094" s="1">
        <x:f>IFERROR(__xludf.DUMMYFUNCTION("""COMPUTED_VALUE"""),"El planeta del tresor")</x:f>
      </x:c>
      <x:c r="C2094" s="1">
        <x:f>IFERROR(__xludf.DUMMYFUNCTION("""COMPUTED_VALUE"""),"2002")</x:f>
      </x:c>
    </x:row>
    <x:row r="2095" spans="1:10">
      <x:c r="A2095" s="1" t="s">
        <x:v>2104</x:v>
      </x:c>
      <x:c r="B2095" s="1">
        <x:f>IFERROR(__xludf.DUMMYFUNCTION("""COMPUTED_VALUE"""),"El planeta dels simis")</x:f>
      </x:c>
      <x:c r="C2095" s="1">
        <x:f>IFERROR(__xludf.DUMMYFUNCTION("""COMPUTED_VALUE"""),"1968")</x:f>
      </x:c>
    </x:row>
    <x:row r="2096" spans="1:10">
      <x:c r="A2096" s="1" t="s">
        <x:v>2105</x:v>
      </x:c>
      <x:c r="B2096" s="1">
        <x:f>IFERROR(__xludf.DUMMYFUNCTION("""COMPUTED_VALUE"""),"El planeta prohibit")</x:f>
      </x:c>
      <x:c r="C2096" s="1">
        <x:f>IFERROR(__xludf.DUMMYFUNCTION("""COMPUTED_VALUE"""),"1956")</x:f>
      </x:c>
    </x:row>
    <x:row r="2097" spans="1:10">
      <x:c r="A2097" s="1" t="s">
        <x:v>2106</x:v>
      </x:c>
      <x:c r="B2097" s="1">
        <x:f>IFERROR(__xludf.DUMMYFUNCTION("""COMPUTED_VALUE"""),"El plàstic. Un suïcidi col·lectiu?")</x:f>
      </x:c>
      <x:c r="C2097" s="1">
        <x:f>IFERROR(__xludf.DUMMYFUNCTION("""COMPUTED_VALUE"""),"2023")</x:f>
      </x:c>
    </x:row>
    <x:row r="2098" spans="1:10">
      <x:c r="A2098" s="1" t="s">
        <x:v>2107</x:v>
      </x:c>
      <x:c r="B2098" s="1">
        <x:f>IFERROR(__xludf.DUMMYFUNCTION("""COMPUTED_VALUE"""),"El plat del dia")</x:f>
      </x:c>
      <x:c r="C2098" s="1">
        <x:f>IFERROR(__xludf.DUMMYFUNCTION("""COMPUTED_VALUE"""),"2009")</x:f>
      </x:c>
    </x:row>
    <x:row r="2099" spans="1:10">
      <x:c r="A2099" s="1" t="s">
        <x:v>2108</x:v>
      </x:c>
      <x:c r="B2099" s="1">
        <x:f>IFERROR(__xludf.DUMMYFUNCTION("""COMPUTED_VALUE"""),"El poder dels diners")</x:f>
      </x:c>
      <x:c r="C2099" s="1">
        <x:f>IFERROR(__xludf.DUMMYFUNCTION("""COMPUTED_VALUE"""),"2013")</x:f>
      </x:c>
    </x:row>
    <x:row r="2100" spans="1:10">
      <x:c r="A2100" s="1" t="s">
        <x:v>2109</x:v>
      </x:c>
      <x:c r="B2100" s="1">
        <x:f>IFERROR(__xludf.DUMMYFUNCTION("""COMPUTED_VALUE"""),"El pont dels oblidats")</x:f>
      </x:c>
      <x:c r="C2100" s="1">
        <x:f>IFERROR(__xludf.DUMMYFUNCTION("""COMPUTED_VALUE"""),"2019")</x:f>
      </x:c>
    </x:row>
    <x:row r="2101" spans="1:10">
      <x:c r="A2101" s="1" t="s">
        <x:v>2110</x:v>
      </x:c>
      <x:c r="B2101" s="1">
        <x:f>IFERROR(__xludf.DUMMYFUNCTION("""COMPUTED_VALUE"""),"El pont sobre el riu Kwai")</x:f>
      </x:c>
      <x:c r="C2101" s="1">
        <x:f>IFERROR(__xludf.DUMMYFUNCTION("""COMPUTED_VALUE"""),"1957")</x:f>
      </x:c>
    </x:row>
    <x:row r="2102" spans="1:10">
      <x:c r="A2102" s="1" t="s">
        <x:v>2111</x:v>
      </x:c>
      <x:c r="B2102" s="1">
        <x:f>IFERROR(__xludf.DUMMYFUNCTION("""COMPUTED_VALUE"""),"El pou (Trucada perduda 2)")</x:f>
      </x:c>
      <x:c r="C2102" s="1">
        <x:f>IFERROR(__xludf.DUMMYFUNCTION("""COMPUTED_VALUE"""),"2005")</x:f>
      </x:c>
    </x:row>
    <x:row r="2103" spans="1:10">
      <x:c r="A2103" s="1" t="s">
        <x:v>2112</x:v>
      </x:c>
      <x:c r="B2103" s="1">
        <x:f>IFERROR(__xludf.DUMMYFUNCTION("""COMPUTED_VALUE"""),"El pregó")</x:f>
      </x:c>
      <x:c r="C2103" s="1">
        <x:f>IFERROR(__xludf.DUMMYFUNCTION("""COMPUTED_VALUE"""),"2016")</x:f>
      </x:c>
    </x:row>
    <x:row r="2104" spans="1:10">
      <x:c r="A2104" s="1" t="s">
        <x:v>2113</x:v>
      </x:c>
      <x:c r="B2104" s="1">
        <x:f>IFERROR(__xludf.DUMMYFUNCTION("""COMPUTED_VALUE"""),"El premi")</x:f>
      </x:c>
      <x:c r="C2104" s="1">
        <x:f>IFERROR(__xludf.DUMMYFUNCTION("""COMPUTED_VALUE"""),"1963")</x:f>
      </x:c>
    </x:row>
    <x:row r="2105" spans="1:10">
      <x:c r="A2105" s="1" t="s">
        <x:v>2114</x:v>
      </x:c>
      <x:c r="B2105" s="1">
        <x:f>IFERROR(__xludf.DUMMYFUNCTION("""COMPUTED_VALUE"""),"El presoner de Zenda")</x:f>
      </x:c>
      <x:c r="C2105" s="1">
        <x:f>IFERROR(__xludf.DUMMYFUNCTION("""COMPUTED_VALUE"""),"1952")</x:f>
      </x:c>
    </x:row>
    <x:row r="2106" spans="1:10">
      <x:c r="A2106" s="1" t="s">
        <x:v>2115</x:v>
      </x:c>
      <x:c r="B2106" s="1">
        <x:f>IFERROR(__xludf.DUMMYFUNCTION("""COMPUTED_VALUE"""),"El preu de l'èxit")</x:f>
      </x:c>
      <x:c r="C2106" s="1">
        <x:f>IFERROR(__xludf.DUMMYFUNCTION("""COMPUTED_VALUE"""),"2017")</x:f>
      </x:c>
    </x:row>
    <x:row r="2107" spans="1:10">
      <x:c r="A2107" s="1" t="s">
        <x:v>2116</x:v>
      </x:c>
      <x:c r="B2107" s="1">
        <x:f>IFERROR(__xludf.DUMMYFUNCTION("""COMPUTED_VALUE"""),"El preu de la innocència")</x:f>
      </x:c>
      <x:c r="C2107" s="1">
        <x:f>IFERROR(__xludf.DUMMYFUNCTION("""COMPUTED_VALUE"""),"2017")</x:f>
      </x:c>
    </x:row>
    <x:row r="2108" spans="1:10">
      <x:c r="A2108" s="1" t="s">
        <x:v>2117</x:v>
      </x:c>
      <x:c r="B2108" s="1">
        <x:f>IFERROR(__xludf.DUMMYFUNCTION("""COMPUTED_VALUE"""),"El preu de la sort")</x:f>
      </x:c>
      <x:c r="C2108" s="1">
        <x:f>IFERROR(__xludf.DUMMYFUNCTION("""COMPUTED_VALUE"""),"2014")</x:f>
      </x:c>
    </x:row>
    <x:row r="2109" spans="1:10">
      <x:c r="A2109" s="1" t="s">
        <x:v>2118</x:v>
      </x:c>
      <x:c r="B2109" s="1">
        <x:f>IFERROR(__xludf.DUMMYFUNCTION("""COMPUTED_VALUE"""),"El preu de la traïció")</x:f>
      </x:c>
      <x:c r="C2109" s="1">
        <x:f>IFERROR(__xludf.DUMMYFUNCTION("""COMPUTED_VALUE"""),"2021")</x:f>
      </x:c>
    </x:row>
    <x:row r="2110" spans="1:10">
      <x:c r="A2110" s="1" t="s">
        <x:v>2119</x:v>
      </x:c>
      <x:c r="B2110" s="1">
        <x:f>IFERROR(__xludf.DUMMYFUNCTION("""COMPUTED_VALUE"""),"El preu de la venjança")</x:f>
      </x:c>
      <x:c r="C2110" s="1">
        <x:f>IFERROR(__xludf.DUMMYFUNCTION("""COMPUTED_VALUE"""),"2022")</x:f>
      </x:c>
    </x:row>
    <x:row r="2111" spans="1:10">
      <x:c r="A2111" s="1" t="s">
        <x:v>2120</x:v>
      </x:c>
      <x:c r="B2111" s="1">
        <x:f>IFERROR(__xludf.DUMMYFUNCTION("""COMPUTED_VALUE"""),"El primer cavaller")</x:f>
      </x:c>
      <x:c r="C2111" s="1">
        <x:f>IFERROR(__xludf.DUMMYFUNCTION("""COMPUTED_VALUE"""),"1995")</x:f>
      </x:c>
    </x:row>
    <x:row r="2112" spans="1:10">
      <x:c r="A2112" s="1" t="s">
        <x:v>2121</x:v>
      </x:c>
      <x:c r="B2112" s="1">
        <x:f>IFERROR(__xludf.DUMMYFUNCTION("""COMPUTED_VALUE"""),"El primer dia de la meva vida")</x:f>
      </x:c>
      <x:c r="C2112" s="1">
        <x:f>IFERROR(__xludf.DUMMYFUNCTION("""COMPUTED_VALUE"""),"2023")</x:f>
      </x:c>
    </x:row>
    <x:row r="2113" spans="1:10">
      <x:c r="A2113" s="1" t="s">
        <x:v>2122</x:v>
      </x:c>
      <x:c r="B2113" s="1">
        <x:f>IFERROR(__xludf.DUMMYFUNCTION("""COMPUTED_VALUE"""),"El primer dia de la resta de la teva vida")</x:f>
      </x:c>
      <x:c r="C2113" s="1">
        <x:f>IFERROR(__xludf.DUMMYFUNCTION("""COMPUTED_VALUE"""),"2008")</x:f>
      </x:c>
    </x:row>
    <x:row r="2114" spans="1:10">
      <x:c r="A2114" s="1" t="s">
        <x:v>2123</x:v>
      </x:c>
      <x:c r="B2114" s="1">
        <x:f>IFERROR(__xludf.DUMMYFUNCTION("""COMPUTED_VALUE"""),"El primer home")</x:f>
      </x:c>
      <x:c r="C2114" s="1">
        <x:f>IFERROR(__xludf.DUMMYFUNCTION("""COMPUTED_VALUE"""),"2018")</x:f>
      </x:c>
    </x:row>
    <x:row r="2115" spans="1:10">
      <x:c r="A2115" s="1" t="s">
        <x:v>2124</x:v>
      </x:c>
      <x:c r="B2115" s="1">
        <x:f>IFERROR(__xludf.DUMMYFUNCTION("""COMPUTED_VALUE"""),"El princep")</x:f>
      </x:c>
      <x:c r="C2115" s="1">
        <x:f>IFERROR(__xludf.DUMMYFUNCTION("""COMPUTED_VALUE"""),"2014")</x:f>
      </x:c>
    </x:row>
    <x:row r="2116" spans="1:10">
      <x:c r="A2116" s="1" t="s">
        <x:v>2125</x:v>
      </x:c>
      <x:c r="B2116" s="1">
        <x:f>IFERROR(__xludf.DUMMYFUNCTION("""COMPUTED_VALUE"""),"El príncep")</x:f>
      </x:c>
      <x:c r="C2116" s="1">
        <x:f>IFERROR(__xludf.DUMMYFUNCTION("""COMPUTED_VALUE"""),"2024")</x:f>
      </x:c>
    </x:row>
    <x:row r="2117" spans="1:10">
      <x:c r="A2117" s="1" t="s">
        <x:v>2126</x:v>
      </x:c>
      <x:c r="B2117" s="1">
        <x:f>IFERROR(__xludf.DUMMYFUNCTION("""COMPUTED_VALUE"""),"El príncep d'Egipte")</x:f>
      </x:c>
      <x:c r="C2117" s="1">
        <x:f>IFERROR(__xludf.DUMMYFUNCTION("""COMPUTED_VALUE"""),"1998")</x:f>
      </x:c>
    </x:row>
    <x:row r="2118" spans="1:10">
      <x:c r="A2118" s="1" t="s">
        <x:v>2127</x:v>
      </x:c>
      <x:c r="B2118" s="1">
        <x:f>IFERROR(__xludf.DUMMYFUNCTION("""COMPUTED_VALUE"""),"El príncep de les marees")</x:f>
      </x:c>
      <x:c r="C2118" s="1">
        <x:f>IFERROR(__xludf.DUMMYFUNCTION("""COMPUTED_VALUE"""),"1991")</x:f>
      </x:c>
    </x:row>
    <x:row r="2119" spans="1:10">
      <x:c r="A2119" s="1" t="s">
        <x:v>2128</x:v>
      </x:c>
      <x:c r="B2119" s="1">
        <x:f>IFERROR(__xludf.DUMMYFUNCTION("""COMPUTED_VALUE"""),"El príncep de les tenebres")</x:f>
      </x:c>
      <x:c r="C2119" s="1">
        <x:f>IFERROR(__xludf.DUMMYFUNCTION("""COMPUTED_VALUE"""),"1987")</x:f>
      </x:c>
    </x:row>
    <x:row r="2120" spans="1:10">
      <x:c r="A2120" s="1" t="s">
        <x:v>2129</x:v>
      </x:c>
      <x:c r="B2120" s="1">
        <x:f>IFERROR(__xludf.DUMMYFUNCTION("""COMPUTED_VALUE"""),"El príncep dels lladres")</x:f>
      </x:c>
      <x:c r="C2120" s="1">
        <x:f>IFERROR(__xludf.DUMMYFUNCTION("""COMPUTED_VALUE"""),"2006")</x:f>
      </x:c>
    </x:row>
    <x:row r="2121" spans="1:10">
      <x:c r="A2121" s="1" t="s">
        <x:v>2130</x:v>
      </x:c>
      <x:c r="B2121" s="1">
        <x:f>IFERROR(__xludf.DUMMYFUNCTION("""COMPUTED_VALUE"""),"El príncep i el captaire")</x:f>
      </x:c>
      <x:c r="C2121" s="1">
        <x:f>IFERROR(__xludf.DUMMYFUNCTION("""COMPUTED_VALUE"""),"1977")</x:f>
      </x:c>
    </x:row>
    <x:row r="2122" spans="1:10">
      <x:c r="A2122" s="1" t="s">
        <x:v>2131</x:v>
      </x:c>
      <x:c r="B2122" s="1">
        <x:f>IFERROR(__xludf.DUMMYFUNCTION("""COMPUTED_VALUE"""),"El príncep i jo")</x:f>
      </x:c>
      <x:c r="C2122" s="1">
        <x:f>IFERROR(__xludf.DUMMYFUNCTION("""COMPUTED_VALUE"""),"2004")</x:f>
      </x:c>
    </x:row>
    <x:row r="2123" spans="1:10">
      <x:c r="A2123" s="1" t="s">
        <x:v>2132</x:v>
      </x:c>
      <x:c r="B2123" s="1">
        <x:f>IFERROR(__xludf.DUMMYFUNCTION("""COMPUTED_VALUE"""),"El príncep i jo 3: Una lluna de mel reial")</x:f>
      </x:c>
      <x:c r="C2123" s="1">
        <x:f>IFERROR(__xludf.DUMMYFUNCTION("""COMPUTED_VALUE"""),"2008")</x:f>
      </x:c>
    </x:row>
    <x:row r="2124" spans="1:10">
      <x:c r="A2124" s="1" t="s">
        <x:v>2133</x:v>
      </x:c>
      <x:c r="B2124" s="1">
        <x:f>IFERROR(__xludf.DUMMYFUNCTION("""COMPUTED_VALUE"""),"El príncep i jo 4: Una princesa al paradís")</x:f>
      </x:c>
      <x:c r="C2124" s="1">
        <x:f>IFERROR(__xludf.DUMMYFUNCTION("""COMPUTED_VALUE"""),"2010")</x:f>
      </x:c>
    </x:row>
    <x:row r="2125" spans="1:10">
      <x:c r="A2125" s="1" t="s">
        <x:v>2134</x:v>
      </x:c>
      <x:c r="B2125" s="1">
        <x:f>IFERROR(__xludf.DUMMYFUNCTION("""COMPUTED_VALUE"""),"El príncep i la corista")</x:f>
      </x:c>
      <x:c r="C2125" s="1">
        <x:f>IFERROR(__xludf.DUMMYFUNCTION("""COMPUTED_VALUE"""),"1957")</x:f>
      </x:c>
    </x:row>
    <x:row r="2126" spans="1:10">
      <x:c r="A2126" s="1" t="s">
        <x:v>2135</x:v>
      </x:c>
      <x:c r="B2126" s="1">
        <x:f>IFERROR(__xludf.DUMMYFUNCTION("""COMPUTED_VALUE"""),"El príncep oblidat")</x:f>
      </x:c>
      <x:c r="C2126" s="1">
        <x:f>IFERROR(__xludf.DUMMYFUNCTION("""COMPUTED_VALUE"""),"2020")</x:f>
      </x:c>
    </x:row>
    <x:row r="2127" spans="1:10">
      <x:c r="A2127" s="1" t="s">
        <x:v>2136</x:v>
      </x:c>
      <x:c r="B2127" s="1">
        <x:f>IFERROR(__xludf.DUMMYFUNCTION("""COMPUTED_VALUE"""),"El principiant")</x:f>
      </x:c>
      <x:c r="C2127" s="1">
        <x:f>IFERROR(__xludf.DUMMYFUNCTION("""COMPUTED_VALUE"""),"1990")</x:f>
      </x:c>
    </x:row>
    <x:row r="2128" spans="1:10">
      <x:c r="A2128" s="1" t="s">
        <x:v>2137</x:v>
      </x:c>
      <x:c r="B2128" s="1">
        <x:f>IFERROR(__xludf.DUMMYFUNCTION("""COMPUTED_VALUE"""),"El procés")</x:f>
      </x:c>
      <x:c r="C2128" s="1">
        <x:f>IFERROR(__xludf.DUMMYFUNCTION("""COMPUTED_VALUE"""),"1962")</x:f>
      </x:c>
    </x:row>
    <x:row r="2129" spans="1:10">
      <x:c r="A2129" s="1" t="s">
        <x:v>2138</x:v>
      </x:c>
      <x:c r="B2129" s="1">
        <x:f>IFERROR(__xludf.DUMMYFUNCTION("""COMPUTED_VALUE"""),"El prodigiós Maurice")</x:f>
      </x:c>
      <x:c r="C2129" s="1">
        <x:f>IFERROR(__xludf.DUMMYFUNCTION("""COMPUTED_VALUE"""),"2022")</x:f>
      </x:c>
    </x:row>
    <x:row r="2130" spans="1:10">
      <x:c r="A2130" s="1" t="s">
        <x:v>2139</x:v>
      </x:c>
      <x:c r="B2130" s="1">
        <x:f>IFERROR(__xludf.DUMMYFUNCTION("""COMPUTED_VALUE"""),"El professor")</x:f>
      </x:c>
      <x:c r="C2130" s="1">
        <x:f>IFERROR(__xludf.DUMMYFUNCTION("""COMPUTED_VALUE"""),"2011")</x:f>
      </x:c>
    </x:row>
    <x:row r="2131" spans="1:10">
      <x:c r="A2131" s="1" t="s">
        <x:v>2140</x:v>
      </x:c>
      <x:c r="B2131" s="1">
        <x:f>IFERROR(__xludf.DUMMYFUNCTION("""COMPUTED_VALUE"""),"El professor d'esgrima")</x:f>
      </x:c>
      <x:c r="C2131" s="1">
        <x:f>IFERROR(__xludf.DUMMYFUNCTION("""COMPUTED_VALUE"""),"2023")</x:f>
      </x:c>
    </x:row>
    <x:row r="2132" spans="1:10">
      <x:c r="A2132" s="1" t="s">
        <x:v>2141</x:v>
      </x:c>
      <x:c r="B2132" s="1">
        <x:f>IFERROR(__xludf.DUMMYFUNCTION("""COMPUTED_VALUE"""),"El professor de persa")</x:f>
      </x:c>
      <x:c r="C2132" s="1">
        <x:f>IFERROR(__xludf.DUMMYFUNCTION("""COMPUTED_VALUE"""),"2020")</x:f>
      </x:c>
    </x:row>
    <x:row r="2133" spans="1:10">
      <x:c r="A2133" s="1" t="s">
        <x:v>2142</x:v>
      </x:c>
      <x:c r="B2133" s="1">
        <x:f>IFERROR(__xludf.DUMMYFUNCTION("""COMPUTED_VALUE"""),"El professor guillat")</x:f>
      </x:c>
      <x:c r="C2133" s="1">
        <x:f>IFERROR(__xludf.DUMMYFUNCTION("""COMPUTED_VALUE"""),"1963")</x:f>
      </x:c>
    </x:row>
    <x:row r="2134" spans="1:10">
      <x:c r="A2134" s="1" t="s">
        <x:v>2143</x:v>
      </x:c>
      <x:c r="B2134" s="1">
        <x:f>IFERROR(__xludf.DUMMYFUNCTION("""COMPUTED_VALUE"""),"El professor guillat")</x:f>
      </x:c>
      <x:c r="C2134" s="1">
        <x:f>IFERROR(__xludf.DUMMYFUNCTION("""COMPUTED_VALUE"""),"1996")</x:f>
      </x:c>
    </x:row>
    <x:row r="2135" spans="1:10">
      <x:c r="A2135" s="1" t="s">
        <x:v>2144</x:v>
      </x:c>
      <x:c r="B2135" s="1">
        <x:f>IFERROR(__xludf.DUMMYFUNCTION("""COMPUTED_VALUE"""),"El projecte Manhattan en color")</x:f>
      </x:c>
      <x:c r="C2135" s="1">
        <x:f>IFERROR(__xludf.DUMMYFUNCTION("""COMPUTED_VALUE"""),"2025")</x:f>
      </x:c>
    </x:row>
    <x:row r="2136" spans="1:10">
      <x:c r="A2136" s="1" t="s">
        <x:v>2145</x:v>
      </x:c>
      <x:c r="B2136" s="1">
        <x:f>IFERROR(__xludf.DUMMYFUNCTION("""COMPUTED_VALUE"""),"El protector")</x:f>
      </x:c>
      <x:c r="C2136" s="1">
        <x:f>IFERROR(__xludf.DUMMYFUNCTION("""COMPUTED_VALUE"""),"1985")</x:f>
      </x:c>
    </x:row>
    <x:row r="2137" spans="1:10">
      <x:c r="A2137" s="1" t="s">
        <x:v>2146</x:v>
      </x:c>
      <x:c r="B2137" s="1">
        <x:f>IFERROR(__xludf.DUMMYFUNCTION("""COMPUTED_VALUE"""),"El protector")</x:f>
      </x:c>
      <x:c r="C2137" s="1">
        <x:f>IFERROR(__xludf.DUMMYFUNCTION("""COMPUTED_VALUE"""),"2013")</x:f>
      </x:c>
    </x:row>
    <x:row r="2138" spans="1:10">
      <x:c r="A2138" s="1" t="s">
        <x:v>2147</x:v>
      </x:c>
      <x:c r="B2138" s="1">
        <x:f>IFERROR(__xludf.DUMMYFUNCTION("""COMPUTED_VALUE"""),"El púding màgic")</x:f>
      </x:c>
      <x:c r="C2138" s="1">
        <x:f>IFERROR(__xludf.DUMMYFUNCTION("""COMPUTED_VALUE"""),"2000")</x:f>
      </x:c>
    </x:row>
    <x:row r="2139" spans="1:10">
      <x:c r="A2139" s="1" t="s">
        <x:v>2148</x:v>
      </x:c>
      <x:c r="B2139" s="1">
        <x:f>IFERROR(__xludf.DUMMYFUNCTION("""COMPUTED_VALUE"""),"El punt cec")</x:f>
      </x:c>
      <x:c r="C2139" s="1">
        <x:f>IFERROR(__xludf.DUMMYFUNCTION("""COMPUTED_VALUE"""),"2007")</x:f>
      </x:c>
    </x:row>
    <x:row r="2140" spans="1:10">
      <x:c r="A2140" s="1" t="s">
        <x:v>2149</x:v>
      </x:c>
      <x:c r="B2140" s="1">
        <x:f>IFERROR(__xludf.DUMMYFUNCTION("""COMPUTED_VALUE"""),"El puny de l'estel del nord")</x:f>
      </x:c>
      <x:c r="C2140" s="1">
        <x:f>IFERROR(__xludf.DUMMYFUNCTION("""COMPUTED_VALUE"""),"1986")</x:f>
      </x:c>
    </x:row>
    <x:row r="2141" spans="1:10">
      <x:c r="A2141" s="1" t="s">
        <x:v>2150</x:v>
      </x:c>
      <x:c r="B2141" s="1">
        <x:f>IFERROR(__xludf.DUMMYFUNCTION("""COMPUTED_VALUE"""),"El quadern d'en Noah")</x:f>
      </x:c>
      <x:c r="C2141" s="1">
        <x:f>IFERROR(__xludf.DUMMYFUNCTION("""COMPUTED_VALUE"""),"2004")</x:f>
      </x:c>
    </x:row>
    <x:row r="2142" spans="1:10">
      <x:c r="A2142" s="1" t="s">
        <x:v>2151</x:v>
      </x:c>
      <x:c r="B2142" s="1">
        <x:f>IFERROR(__xludf.DUMMYFUNCTION("""COMPUTED_VALUE"""),"El quart pis")</x:f>
      </x:c>
      <x:c r="C2142" s="1">
        <x:f>IFERROR(__xludf.DUMMYFUNCTION("""COMPUTED_VALUE"""),"1999")</x:f>
      </x:c>
    </x:row>
    <x:row r="2143" spans="1:10">
      <x:c r="A2143" s="1" t="s">
        <x:v>2152</x:v>
      </x:c>
      <x:c r="B2143" s="1">
        <x:f>IFERROR(__xludf.DUMMYFUNCTION("""COMPUTED_VALUE"""),"El quart protocol")</x:f>
      </x:c>
      <x:c r="C2143" s="1">
        <x:f>IFERROR(__xludf.DUMMYFUNCTION("""COMPUTED_VALUE"""),"1987")</x:f>
      </x:c>
    </x:row>
    <x:row r="2144" spans="1:10">
      <x:c r="A2144" s="1" t="s">
        <x:v>2153</x:v>
      </x:c>
      <x:c r="B2144" s="1">
        <x:f>IFERROR(__xludf.DUMMYFUNCTION("""COMPUTED_VALUE"""),"El quartet")</x:f>
      </x:c>
      <x:c r="C2144" s="1">
        <x:f>IFERROR(__xludf.DUMMYFUNCTION("""COMPUTED_VALUE"""),"2012")</x:f>
      </x:c>
    </x:row>
    <x:row r="2145" spans="1:10">
      <x:c r="A2145" s="1" t="s">
        <x:v>2154</x:v>
      </x:c>
      <x:c r="B2145" s="1">
        <x:f>IFERROR(__xludf.DUMMYFUNCTION("""COMPUTED_VALUE"""),"El que diuen les roses")</x:f>
      </x:c>
      <x:c r="C2145" s="1">
        <x:f>IFERROR(__xludf.DUMMYFUNCTION("""COMPUTED_VALUE"""),"2016")</x:f>
      </x:c>
    </x:row>
    <x:row r="2146" spans="1:10">
      <x:c r="A2146" s="1" t="s">
        <x:v>2155</x:v>
      </x:c>
      <x:c r="B2146" s="1">
        <x:f>IFERROR(__xludf.DUMMYFUNCTION("""COMPUTED_VALUE"""),"El que el dia deu a la nit")</x:f>
      </x:c>
      <x:c r="C2146" s="1">
        <x:f>IFERROR(__xludf.DUMMYFUNCTION("""COMPUTED_VALUE"""),"2012")</x:f>
      </x:c>
    </x:row>
    <x:row r="2147" spans="1:10">
      <x:c r="A2147" s="1" t="s">
        <x:v>2156</x:v>
      </x:c>
      <x:c r="B2147" s="1">
        <x:f>IFERROR(__xludf.DUMMYFUNCTION("""COMPUTED_VALUE"""),"El que és important de debó")</x:f>
      </x:c>
      <x:c r="C2147" s="1">
        <x:f>IFERROR(__xludf.DUMMYFUNCTION("""COMPUTED_VALUE"""),"2022")</x:f>
      </x:c>
    </x:row>
    <x:row r="2148" spans="1:10">
      <x:c r="A2148" s="1" t="s">
        <x:v>2157</x:v>
      </x:c>
      <x:c r="B2148" s="1">
        <x:f>IFERROR(__xludf.DUMMYFUNCTION("""COMPUTED_VALUE"""),"El que queda del dia")</x:f>
      </x:c>
      <x:c r="C2148" s="1">
        <x:f>IFERROR(__xludf.DUMMYFUNCTION("""COMPUTED_VALUE"""),"1993")</x:f>
      </x:c>
    </x:row>
    <x:row r="2149" spans="1:10">
      <x:c r="A2149" s="1" t="s">
        <x:v>2158</x:v>
      </x:c>
      <x:c r="B2149" s="1">
        <x:f>IFERROR(__xludf.DUMMYFUNCTION("""COMPUTED_VALUE"""),"El quintet de la mort")</x:f>
      </x:c>
      <x:c r="C2149" s="1">
        <x:f>IFERROR(__xludf.DUMMYFUNCTION("""COMPUTED_VALUE"""),"1955")</x:f>
      </x:c>
    </x:row>
    <x:row r="2150" spans="1:10">
      <x:c r="A2150" s="1" t="s">
        <x:v>2159</x:v>
      </x:c>
      <x:c r="B2150" s="1">
        <x:f>IFERROR(__xludf.DUMMYFUNCTION("""COMPUTED_VALUE"""),"El racó més espantós de l'infern. Gravacions de la batalla d'Okinawa")</x:f>
      </x:c>
      <x:c r="C2150" s="1">
        <x:f>IFERROR(__xludf.DUMMYFUNCTION("""COMPUTED_VALUE"""),"2023")</x:f>
      </x:c>
    </x:row>
    <x:row r="2151" spans="1:10">
      <x:c r="A2151" s="1" t="s">
        <x:v>2160</x:v>
      </x:c>
      <x:c r="B2151" s="1">
        <x:f>IFERROR(__xludf.DUMMYFUNCTION("""COMPUTED_VALUE"""),"El raïm de la ira")</x:f>
      </x:c>
      <x:c r="C2151" s="1">
        <x:f>IFERROR(__xludf.DUMMYFUNCTION("""COMPUTED_VALUE"""),"1940")</x:f>
      </x:c>
    </x:row>
    <x:row r="2152" spans="1:10">
      <x:c r="A2152" s="1" t="s">
        <x:v>2161</x:v>
      </x:c>
      <x:c r="B2152" s="1">
        <x:f>IFERROR(__xludf.DUMMYFUNCTION("""COMPUTED_VALUE"""),"El rastre de la pantera")</x:f>
      </x:c>
      <x:c r="C2152" s="1">
        <x:f>IFERROR(__xludf.DUMMYFUNCTION("""COMPUTED_VALUE"""),"1954")</x:f>
      </x:c>
    </x:row>
    <x:row r="2153" spans="1:10">
      <x:c r="A2153" s="1" t="s">
        <x:v>2162</x:v>
      </x:c>
      <x:c r="B2153" s="1">
        <x:f>IFERROR(__xludf.DUMMYFUNCTION("""COMPUTED_VALUE"""),"El rastre del delicte")</x:f>
      </x:c>
      <x:c r="C2153" s="1">
        <x:f>IFERROR(__xludf.DUMMYFUNCTION("""COMPUTED_VALUE"""),"2013")</x:f>
      </x:c>
    </x:row>
    <x:row r="2154" spans="1:10">
      <x:c r="A2154" s="1" t="s">
        <x:v>2163</x:v>
      </x:c>
      <x:c r="B2154" s="1">
        <x:f>IFERROR(__xludf.DUMMYFUNCTION("""COMPUTED_VALUE"""),"El rebel orgullós")</x:f>
      </x:c>
      <x:c r="C2154" s="1">
        <x:f>IFERROR(__xludf.DUMMYFUNCTION("""COMPUTED_VALUE"""),"1958")</x:f>
      </x:c>
    </x:row>
    <x:row r="2155" spans="1:10">
      <x:c r="A2155" s="1" t="s">
        <x:v>2164</x:v>
      </x:c>
      <x:c r="B2155" s="1">
        <x:f>IFERROR(__xludf.DUMMYFUNCTION("""COMPUTED_VALUE"""),"El record de Marnie")</x:f>
      </x:c>
      <x:c r="C2155" s="1">
        <x:f>IFERROR(__xludf.DUMMYFUNCTION("""COMPUTED_VALUE"""),"2014")</x:f>
      </x:c>
    </x:row>
    <x:row r="2156" spans="1:10">
      <x:c r="A2156" s="1" t="s">
        <x:v>2165</x:v>
      </x:c>
      <x:c r="B2156" s="1">
        <x:f>IFERROR(__xludf.DUMMYFUNCTION("""COMPUTED_VALUE"""),"El refugi")</x:f>
      </x:c>
      <x:c r="C2156" s="1">
        <x:f>IFERROR(__xludf.DUMMYFUNCTION("""COMPUTED_VALUE"""),"2009")</x:f>
      </x:c>
    </x:row>
    <x:row r="2157" spans="1:10">
      <x:c r="A2157" s="1" t="s">
        <x:v>2166</x:v>
      </x:c>
      <x:c r="B2157" s="1">
        <x:f>IFERROR(__xludf.DUMMYFUNCTION("""COMPUTED_VALUE"""),"El regal")</x:f>
      </x:c>
      <x:c r="C2157" s="1">
        <x:f>IFERROR(__xludf.DUMMYFUNCTION("""COMPUTED_VALUE"""),"2015")</x:f>
      </x:c>
    </x:row>
    <x:row r="2158" spans="1:10">
      <x:c r="A2158" s="1" t="s">
        <x:v>2167</x:v>
      </x:c>
      <x:c r="B2158" s="1">
        <x:f>IFERROR(__xludf.DUMMYFUNCTION("""COMPUTED_VALUE"""),"El regal de la Molly Monstre")</x:f>
      </x:c>
      <x:c r="C2158" s="1">
        <x:f>IFERROR(__xludf.DUMMYFUNCTION("""COMPUTED_VALUE"""),"2016")</x:f>
      </x:c>
    </x:row>
    <x:row r="2159" spans="1:10">
      <x:c r="A2159" s="1" t="s">
        <x:v>2168</x:v>
      </x:c>
      <x:c r="B2159" s="1">
        <x:f>IFERROR(__xludf.DUMMYFUNCTION("""COMPUTED_VALUE"""),"El Regne de les Granotes")</x:f>
      </x:c>
      <x:c r="C2159" s="1">
        <x:f>IFERROR(__xludf.DUMMYFUNCTION("""COMPUTED_VALUE"""),"2013")</x:f>
      </x:c>
    </x:row>
    <x:row r="2160" spans="1:10">
      <x:c r="A2160" s="1" t="s">
        <x:v>2169</x:v>
      </x:c>
      <x:c r="B2160" s="1">
        <x:f>IFERROR(__xludf.DUMMYFUNCTION("""COMPUTED_VALUE"""),"El regne de les granotes. Missió a l'Àrtic")</x:f>
      </x:c>
      <x:c r="C2160" s="1">
        <x:f>IFERROR(__xludf.DUMMYFUNCTION("""COMPUTED_VALUE"""),"2016")</x:f>
      </x:c>
    </x:row>
    <x:row r="2161" spans="1:10">
      <x:c r="A2161" s="1" t="s">
        <x:v>2170</x:v>
      </x:c>
      <x:c r="B2161" s="1">
        <x:f>IFERROR(__xludf.DUMMYFUNCTION("""COMPUTED_VALUE"""),"El regne del cel")</x:f>
      </x:c>
      <x:c r="C2161" s="1">
        <x:f>IFERROR(__xludf.DUMMYFUNCTION("""COMPUTED_VALUE"""),"2005")</x:f>
      </x:c>
    </x:row>
    <x:row r="2162" spans="1:10">
      <x:c r="A2162" s="1" t="s">
        <x:v>2171</x:v>
      </x:c>
      <x:c r="B2162" s="1">
        <x:f>IFERROR(__xludf.DUMMYFUNCTION("""COMPUTED_VALUE"""),"El regne del planeta dels simis")</x:f>
      </x:c>
      <x:c r="C2162" s="1">
        <x:f>IFERROR(__xludf.DUMMYFUNCTION("""COMPUTED_VALUE"""),"2024")</x:f>
      </x:c>
    </x:row>
    <x:row r="2163" spans="1:10">
      <x:c r="A2163" s="1" t="s">
        <x:v>2172</x:v>
      </x:c>
      <x:c r="B2163" s="1">
        <x:f>IFERROR(__xludf.DUMMYFUNCTION("""COMPUTED_VALUE"""),"El regne prohibit")</x:f>
      </x:c>
      <x:c r="C2163" s="1">
        <x:f>IFERROR(__xludf.DUMMYFUNCTION("""COMPUTED_VALUE"""),"2008")</x:f>
      </x:c>
    </x:row>
    <x:row r="2164" spans="1:10">
      <x:c r="A2164" s="1" t="s">
        <x:v>2173</x:v>
      </x:c>
      <x:c r="B2164" s="1">
        <x:f>IFERROR(__xludf.DUMMYFUNCTION("""COMPUTED_VALUE"""),"El rei Artús: La llegenda d'Excalibur")</x:f>
      </x:c>
      <x:c r="C2164" s="1">
        <x:f>IFERROR(__xludf.DUMMYFUNCTION("""COMPUTED_VALUE"""),"2017")</x:f>
      </x:c>
    </x:row>
    <x:row r="2165" spans="1:10">
      <x:c r="A2165" s="1" t="s">
        <x:v>2174</x:v>
      </x:c>
      <x:c r="B2165" s="1">
        <x:f>IFERROR(__xludf.DUMMYFUNCTION("""COMPUTED_VALUE"""),"El rei borni")</x:f>
      </x:c>
      <x:c r="C2165" s="1">
        <x:f>IFERROR(__xludf.DUMMYFUNCTION("""COMPUTED_VALUE"""),"2016")</x:f>
      </x:c>
    </x:row>
    <x:row r="2166" spans="1:10">
      <x:c r="A2166" s="1" t="s">
        <x:v>2175</x:v>
      </x:c>
      <x:c r="B2166" s="1">
        <x:f>IFERROR(__xludf.DUMMYFUNCTION("""COMPUTED_VALUE"""),"El rei d'Escòcia")</x:f>
      </x:c>
      <x:c r="C2166" s="1">
        <x:f>IFERROR(__xludf.DUMMYFUNCTION("""COMPUTED_VALUE"""),"2019")</x:f>
      </x:c>
    </x:row>
    <x:row r="2167" spans="1:10">
      <x:c r="A2167" s="1" t="s">
        <x:v>2176</x:v>
      </x:c>
      <x:c r="B2167" s="1">
        <x:f>IFERROR(__xludf.DUMMYFUNCTION("""COMPUTED_VALUE"""),"El rei de Califòrnia")</x:f>
      </x:c>
      <x:c r="C2167" s="1">
        <x:f>IFERROR(__xludf.DUMMYFUNCTION("""COMPUTED_VALUE"""),"2007")</x:f>
      </x:c>
    </x:row>
    <x:row r="2168" spans="1:10">
      <x:c r="A2168" s="1" t="s">
        <x:v>2177</x:v>
      </x:c>
      <x:c r="B2168" s="1">
        <x:f>IFERROR(__xludf.DUMMYFUNCTION("""COMPUTED_VALUE"""),"El rei de reis")</x:f>
      </x:c>
      <x:c r="C2168" s="1">
        <x:f>IFERROR(__xludf.DUMMYFUNCTION("""COMPUTED_VALUE"""),"2025")</x:f>
      </x:c>
    </x:row>
    <x:row r="2169" spans="1:10">
      <x:c r="A2169" s="1" t="s">
        <x:v>2178</x:v>
      </x:c>
      <x:c r="B2169" s="1">
        <x:f>IFERROR(__xludf.DUMMYFUNCTION("""COMPUTED_VALUE"""),"El rei del riu")</x:f>
      </x:c>
      <x:c r="C2169" s="1">
        <x:f>IFERROR(__xludf.DUMMYFUNCTION("""COMPUTED_VALUE"""),"2005")</x:f>
      </x:c>
    </x:row>
    <x:row r="2170" spans="1:10">
      <x:c r="A2170" s="1" t="s">
        <x:v>2179</x:v>
      </x:c>
      <x:c r="B2170" s="1">
        <x:f>IFERROR(__xludf.DUMMYFUNCTION("""COMPUTED_VALUE"""),"El rei dels assassins")</x:f>
      </x:c>
      <x:c r="C2170" s="1">
        <x:f>IFERROR(__xludf.DUMMYFUNCTION("""COMPUTED_VALUE"""),"2023")</x:f>
      </x:c>
    </x:row>
    <x:row r="2171" spans="1:10">
      <x:c r="A2171" s="1" t="s">
        <x:v>2180</x:v>
      </x:c>
      <x:c r="B2171" s="1">
        <x:f>IFERROR(__xludf.DUMMYFUNCTION("""COMPUTED_VALUE"""),"El rei dels lladres")</x:f>
      </x:c>
      <x:c r="C2171" s="1">
        <x:f>IFERROR(__xludf.DUMMYFUNCTION("""COMPUTED_VALUE"""),"2018")</x:f>
      </x:c>
    </x:row>
    <x:row r="2172" spans="1:10">
      <x:c r="A2172" s="1" t="s">
        <x:v>2181</x:v>
      </x:c>
      <x:c r="B2172" s="1">
        <x:f>IFERROR(__xludf.DUMMYFUNCTION("""COMPUTED_VALUE"""),"El rei Peret")</x:f>
      </x:c>
      <x:c r="C2172" s="1">
        <x:f>IFERROR(__xludf.DUMMYFUNCTION("""COMPUTED_VALUE"""),"2022")</x:f>
      </x:c>
    </x:row>
    <x:row r="2173" spans="1:10">
      <x:c r="A2173" s="1" t="s">
        <x:v>2182</x:v>
      </x:c>
      <x:c r="B2173" s="1">
        <x:f>IFERROR(__xludf.DUMMYFUNCTION("""COMPUTED_VALUE"""),"El rei pescador")</x:f>
      </x:c>
      <x:c r="C2173" s="1">
        <x:f>IFERROR(__xludf.DUMMYFUNCTION("""COMPUTED_VALUE"""),"1991")</x:f>
      </x:c>
    </x:row>
    <x:row r="2174" spans="1:10">
      <x:c r="A2174" s="1" t="s">
        <x:v>2183</x:v>
      </x:c>
      <x:c r="B2174" s="1">
        <x:f>IFERROR(__xludf.DUMMYFUNCTION("""COMPUTED_VALUE"""),"El renascut")</x:f>
      </x:c>
      <x:c r="C2174" s="1">
        <x:f>IFERROR(__xludf.DUMMYFUNCTION("""COMPUTED_VALUE"""),"2015")</x:f>
      </x:c>
    </x:row>
    <x:row r="2175" spans="1:10">
      <x:c r="A2175" s="1" t="s">
        <x:v>2184</x:v>
      </x:c>
      <x:c r="B2175" s="1">
        <x:f>IFERROR(__xludf.DUMMYFUNCTION("""COMPUTED_VALUE"""),"El repte solar")</x:f>
      </x:c>
      <x:c r="C2175" s="1">
        <x:f>IFERROR(__xludf.DUMMYFUNCTION("""COMPUTED_VALUE"""),"2025")</x:f>
      </x:c>
    </x:row>
    <x:row r="2176" spans="1:10">
      <x:c r="A2176" s="1" t="s">
        <x:v>2185</x:v>
      </x:c>
      <x:c r="B2176" s="1">
        <x:f>IFERROR(__xludf.DUMMYFUNCTION("""COMPUTED_VALUE"""),"El rescat")</x:f>
      </x:c>
      <x:c r="C2176" s="1">
        <x:f>IFERROR(__xludf.DUMMYFUNCTION("""COMPUTED_VALUE"""),"2011")</x:f>
      </x:c>
    </x:row>
    <x:row r="2177" spans="1:10">
      <x:c r="A2177" s="1" t="s">
        <x:v>2186</x:v>
      </x:c>
      <x:c r="B2177" s="1">
        <x:f>IFERROR(__xludf.DUMMYFUNCTION("""COMPUTED_VALUE"""),"El rescat bancari secret")</x:f>
      </x:c>
      <x:c r="C2177" s="1">
        <x:f>IFERROR(__xludf.DUMMYFUNCTION("""COMPUTED_VALUE"""),"2013")</x:f>
      </x:c>
    </x:row>
    <x:row r="2178" spans="1:10">
      <x:c r="A2178" s="1" t="s">
        <x:v>2187</x:v>
      </x:c>
      <x:c r="B2178" s="1">
        <x:f>IFERROR(__xludf.DUMMYFUNCTION("""COMPUTED_VALUE"""),"El rescat secret dels bancs")</x:f>
      </x:c>
      <x:c r="C2178" s="1">
        <x:f>IFERROR(__xludf.DUMMYFUNCTION("""COMPUTED_VALUE"""),"2013")</x:f>
      </x:c>
    </x:row>
    <x:row r="2179" spans="1:10">
      <x:c r="A2179" s="1" t="s">
        <x:v>2188</x:v>
      </x:c>
      <x:c r="B2179" s="1">
        <x:f>IFERROR(__xludf.DUMMYFUNCTION("""COMPUTED_VALUE"""),"El retaule del flautista")</x:f>
      </x:c>
      <x:c r="C2179" s="1">
        <x:f>IFERROR(__xludf.DUMMYFUNCTION("""COMPUTED_VALUE"""),"2012")</x:f>
      </x:c>
    </x:row>
    <x:row r="2180" spans="1:10">
      <x:c r="A2180" s="1" t="s">
        <x:v>2189</x:v>
      </x:c>
      <x:c r="B2180" s="1">
        <x:f>IFERROR(__xludf.DUMMYFUNCTION("""COMPUTED_VALUE"""),"El retorn a casa")</x:f>
      </x:c>
      <x:c r="C2180" s="1">
        <x:f>IFERROR(__xludf.DUMMYFUNCTION("""COMPUTED_VALUE"""),"1940")</x:f>
      </x:c>
    </x:row>
    <x:row r="2181" spans="1:10">
      <x:c r="A2181" s="1" t="s">
        <x:v>2190</x:v>
      </x:c>
      <x:c r="B2181" s="1">
        <x:f>IFERROR(__xludf.DUMMYFUNCTION("""COMPUTED_VALUE"""),"El retorn d'en Doraemon")</x:f>
      </x:c>
      <x:c r="C2181" s="1">
        <x:f>IFERROR(__xludf.DUMMYFUNCTION("""COMPUTED_VALUE"""),"1998")</x:f>
      </x:c>
    </x:row>
    <x:row r="2182" spans="1:10">
      <x:c r="A2182" s="1" t="s">
        <x:v>2191</x:v>
      </x:c>
      <x:c r="B2182" s="1">
        <x:f>IFERROR(__xludf.DUMMYFUNCTION("""COMPUTED_VALUE"""),"El retorn d'en Jack")</x:f>
      </x:c>
      <x:c r="C2182" s="1">
        <x:f>IFERROR(__xludf.DUMMYFUNCTION("""COMPUTED_VALUE"""),"1988")</x:f>
      </x:c>
    </x:row>
    <x:row r="2183" spans="1:10">
      <x:c r="A2183" s="1" t="s">
        <x:v>2192</x:v>
      </x:c>
      <x:c r="B2183" s="1">
        <x:f>IFERROR(__xludf.DUMMYFUNCTION("""COMPUTED_VALUE"""),"El retorn d'Ulisses")</x:f>
      </x:c>
      <x:c r="C2183" s="1">
        <x:f>IFERROR(__xludf.DUMMYFUNCTION("""COMPUTED_VALUE"""),"2024")</x:f>
      </x:c>
    </x:row>
    <x:row r="2184" spans="1:10">
      <x:c r="A2184" s="1" t="s">
        <x:v>2193</x:v>
      </x:c>
      <x:c r="B2184" s="1">
        <x:f>IFERROR(__xludf.DUMMYFUNCTION("""COMPUTED_VALUE"""),"El retorn de Batman")</x:f>
      </x:c>
      <x:c r="C2184" s="1">
        <x:f>IFERROR(__xludf.DUMMYFUNCTION("""COMPUTED_VALUE"""),"1992")</x:f>
      </x:c>
    </x:row>
    <x:row r="2185" spans="1:10">
      <x:c r="A2185" s="1" t="s">
        <x:v>2194</x:v>
      </x:c>
      <x:c r="B2185" s="1">
        <x:f>IFERROR(__xludf.DUMMYFUNCTION("""COMPUTED_VALUE"""),"El retorn de l'heroi")</x:f>
      </x:c>
      <x:c r="C2185" s="1">
        <x:f>IFERROR(__xludf.DUMMYFUNCTION("""COMPUTED_VALUE"""),"2018")</x:f>
      </x:c>
    </x:row>
    <x:row r="2186" spans="1:10">
      <x:c r="A2186" s="1" t="s">
        <x:v>2195</x:v>
      </x:c>
      <x:c r="B2186" s="1">
        <x:f>IFERROR(__xludf.DUMMYFUNCTION("""COMPUTED_VALUE"""),"El retorn de Sopa de Cabra Palau Sant Jordi 2011")</x:f>
      </x:c>
      <x:c r="C2186" s="1">
        <x:f>IFERROR(__xludf.DUMMYFUNCTION("""COMPUTED_VALUE"""),"2011")</x:f>
      </x:c>
    </x:row>
    <x:row r="2187" spans="1:10">
      <x:c r="A2187" s="1" t="s">
        <x:v>2196</x:v>
      </x:c>
      <x:c r="B2187" s="1">
        <x:f>IFERROR(__xludf.DUMMYFUNCTION("""COMPUTED_VALUE"""),"El retorn del Ben")</x:f>
      </x:c>
      <x:c r="C2187" s="1">
        <x:f>IFERROR(__xludf.DUMMYFUNCTION("""COMPUTED_VALUE"""),"2018")</x:f>
      </x:c>
    </x:row>
    <x:row r="2188" spans="1:10">
      <x:c r="A2188" s="1" t="s">
        <x:v>2197</x:v>
      </x:c>
      <x:c r="B2188" s="1">
        <x:f>IFERROR(__xludf.DUMMYFUNCTION("""COMPUTED_VALUE"""),"El retorn dels Set Magnífics")</x:f>
      </x:c>
      <x:c r="C2188" s="1">
        <x:f>IFERROR(__xludf.DUMMYFUNCTION("""COMPUTED_VALUE"""),"1966")</x:f>
      </x:c>
    </x:row>
    <x:row r="2189" spans="1:10">
      <x:c r="A2189" s="1" t="s">
        <x:v>2198</x:v>
      </x:c>
      <x:c r="B2189" s="1">
        <x:f>IFERROR(__xludf.DUMMYFUNCTION("""COMPUTED_VALUE"""),"El retrobament")</x:f>
      </x:c>
      <x:c r="C2189" s="1">
        <x:f>IFERROR(__xludf.DUMMYFUNCTION("""COMPUTED_VALUE"""),"2016")</x:f>
      </x:c>
    </x:row>
    <x:row r="2190" spans="1:10">
      <x:c r="A2190" s="1" t="s">
        <x:v>2199</x:v>
      </x:c>
      <x:c r="B2190" s="1">
        <x:f>IFERROR(__xludf.DUMMYFUNCTION("""COMPUTED_VALUE"""),"El ritu")</x:f>
      </x:c>
      <x:c r="C2190" s="1">
        <x:f>IFERROR(__xludf.DUMMYFUNCTION("""COMPUTED_VALUE"""),"2011")</x:f>
      </x:c>
    </x:row>
    <x:row r="2191" spans="1:10">
      <x:c r="A2191" s="1" t="s">
        <x:v>2200</x:v>
      </x:c>
      <x:c r="B2191" s="1">
        <x:f>IFERROR(__xludf.DUMMYFUNCTION("""COMPUTED_VALUE"""),"El riu de la ira")</x:f>
      </x:c>
      <x:c r="C2191" s="1">
        <x:f>IFERROR(__xludf.DUMMYFUNCTION("""COMPUTED_VALUE"""),"2022")</x:f>
      </x:c>
    </x:row>
    <x:row r="2192" spans="1:10">
      <x:c r="A2192" s="1" t="s">
        <x:v>2201</x:v>
      </x:c>
      <x:c r="B2192" s="1">
        <x:f>IFERROR(__xludf.DUMMYFUNCTION("""COMPUTED_VALUE"""),"El riu glaçat")</x:f>
      </x:c>
      <x:c r="C2192" s="1">
        <x:f>IFERROR(__xludf.DUMMYFUNCTION("""COMPUTED_VALUE"""),"2008")</x:f>
      </x:c>
    </x:row>
    <x:row r="2193" spans="1:10">
      <x:c r="A2193" s="1" t="s">
        <x:v>2202</x:v>
      </x:c>
      <x:c r="B2193" s="1">
        <x:f>IFERROR(__xludf.DUMMYFUNCTION("""COMPUTED_VALUE"""),"El riu que ens porta")</x:f>
      </x:c>
      <x:c r="C2193" s="1">
        <x:f>IFERROR(__xludf.DUMMYFUNCTION("""COMPUTED_VALUE"""),"2012")</x:f>
      </x:c>
    </x:row>
    <x:row r="2194" spans="1:10">
      <x:c r="A2194" s="1" t="s">
        <x:v>2203</x:v>
      </x:c>
      <x:c r="B2194" s="1">
        <x:f>IFERROR(__xludf.DUMMYFUNCTION("""COMPUTED_VALUE"""),"El rodamon")</x:f>
      </x:c>
      <x:c r="C2194" s="1">
        <x:f>IFERROR(__xludf.DUMMYFUNCTION("""COMPUTED_VALUE"""),"1915")</x:f>
      </x:c>
    </x:row>
    <x:row r="2195" spans="1:10">
      <x:c r="A2195" s="1" t="s">
        <x:v>2204</x:v>
      </x:c>
      <x:c r="B2195" s="1">
        <x:f>IFERROR(__xludf.DUMMYFUNCTION("""COMPUTED_VALUE"""),"El sabater")</x:f>
      </x:c>
      <x:c r="C2195" s="1">
        <x:f>IFERROR(__xludf.DUMMYFUNCTION("""COMPUTED_VALUE"""),"2014")</x:f>
      </x:c>
    </x:row>
    <x:row r="2196" spans="1:10">
      <x:c r="A2196" s="1" t="s">
        <x:v>2205</x:v>
      </x:c>
      <x:c r="B2196" s="1">
        <x:f>IFERROR(__xludf.DUMMYFUNCTION("""COMPUTED_VALUE"""),"El sabor de la síndria")</x:f>
      </x:c>
      <x:c r="C2196" s="1">
        <x:f>IFERROR(__xludf.DUMMYFUNCTION("""COMPUTED_VALUE"""),"2005")</x:f>
      </x:c>
    </x:row>
    <x:row r="2197" spans="1:10">
      <x:c r="A2197" s="1" t="s">
        <x:v>2206</x:v>
      </x:c>
      <x:c r="B2197" s="1">
        <x:f>IFERROR(__xludf.DUMMYFUNCTION("""COMPUTED_VALUE"""),"El sabor de les coses simples")</x:f>
      </x:c>
      <x:c r="C2197" s="1">
        <x:f>IFERROR(__xludf.DUMMYFUNCTION("""COMPUTED_VALUE"""),"2022")</x:f>
      </x:c>
    </x:row>
    <x:row r="2198" spans="1:10">
      <x:c r="A2198" s="1" t="s">
        <x:v>2207</x:v>
      </x:c>
      <x:c r="B2198" s="1">
        <x:f>IFERROR(__xludf.DUMMYFUNCTION("""COMPUTED_VALUE"""),"El salt a la fortuna")</x:f>
      </x:c>
      <x:c r="C2198" s="1">
        <x:f>IFERROR(__xludf.DUMMYFUNCTION("""COMPUTED_VALUE"""),"2012")</x:f>
      </x:c>
    </x:row>
    <x:row r="2199" spans="1:10">
      <x:c r="A2199" s="1" t="s">
        <x:v>2208</x:v>
      </x:c>
      <x:c r="B2199" s="1">
        <x:f>IFERROR(__xludf.DUMMYFUNCTION("""COMPUTED_VALUE"""),"El salvatge")</x:f>
      </x:c>
      <x:c r="C2199" s="1">
        <x:f>IFERROR(__xludf.DUMMYFUNCTION("""COMPUTED_VALUE"""),"1953")</x:f>
      </x:c>
    </x:row>
    <x:row r="2200" spans="1:10">
      <x:c r="A2200" s="1" t="s">
        <x:v>2209</x:v>
      </x:c>
      <x:c r="B2200" s="1">
        <x:f>IFERROR(__xludf.DUMMYFUNCTION("""COMPUTED_VALUE"""),"El samurai sense nom")</x:f>
      </x:c>
      <x:c r="C2200" s="1">
        <x:f>IFERROR(__xludf.DUMMYFUNCTION("""COMPUTED_VALUE"""),"2007")</x:f>
      </x:c>
    </x:row>
    <x:row r="2201" spans="1:10">
      <x:c r="A2201" s="1" t="s">
        <x:v>2210</x:v>
      </x:c>
      <x:c r="B2201" s="1">
        <x:f>IFERROR(__xludf.DUMMYFUNCTION("""COMPUTED_VALUE"""),"El sastre de la màfia")</x:f>
      </x:c>
      <x:c r="C2201" s="1">
        <x:f>IFERROR(__xludf.DUMMYFUNCTION("""COMPUTED_VALUE"""),"2022")</x:f>
      </x:c>
    </x:row>
    <x:row r="2202" spans="1:10">
      <x:c r="A2202" s="1" t="s">
        <x:v>2211</x:v>
      </x:c>
      <x:c r="B2202" s="1">
        <x:f>IFERROR(__xludf.DUMMYFUNCTION("""COMPUTED_VALUE"""),"El sastre de Panamà")</x:f>
      </x:c>
      <x:c r="C2202" s="1">
        <x:f>IFERROR(__xludf.DUMMYFUNCTION("""COMPUTED_VALUE"""),"2001")</x:f>
      </x:c>
    </x:row>
    <x:row r="2203" spans="1:10">
      <x:c r="A2203" s="1" t="s">
        <x:v>2212</x:v>
      </x:c>
      <x:c r="B2203" s="1">
        <x:f>IFERROR(__xludf.DUMMYFUNCTION("""COMPUTED_VALUE"""),"El secret d'Adaline")</x:f>
      </x:c>
      <x:c r="C2203" s="1">
        <x:f>IFERROR(__xludf.DUMMYFUNCTION("""COMPUTED_VALUE"""),"2015")</x:f>
      </x:c>
    </x:row>
    <x:row r="2204" spans="1:10">
      <x:c r="A2204" s="1" t="s">
        <x:v>2213</x:v>
      </x:c>
      <x:c r="B2204" s="1">
        <x:f>IFERROR(__xludf.DUMMYFUNCTION("""COMPUTED_VALUE"""),"El secret d'una obsessió")</x:f>
      </x:c>
      <x:c r="C2204" s="1">
        <x:f>IFERROR(__xludf.DUMMYFUNCTION("""COMPUTED_VALUE"""),"2015")</x:f>
      </x:c>
    </x:row>
    <x:row r="2205" spans="1:10">
      <x:c r="A2205" s="1" t="s">
        <x:v>2214</x:v>
      </x:c>
      <x:c r="B2205" s="1">
        <x:f>IFERROR(__xludf.DUMMYFUNCTION("""COMPUTED_VALUE"""),"El secret de Kells")</x:f>
      </x:c>
      <x:c r="C2205" s="1">
        <x:f>IFERROR(__xludf.DUMMYFUNCTION("""COMPUTED_VALUE"""),"2008")</x:f>
      </x:c>
    </x:row>
    <x:row r="2206" spans="1:10">
      <x:c r="A2206" s="1" t="s">
        <x:v>2215</x:v>
      </x:c>
      <x:c r="B2206" s="1">
        <x:f>IFERROR(__xludf.DUMMYFUNCTION("""COMPUTED_VALUE"""),"El secret de l'última lluna")</x:f>
      </x:c>
      <x:c r="C2206" s="1">
        <x:f>IFERROR(__xludf.DUMMYFUNCTION("""COMPUTED_VALUE"""),"2008")</x:f>
      </x:c>
    </x:row>
    <x:row r="2207" spans="1:10">
      <x:c r="A2207" s="1" t="s">
        <x:v>2216</x:v>
      </x:c>
      <x:c r="B2207" s="1">
        <x:f>IFERROR(__xludf.DUMMYFUNCTION("""COMPUTED_VALUE"""),"El secret de l'Unicorn")</x:f>
      </x:c>
      <x:c r="C2207" s="1">
        <x:f>IFERROR(__xludf.DUMMYFUNCTION("""COMPUTED_VALUE"""),"1991")</x:f>
      </x:c>
    </x:row>
    <x:row r="2208" spans="1:10">
      <x:c r="A2208" s="1" t="s">
        <x:v>2217</x:v>
      </x:c>
      <x:c r="B2208" s="1">
        <x:f>IFERROR(__xludf.DUMMYFUNCTION("""COMPUTED_VALUE"""),"El secret de la nit")</x:f>
      </x:c>
      <x:c r="C2208" s="1">
        <x:f>IFERROR(__xludf.DUMMYFUNCTION("""COMPUTED_VALUE"""),"2014")</x:f>
      </x:c>
    </x:row>
    <x:row r="2209" spans="1:10">
      <x:c r="A2209" s="1" t="s">
        <x:v>2218</x:v>
      </x:c>
      <x:c r="B2209" s="1">
        <x:f>IFERROR(__xludf.DUMMYFUNCTION("""COMPUTED_VALUE"""),"El secret de la Vicky")</x:f>
      </x:c>
      <x:c r="C2209" s="1">
        <x:f>IFERROR(__xludf.DUMMYFUNCTION("""COMPUTED_VALUE"""),"2021")</x:f>
      </x:c>
    </x:row>
    <x:row r="2210" spans="1:10">
      <x:c r="A2210" s="1" t="s">
        <x:v>2219</x:v>
      </x:c>
      <x:c r="B2210" s="1">
        <x:f>IFERROR(__xludf.DUMMYFUNCTION("""COMPUTED_VALUE"""),"El secret de les abelles")</x:f>
      </x:c>
      <x:c r="C2210" s="1">
        <x:f>IFERROR(__xludf.DUMMYFUNCTION("""COMPUTED_VALUE"""),"2018")</x:f>
      </x:c>
    </x:row>
    <x:row r="2211" spans="1:10">
      <x:c r="A2211" s="1" t="s">
        <x:v>2220</x:v>
      </x:c>
      <x:c r="B2211" s="1">
        <x:f>IFERROR(__xludf.DUMMYFUNCTION("""COMPUTED_VALUE"""),"El secret de Thomas Crown")</x:f>
      </x:c>
      <x:c r="C2211" s="1">
        <x:f>IFERROR(__xludf.DUMMYFUNCTION("""COMPUTED_VALUE"""),"1999")</x:f>
      </x:c>
    </x:row>
    <x:row r="2212" spans="1:10">
      <x:c r="A2212" s="1" t="s">
        <x:v>2221</x:v>
      </x:c>
      <x:c r="B2212" s="1">
        <x:f>IFERROR(__xludf.DUMMYFUNCTION("""COMPUTED_VALUE"""),"El secret del senyor Rice")</x:f>
      </x:c>
      <x:c r="C2212" s="1">
        <x:f>IFERROR(__xludf.DUMMYFUNCTION("""COMPUTED_VALUE"""),"2000")</x:f>
      </x:c>
    </x:row>
    <x:row r="2213" spans="1:10">
      <x:c r="A2213" s="1" t="s">
        <x:v>2222</x:v>
      </x:c>
      <x:c r="B2213" s="1">
        <x:f>IFERROR(__xludf.DUMMYFUNCTION("""COMPUTED_VALUE"""),"El secret dels 24 esglaons")</x:f>
      </x:c>
      <x:c r="C2213" s="1">
        <x:f>IFERROR(__xludf.DUMMYFUNCTION("""COMPUTED_VALUE"""),"2012")</x:f>
      </x:c>
    </x:row>
    <x:row r="2214" spans="1:10">
      <x:c r="A2214" s="1" t="s">
        <x:v>2223</x:v>
      </x:c>
      <x:c r="B2214" s="1">
        <x:f>IFERROR(__xludf.DUMMYFUNCTION("""COMPUTED_VALUE"""),"El secret dels germans Grimm")</x:f>
      </x:c>
      <x:c r="C2214" s="1">
        <x:f>IFERROR(__xludf.DUMMYFUNCTION("""COMPUTED_VALUE"""),"2005")</x:f>
      </x:c>
    </x:row>
    <x:row r="2215" spans="1:10">
      <x:c r="A2215" s="1" t="s">
        <x:v>2224</x:v>
      </x:c>
      <x:c r="B2215" s="1">
        <x:f>IFERROR(__xludf.DUMMYFUNCTION("""COMPUTED_VALUE"""),"El segon nom")</x:f>
      </x:c>
      <x:c r="C2215" s="1">
        <x:f>IFERROR(__xludf.DUMMYFUNCTION("""COMPUTED_VALUE"""),"2002")</x:f>
      </x:c>
    </x:row>
    <x:row r="2216" spans="1:10">
      <x:c r="A2216" s="1" t="s">
        <x:v>2225</x:v>
      </x:c>
      <x:c r="B2216" s="1">
        <x:f>IFERROR(__xludf.DUMMYFUNCTION("""COMPUTED_VALUE"""),"El segrest de Daniel Rye")</x:f>
      </x:c>
      <x:c r="C2216" s="1">
        <x:f>IFERROR(__xludf.DUMMYFUNCTION("""COMPUTED_VALUE"""),"2019")</x:f>
      </x:c>
    </x:row>
    <x:row r="2217" spans="1:10">
      <x:c r="A2217" s="1" t="s">
        <x:v>2226</x:v>
      </x:c>
      <x:c r="B2217" s="1">
        <x:f>IFERROR(__xludf.DUMMYFUNCTION("""COMPUTED_VALUE"""),"El segrest de Núria")</x:f>
      </x:c>
      <x:c r="C2217" s="1">
        <x:f>IFERROR(__xludf.DUMMYFUNCTION("""COMPUTED_VALUE"""),"2017")</x:f>
      </x:c>
    </x:row>
    <x:row r="2218" spans="1:10">
      <x:c r="A2218" s="1" t="s">
        <x:v>2227</x:v>
      </x:c>
      <x:c r="B2218" s="1">
        <x:f>IFERROR(__xludf.DUMMYFUNCTION("""COMPUTED_VALUE"""),"El seguici")</x:f>
      </x:c>
      <x:c r="C2218" s="1">
        <x:f>IFERROR(__xludf.DUMMYFUNCTION("""COMPUTED_VALUE"""),"2015")</x:f>
      </x:c>
    </x:row>
    <x:row r="2219" spans="1:10">
      <x:c r="A2219" s="1" t="s">
        <x:v>2228</x:v>
      </x:c>
      <x:c r="B2219" s="1">
        <x:f>IFERROR(__xludf.DUMMYFUNCTION("""COMPUTED_VALUE"""),"El sentit d'un final")</x:f>
      </x:c>
      <x:c r="C2219" s="1">
        <x:f>IFERROR(__xludf.DUMMYFUNCTION("""COMPUTED_VALUE"""),"2017")</x:f>
      </x:c>
    </x:row>
    <x:row r="2220" spans="1:10">
      <x:c r="A2220" s="1" t="s">
        <x:v>2229</x:v>
      </x:c>
      <x:c r="B2220" s="1">
        <x:f>IFERROR(__xludf.DUMMYFUNCTION("""COMPUTED_VALUE"""),"El senyal")</x:f>
      </x:c>
      <x:c r="C2220" s="1">
        <x:f>IFERROR(__xludf.DUMMYFUNCTION("""COMPUTED_VALUE"""),"2014")</x:f>
      </x:c>
    </x:row>
    <x:row r="2221" spans="1:10">
      <x:c r="A2221" s="1" t="s">
        <x:v>2230</x:v>
      </x:c>
      <x:c r="B2221" s="1">
        <x:f>IFERROR(__xludf.DUMMYFUNCTION("""COMPUTED_VALUE"""),"El senyor de la guerra")</x:f>
      </x:c>
      <x:c r="C2221" s="1">
        <x:f>IFERROR(__xludf.DUMMYFUNCTION("""COMPUTED_VALUE"""),"2005")</x:f>
      </x:c>
    </x:row>
    <x:row r="2222" spans="1:10">
      <x:c r="A2222" s="1" t="s">
        <x:v>2231</x:v>
      </x:c>
      <x:c r="B2222" s="1">
        <x:f>IFERROR(__xludf.DUMMYFUNCTION("""COMPUTED_VALUE"""),"El senyor dels anells")</x:f>
      </x:c>
      <x:c r="C2222" s="1">
        <x:f>IFERROR(__xludf.DUMMYFUNCTION("""COMPUTED_VALUE"""),"1978")</x:f>
      </x:c>
    </x:row>
    <x:row r="2223" spans="1:10">
      <x:c r="A2223" s="1" t="s">
        <x:v>2232</x:v>
      </x:c>
      <x:c r="B2223" s="1">
        <x:f>IFERROR(__xludf.DUMMYFUNCTION("""COMPUTED_VALUE"""),"El senyor dels anells: A la recerca de'n Gòl·lum [VOSC]")</x:f>
      </x:c>
      <x:c r="C2223" s="1">
        <x:f>IFERROR(__xludf.DUMMYFUNCTION("""COMPUTED_VALUE"""),"2009")</x:f>
      </x:c>
    </x:row>
    <x:row r="2224" spans="1:10">
      <x:c r="A2224" s="1" t="s">
        <x:v>2233</x:v>
      </x:c>
      <x:c r="B2224" s="1">
        <x:f>IFERROR(__xludf.DUMMYFUNCTION("""COMPUTED_VALUE"""),"El senyor dels anells: el retorn del rei")</x:f>
      </x:c>
      <x:c r="C2224" s="1">
        <x:f>IFERROR(__xludf.DUMMYFUNCTION("""COMPUTED_VALUE"""),"2003")</x:f>
      </x:c>
    </x:row>
    <x:row r="2225" spans="1:10">
      <x:c r="A2225" s="1" t="s">
        <x:v>2234</x:v>
      </x:c>
      <x:c r="B2225" s="1">
        <x:f>IFERROR(__xludf.DUMMYFUNCTION("""COMPUTED_VALUE"""),"El senyor dels anells: la germandat de l'anell")</x:f>
      </x:c>
      <x:c r="C2225" s="1">
        <x:f>IFERROR(__xludf.DUMMYFUNCTION("""COMPUTED_VALUE"""),"2001")</x:f>
      </x:c>
    </x:row>
    <x:row r="2226" spans="1:10">
      <x:c r="A2226" s="1" t="s">
        <x:v>2235</x:v>
      </x:c>
      <x:c r="B2226" s="1">
        <x:f>IFERROR(__xludf.DUMMYFUNCTION("""COMPUTED_VALUE"""),"El senyor dels anells: les dues torres")</x:f>
      </x:c>
      <x:c r="C2226" s="1">
        <x:f>IFERROR(__xludf.DUMMYFUNCTION("""COMPUTED_VALUE"""),"2002")</x:f>
      </x:c>
    </x:row>
    <x:row r="2227" spans="1:10">
      <x:c r="A2227" s="1" t="s">
        <x:v>2236</x:v>
      </x:c>
      <x:c r="B2227" s="1">
        <x:f>IFERROR(__xludf.DUMMYFUNCTION("""COMPUTED_VALUE"""),"El senyor dels anells: Nascut de l’esperança. [VOSC]")</x:f>
      </x:c>
      <x:c r="C2227" s="1">
        <x:f>IFERROR(__xludf.DUMMYFUNCTION("""COMPUTED_VALUE"""),"2009")</x:f>
      </x:c>
    </x:row>
    <x:row r="2228" spans="1:10">
      <x:c r="A2228" s="1" t="s">
        <x:v>2237</x:v>
      </x:c>
      <x:c r="B2228" s="1">
        <x:f>IFERROR(__xludf.DUMMYFUNCTION("""COMPUTED_VALUE"""),"El senyor dels desitjos I")</x:f>
      </x:c>
      <x:c r="C2228" s="1">
        <x:f>IFERROR(__xludf.DUMMYFUNCTION("""COMPUTED_VALUE"""),"1997")</x:f>
      </x:c>
    </x:row>
    <x:row r="2229" spans="1:10">
      <x:c r="A2229" s="1" t="s">
        <x:v>2238</x:v>
      </x:c>
      <x:c r="B2229" s="1">
        <x:f>IFERROR(__xludf.DUMMYFUNCTION("""COMPUTED_VALUE"""),"El senyor dels desitjos II El mal no mor mai")</x:f>
      </x:c>
      <x:c r="C2229" s="1">
        <x:f>IFERROR(__xludf.DUMMYFUNCTION("""COMPUTED_VALUE"""),"1999")</x:f>
      </x:c>
    </x:row>
    <x:row r="2230" spans="1:10">
      <x:c r="A2230" s="1" t="s">
        <x:v>2239</x:v>
      </x:c>
      <x:c r="B2230" s="1">
        <x:f>IFERROR(__xludf.DUMMYFUNCTION("""COMPUTED_VALUE"""),"El senyor i la senyora Smith")</x:f>
      </x:c>
      <x:c r="C2230" s="1">
        <x:f>IFERROR(__xludf.DUMMYFUNCTION("""COMPUTED_VALUE"""),"2005")</x:f>
      </x:c>
    </x:row>
    <x:row r="2231" spans="1:10">
      <x:c r="A2231" s="1" t="s">
        <x:v>2240</x:v>
      </x:c>
      <x:c r="B2231" s="1">
        <x:f>IFERROR(__xludf.DUMMYFUNCTION("""COMPUTED_VALUE"""),"El senyor Jones")</x:f>
      </x:c>
      <x:c r="C2231" s="1">
        <x:f>IFERROR(__xludf.DUMMYFUNCTION("""COMPUTED_VALUE"""),"2019")</x:f>
      </x:c>
    </x:row>
    <x:row r="2232" spans="1:10">
      <x:c r="A2232" s="1" t="s">
        <x:v>2241</x:v>
      </x:c>
      <x:c r="B2232" s="1">
        <x:f>IFERROR(__xludf.DUMMYFUNCTION("""COMPUTED_VALUE"""),"El sergent de ferro")</x:f>
      </x:c>
      <x:c r="C2232" s="1">
        <x:f>IFERROR(__xludf.DUMMYFUNCTION("""COMPUTED_VALUE"""),"1986")</x:f>
      </x:c>
    </x:row>
    <x:row r="2233" spans="1:10">
      <x:c r="A2233" s="1" t="s">
        <x:v>2242</x:v>
      </x:c>
      <x:c r="B2233" s="1">
        <x:f>IFERROR(__xludf.DUMMYFUNCTION("""COMPUTED_VALUE"""),"El sergent York")</x:f>
      </x:c>
      <x:c r="C2233" s="1">
        <x:f>IFERROR(__xludf.DUMMYFUNCTION("""COMPUTED_VALUE"""),"1941")</x:f>
      </x:c>
    </x:row>
    <x:row r="2234" spans="1:10">
      <x:c r="A2234" s="1" t="s">
        <x:v>2243</x:v>
      </x:c>
      <x:c r="B2234" s="1">
        <x:f>IFERROR(__xludf.DUMMYFUNCTION("""COMPUTED_VALUE"""),"El setè de cavalleria")</x:f>
      </x:c>
      <x:c r="C2234" s="1">
        <x:f>IFERROR(__xludf.DUMMYFUNCTION("""COMPUTED_VALUE"""),"1956")</x:f>
      </x:c>
    </x:row>
    <x:row r="2235" spans="1:10">
      <x:c r="A2235" s="1" t="s">
        <x:v>2244</x:v>
      </x:c>
      <x:c r="B2235" s="1">
        <x:f>IFERROR(__xludf.DUMMYFUNCTION("""COMPUTED_VALUE"""),"El setè nan")</x:f>
      </x:c>
      <x:c r="C2235" s="1">
        <x:f>IFERROR(__xludf.DUMMYFUNCTION("""COMPUTED_VALUE"""),"2014")</x:f>
      </x:c>
    </x:row>
    <x:row r="2236" spans="1:10">
      <x:c r="A2236" s="1" t="s">
        <x:v>2245</x:v>
      </x:c>
      <x:c r="B2236" s="1">
        <x:f>IFERROR(__xludf.DUMMYFUNCTION("""COMPUTED_VALUE"""),"El setè segell [VOSC]")</x:f>
      </x:c>
      <x:c r="C2236" s="1">
        <x:f>IFERROR(__xludf.DUMMYFUNCTION("""COMPUTED_VALUE"""),"1957")</x:f>
      </x:c>
    </x:row>
    <x:row r="2237" spans="1:10">
      <x:c r="A2237" s="1" t="s">
        <x:v>2246</x:v>
      </x:c>
      <x:c r="B2237" s="1">
        <x:f>IFERROR(__xludf.DUMMYFUNCTION("""COMPUTED_VALUE"""),"El seu nom és Sabine [VOSC]")</x:f>
      </x:c>
      <x:c r="C2237" s="1">
        <x:f>IFERROR(__xludf.DUMMYFUNCTION("""COMPUTED_VALUE"""),"2007")</x:f>
      </x:c>
    </x:row>
    <x:row r="2238" spans="1:10">
      <x:c r="A2238" s="1" t="s">
        <x:v>2247</x:v>
      </x:c>
      <x:c r="B2238" s="1">
        <x:f>IFERROR(__xludf.DUMMYFUNCTION("""COMPUTED_VALUE"""),"El sexe dels àngels")</x:f>
      </x:c>
      <x:c r="C2238" s="1">
        <x:f>IFERROR(__xludf.DUMMYFUNCTION("""COMPUTED_VALUE"""),"2012")</x:f>
      </x:c>
    </x:row>
    <x:row r="2239" spans="1:10">
      <x:c r="A2239" s="1" t="s">
        <x:v>2248</x:v>
      </x:c>
      <x:c r="B2239" s="1">
        <x:f>IFERROR(__xludf.DUMMYFUNCTION("""COMPUTED_VALUE"""),"El sicari de Déu")</x:f>
      </x:c>
      <x:c r="C2239" s="1">
        <x:f>IFERROR(__xludf.DUMMYFUNCTION("""COMPUTED_VALUE"""),"2011")</x:f>
      </x:c>
    </x:row>
    <x:row r="2240" spans="1:10">
      <x:c r="A2240" s="1" t="s">
        <x:v>2249</x:v>
      </x:c>
      <x:c r="B2240" s="1">
        <x:f>IFERROR(__xludf.DUMMYFUNCTION("""COMPUTED_VALUE"""),"El silenci abans de Bach")</x:f>
      </x:c>
      <x:c r="C2240" s="1">
        <x:f>IFERROR(__xludf.DUMMYFUNCTION("""COMPUTED_VALUE"""),"2007")</x:f>
      </x:c>
    </x:row>
    <x:row r="2241" spans="1:10">
      <x:c r="A2241" s="1" t="s">
        <x:v>2250</x:v>
      </x:c>
      <x:c r="B2241" s="1">
        <x:f>IFERROR(__xludf.DUMMYFUNCTION("""COMPUTED_VALUE"""),"El silenci del pantà")</x:f>
      </x:c>
      <x:c r="C2241" s="1">
        <x:f>IFERROR(__xludf.DUMMYFUNCTION("""COMPUTED_VALUE"""),"2019")</x:f>
      </x:c>
    </x:row>
    <x:row r="2242" spans="1:10">
      <x:c r="A2242" s="1" t="s">
        <x:v>2251</x:v>
      </x:c>
      <x:c r="B2242" s="1">
        <x:f>IFERROR(__xludf.DUMMYFUNCTION("""COMPUTED_VALUE"""),"El silenci dels anyells")</x:f>
      </x:c>
      <x:c r="C2242" s="1">
        <x:f>IFERROR(__xludf.DUMMYFUNCTION("""COMPUTED_VALUE"""),"1991")</x:f>
      </x:c>
    </x:row>
    <x:row r="2243" spans="1:10">
      <x:c r="A2243" s="1" t="s">
        <x:v>2252</x:v>
      </x:c>
      <x:c r="B2243" s="1">
        <x:f>IFERROR(__xludf.DUMMYFUNCTION("""COMPUTED_VALUE"""),"El silenci dels espies")</x:f>
      </x:c>
      <x:c r="C2243" s="1">
        <x:f>IFERROR(__xludf.DUMMYFUNCTION("""COMPUTED_VALUE"""),"2021")</x:f>
      </x:c>
    </x:row>
    <x:row r="2244" spans="1:10">
      <x:c r="A2244" s="1" t="s">
        <x:v>2253</x:v>
      </x:c>
      <x:c r="B2244" s="1">
        <x:f>IFERROR(__xludf.DUMMYFUNCTION("""COMPUTED_VALUE"""),"El sisé sentit")</x:f>
      </x:c>
      <x:c r="C2244" s="1">
        <x:f>IFERROR(__xludf.DUMMYFUNCTION("""COMPUTED_VALUE"""),"1999")</x:f>
      </x:c>
    </x:row>
    <x:row r="2245" spans="1:10">
      <x:c r="A2245" s="1" t="s">
        <x:v>2254</x:v>
      </x:c>
      <x:c r="B2245" s="1">
        <x:f>IFERROR(__xludf.DUMMYFUNCTION("""COMPUTED_VALUE"""),"El soldat")</x:f>
      </x:c>
      <x:c r="C2245" s="1">
        <x:f>IFERROR(__xludf.DUMMYFUNCTION("""COMPUTED_VALUE"""),"1998")</x:f>
      </x:c>
    </x:row>
    <x:row r="2246" spans="1:10">
      <x:c r="A2246" s="1" t="s">
        <x:v>2255</x:v>
      </x:c>
      <x:c r="B2246" s="1">
        <x:f>IFERROR(__xludf.DUMMYFUNCTION("""COMPUTED_VALUE"""),"El soldat de Déu")</x:f>
      </x:c>
      <x:c r="C2246" s="1">
        <x:f>IFERROR(__xludf.DUMMYFUNCTION("""COMPUTED_VALUE"""),"2011")</x:f>
      </x:c>
    </x:row>
    <x:row r="2247" spans="1:10">
      <x:c r="A2247" s="1" t="s">
        <x:v>2256</x:v>
      </x:c>
      <x:c r="B2247" s="1">
        <x:f>IFERROR(__xludf.DUMMYFUNCTION("""COMPUTED_VALUE"""),"El somni")</x:f>
      </x:c>
      <x:c r="C2247" s="1">
        <x:f>IFERROR(__xludf.DUMMYFUNCTION("""COMPUTED_VALUE"""),"2008")</x:f>
      </x:c>
    </x:row>
    <x:row r="2248" spans="1:10">
      <x:c r="A2248" s="1" t="s">
        <x:v>2257</x:v>
      </x:c>
      <x:c r="B2248" s="1">
        <x:f>IFERROR(__xludf.DUMMYFUNCTION("""COMPUTED_VALUE"""),"El somni")</x:f>
      </x:c>
      <x:c r="C2248" s="1">
        <x:f>IFERROR(__xludf.DUMMYFUNCTION("""COMPUTED_VALUE"""),"2014")</x:f>
      </x:c>
    </x:row>
    <x:row r="2249" spans="1:10">
      <x:c r="A2249" s="1" t="s">
        <x:v>2258</x:v>
      </x:c>
      <x:c r="B2249" s="1">
        <x:f>IFERROR(__xludf.DUMMYFUNCTION("""COMPUTED_VALUE"""),"El somni aconseguit")</x:f>
      </x:c>
      <x:c r="C2249" s="1">
        <x:f>IFERROR(__xludf.DUMMYFUNCTION("""COMPUTED_VALUE"""),"2017")</x:f>
      </x:c>
    </x:row>
    <x:row r="2250" spans="1:10">
      <x:c r="A2250" s="1" t="s">
        <x:v>2259</x:v>
      </x:c>
      <x:c r="B2250" s="1">
        <x:f>IFERROR(__xludf.DUMMYFUNCTION("""COMPUTED_VALUE"""),"El somni català")</x:f>
      </x:c>
      <x:c r="C2250" s="1">
        <x:f>IFERROR(__xludf.DUMMYFUNCTION("""COMPUTED_VALUE"""),"2015")</x:f>
      </x:c>
    </x:row>
    <x:row r="2251" spans="1:10">
      <x:c r="A2251" s="1" t="s">
        <x:v>2260</x:v>
      </x:c>
      <x:c r="B2251" s="1">
        <x:f>IFERROR(__xludf.DUMMYFUNCTION("""COMPUTED_VALUE"""),"El somni d'una nit de Sant Joan")</x:f>
      </x:c>
      <x:c r="C2251" s="1">
        <x:f>IFERROR(__xludf.DUMMYFUNCTION("""COMPUTED_VALUE"""),"2005")</x:f>
      </x:c>
    </x:row>
    <x:row r="2252" spans="1:10">
      <x:c r="A2252" s="1" t="s">
        <x:v>2261</x:v>
      </x:c>
      <x:c r="B2252" s="1">
        <x:f>IFERROR(__xludf.DUMMYFUNCTION("""COMPUTED_VALUE"""),"El somni de Cassandra")</x:f>
      </x:c>
      <x:c r="C2252" s="1">
        <x:f>IFERROR(__xludf.DUMMYFUNCTION("""COMPUTED_VALUE"""),"2007")</x:f>
      </x:c>
    </x:row>
    <x:row r="2253" spans="1:10">
      <x:c r="A2253" s="1" t="s">
        <x:v>2262</x:v>
      </x:c>
      <x:c r="B2253" s="1">
        <x:f>IFERROR(__xludf.DUMMYFUNCTION("""COMPUTED_VALUE"""),"El somni de la Gabrielle")</x:f>
      </x:c>
      <x:c r="C2253" s="1">
        <x:f>IFERROR(__xludf.DUMMYFUNCTION("""COMPUTED_VALUE"""),"2016")</x:f>
      </x:c>
    </x:row>
    <x:row r="2254" spans="1:10">
      <x:c r="A2254" s="1" t="s">
        <x:v>2263</x:v>
      </x:c>
      <x:c r="B2254" s="1">
        <x:f>IFERROR(__xludf.DUMMYFUNCTION("""COMPUTED_VALUE"""),"El somni de la Harriet")</x:f>
      </x:c>
      <x:c r="C2254" s="1">
        <x:f>IFERROR(__xludf.DUMMYFUNCTION("""COMPUTED_VALUE"""),"2011")</x:f>
      </x:c>
    </x:row>
    <x:row r="2255" spans="1:10">
      <x:c r="A2255" s="1" t="s">
        <x:v>2264</x:v>
      </x:c>
      <x:c r="B2255" s="1">
        <x:f>IFERROR(__xludf.DUMMYFUNCTION("""COMPUTED_VALUE"""),"El somriure de la Mona Lisa")</x:f>
      </x:c>
      <x:c r="C2255" s="1">
        <x:f>IFERROR(__xludf.DUMMYFUNCTION("""COMPUTED_VALUE"""),"2003")</x:f>
      </x:c>
    </x:row>
    <x:row r="2256" spans="1:10">
      <x:c r="A2256" s="1" t="s">
        <x:v>2265</x:v>
      </x:c>
      <x:c r="B2256" s="1">
        <x:f>IFERROR(__xludf.DUMMYFUNCTION("""COMPUTED_VALUE"""),"El sopar")</x:f>
      </x:c>
      <x:c r="C2256" s="1">
        <x:f>IFERROR(__xludf.DUMMYFUNCTION("""COMPUTED_VALUE"""),"2017")</x:f>
      </x:c>
    </x:row>
    <x:row r="2257" spans="1:10">
      <x:c r="A2257" s="1" t="s">
        <x:v>2266</x:v>
      </x:c>
      <x:c r="B2257" s="1">
        <x:f>IFERROR(__xludf.DUMMYFUNCTION("""COMPUTED_VALUE"""),"El sopar dels idiotes")</x:f>
      </x:c>
      <x:c r="C2257" s="1">
        <x:f>IFERROR(__xludf.DUMMYFUNCTION("""COMPUTED_VALUE"""),"1998")</x:f>
      </x:c>
    </x:row>
    <x:row r="2258" spans="1:10">
      <x:c r="A2258" s="1" t="s">
        <x:v>2267</x:v>
      </x:c>
      <x:c r="B2258" s="1">
        <x:f>IFERROR(__xludf.DUMMYFUNCTION("""COMPUTED_VALUE"""),"El sopar dels idiotes")</x:f>
      </x:c>
      <x:c r="C2258" s="1">
        <x:f>IFERROR(__xludf.DUMMYFUNCTION("""COMPUTED_VALUE"""),"2023")</x:f>
      </x:c>
    </x:row>
    <x:row r="2259" spans="1:10">
      <x:c r="A2259" s="1" t="s">
        <x:v>2268</x:v>
      </x:c>
      <x:c r="B2259" s="1">
        <x:f>IFERROR(__xludf.DUMMYFUNCTION("""COMPUTED_VALUE"""),"El sopar guai de mames")</x:f>
      </x:c>
      <x:c r="C2259" s="1">
        <x:f>IFERROR(__xludf.DUMMYFUNCTION("""COMPUTED_VALUE"""),"2017")</x:f>
      </x:c>
    </x:row>
    <x:row r="2260" spans="1:10">
      <x:c r="A2260" s="1" t="s">
        <x:v>2269</x:v>
      </x:c>
      <x:c r="B2260" s="1">
        <x:f>IFERROR(__xludf.DUMMYFUNCTION("""COMPUTED_VALUE"""),"El sopar perfecte")</x:f>
      </x:c>
      <x:c r="C2260" s="1">
        <x:f>IFERROR(__xludf.DUMMYFUNCTION("""COMPUTED_VALUE"""),"2022")</x:f>
      </x:c>
    </x:row>
    <x:row r="2261" spans="1:10">
      <x:c r="A2261" s="1" t="s">
        <x:v>2270</x:v>
      </x:c>
      <x:c r="B2261" s="1">
        <x:f>IFERROR(__xludf.DUMMYFUNCTION("""COMPUTED_VALUE"""),"El Sostre Groc")</x:f>
      </x:c>
      <x:c r="C2261" s="1">
        <x:f>IFERROR(__xludf.DUMMYFUNCTION("""COMPUTED_VALUE"""),"2022")</x:f>
      </x:c>
    </x:row>
    <x:row r="2262" spans="1:10">
      <x:c r="A2262" s="1" t="s">
        <x:v>2271</x:v>
      </x:c>
      <x:c r="B2262" s="1">
        <x:f>IFERROR(__xludf.DUMMYFUNCTION("""COMPUTED_VALUE"""),"El Sr. Turner")</x:f>
      </x:c>
      <x:c r="C2262" s="1">
        <x:f>IFERROR(__xludf.DUMMYFUNCTION("""COMPUTED_VALUE"""),"2014")</x:f>
      </x:c>
    </x:row>
    <x:row r="2263" spans="1:10">
      <x:c r="A2263" s="1" t="s">
        <x:v>2272</x:v>
      </x:c>
      <x:c r="B2263" s="1">
        <x:f>IFERROR(__xludf.DUMMYFUNCTION("""COMPUTED_VALUE"""),"El submarí atòmic")</x:f>
      </x:c>
      <x:c r="C2263" s="1">
        <x:f>IFERROR(__xludf.DUMMYFUNCTION("""COMPUTED_VALUE"""),"1959")</x:f>
      </x:c>
    </x:row>
    <x:row r="2264" spans="1:10">
      <x:c r="A2264" s="1" t="s">
        <x:v>2273</x:v>
      </x:c>
      <x:c r="B2264" s="1">
        <x:f>IFERROR(__xludf.DUMMYFUNCTION("""COMPUTED_VALUE"""),"El super cangur")</x:f>
      </x:c>
      <x:c r="C2264" s="1">
        <x:f>IFERROR(__xludf.DUMMYFUNCTION("""COMPUTED_VALUE"""),"2010")</x:f>
      </x:c>
    </x:row>
    <x:row r="2265" spans="1:10">
      <x:c r="A2265" s="1" t="s">
        <x:v>2274</x:v>
      </x:c>
      <x:c r="B2265" s="1">
        <x:f>IFERROR(__xludf.DUMMYFUNCTION("""COMPUTED_VALUE"""),"El Superpoli a Las Vegas")</x:f>
      </x:c>
      <x:c r="C2265" s="1">
        <x:f>IFERROR(__xludf.DUMMYFUNCTION("""COMPUTED_VALUE"""),"2015")</x:f>
      </x:c>
    </x:row>
    <x:row r="2266" spans="1:10">
      <x:c r="A2266" s="1" t="s">
        <x:v>2275</x:v>
      </x:c>
      <x:c r="B2266" s="1">
        <x:f>IFERROR(__xludf.DUMMYFUNCTION("""COMPUTED_VALUE"""),"El superpoli del centre comercial")</x:f>
      </x:c>
      <x:c r="C2266" s="1">
        <x:f>IFERROR(__xludf.DUMMYFUNCTION("""COMPUTED_VALUE"""),"2009")</x:f>
      </x:c>
    </x:row>
    <x:row r="2267" spans="1:10">
      <x:c r="A2267" s="1" t="s">
        <x:v>2276</x:v>
      </x:c>
      <x:c r="B2267" s="1">
        <x:f>IFERROR(__xludf.DUMMYFUNCTION("""COMPUTED_VALUE"""),"El supervivent")</x:f>
      </x:c>
      <x:c r="C2267" s="1">
        <x:f>IFERROR(__xludf.DUMMYFUNCTION("""COMPUTED_VALUE"""),"2021")</x:f>
      </x:c>
    </x:row>
    <x:row r="2268" spans="1:10">
      <x:c r="A2268" s="1" t="s">
        <x:v>2277</x:v>
      </x:c>
      <x:c r="B2268" s="1">
        <x:f>IFERROR(__xludf.DUMMYFUNCTION("""COMPUTED_VALUE"""),"El swing de la Feliu")</x:f>
      </x:c>
      <x:c r="C2268" s="1">
        <x:f>IFERROR(__xludf.DUMMYFUNCTION("""COMPUTED_VALUE"""),"2024")</x:f>
      </x:c>
    </x:row>
    <x:row r="2269" spans="1:10">
      <x:c r="A2269" s="1" t="s">
        <x:v>2278</x:v>
      </x:c>
      <x:c r="B2269" s="1">
        <x:f>IFERROR(__xludf.DUMMYFUNCTION("""COMPUTED_VALUE"""),"El tallador de gespa")</x:f>
      </x:c>
      <x:c r="C2269" s="1">
        <x:f>IFERROR(__xludf.DUMMYFUNCTION("""COMPUTED_VALUE"""),"1992")</x:f>
      </x:c>
    </x:row>
    <x:row r="2270" spans="1:10">
      <x:c r="A2270" s="1" t="s">
        <x:v>2279</x:v>
      </x:c>
      <x:c r="B2270" s="1">
        <x:f>IFERROR(__xludf.DUMMYFUNCTION("""COMPUTED_VALUE"""),"El tallador de gespa 2: Més enllà del ciberespai")</x:f>
      </x:c>
      <x:c r="C2270" s="1">
        <x:f>IFERROR(__xludf.DUMMYFUNCTION("""COMPUTED_VALUE"""),"1996")</x:f>
      </x:c>
    </x:row>
    <x:row r="2271" spans="1:10">
      <x:c r="A2271" s="1" t="s">
        <x:v>2280</x:v>
      </x:c>
      <x:c r="B2271" s="1">
        <x:f>IFERROR(__xludf.DUMMYFUNCTION("""COMPUTED_VALUE"""),"El talp")</x:f>
      </x:c>
      <x:c r="C2271" s="1">
        <x:f>IFERROR(__xludf.DUMMYFUNCTION("""COMPUTED_VALUE"""),"2011")</x:f>
      </x:c>
    </x:row>
    <x:row r="2272" spans="1:10">
      <x:c r="A2272" s="1" t="s">
        <x:v>2281</x:v>
      </x:c>
      <x:c r="B2272" s="1">
        <x:f>IFERROR(__xludf.DUMMYFUNCTION("""COMPUTED_VALUE"""),"El tast de vins")</x:f>
      </x:c>
      <x:c r="C2272" s="1">
        <x:f>IFERROR(__xludf.DUMMYFUNCTION("""COMPUTED_VALUE"""),"2022")</x:f>
      </x:c>
    </x:row>
    <x:row r="2273" spans="1:10">
      <x:c r="A2273" s="1" t="s">
        <x:v>2282</x:v>
      </x:c>
      <x:c r="B2273" s="1">
        <x:f>IFERROR(__xludf.DUMMYFUNCTION("""COMPUTED_VALUE"""),"El tauró de l'Spielberg")</x:f>
      </x:c>
      <x:c r="C2273" s="1">
        <x:f>IFERROR(__xludf.DUMMYFUNCTION("""COMPUTED_VALUE"""),"2024")</x:f>
      </x:c>
    </x:row>
    <x:row r="2274" spans="1:10">
      <x:c r="A2274" s="1" t="s">
        <x:v>2283</x:v>
      </x:c>
      <x:c r="B2274" s="1">
        <x:f>IFERROR(__xludf.DUMMYFUNCTION("""COMPUTED_VALUE"""),"El taxista ful")</x:f>
      </x:c>
      <x:c r="C2274" s="1">
        <x:f>IFERROR(__xludf.DUMMYFUNCTION("""COMPUTED_VALUE"""),"2005")</x:f>
      </x:c>
    </x:row>
    <x:row r="2275" spans="1:10">
      <x:c r="A2275" s="1" t="s">
        <x:v>2284</x:v>
      </x:c>
      <x:c r="B2275" s="1">
        <x:f>IFERROR(__xludf.DUMMYFUNCTION("""COMPUTED_VALUE"""),"El Tchadar el camí del gel")</x:f>
      </x:c>
      <x:c r="C2275" s="1">
        <x:f>IFERROR(__xludf.DUMMYFUNCTION("""COMPUTED_VALUE"""),"1990")</x:f>
      </x:c>
    </x:row>
    <x:row r="2276" spans="1:10">
      <x:c r="A2276" s="1" t="s">
        <x:v>2285</x:v>
      </x:c>
      <x:c r="B2276" s="1">
        <x:f>IFERROR(__xludf.DUMMYFUNCTION("""COMPUTED_VALUE"""),"El temible burleta")</x:f>
      </x:c>
      <x:c r="C2276" s="1">
        <x:f>IFERROR(__xludf.DUMMYFUNCTION("""COMPUTED_VALUE"""),"1952")</x:f>
      </x:c>
    </x:row>
    <x:row r="2277" spans="1:10">
      <x:c r="A2277" s="1" t="s">
        <x:v>2286</x:v>
      </x:c>
      <x:c r="B2277" s="1">
        <x:f>IFERROR(__xludf.DUMMYFUNCTION("""COMPUTED_VALUE"""),"El temple del Sol")</x:f>
      </x:c>
      <x:c r="C2277" s="1">
        <x:f>IFERROR(__xludf.DUMMYFUNCTION("""COMPUTED_VALUE"""),"1991")</x:f>
      </x:c>
    </x:row>
    <x:row r="2278" spans="1:10">
      <x:c r="A2278" s="1" t="s">
        <x:v>2287</x:v>
      </x:c>
      <x:c r="B2278" s="1">
        <x:f>IFERROR(__xludf.DUMMYFUNCTION("""COMPUTED_VALUE"""),"El temps amb tu")</x:f>
      </x:c>
      <x:c r="C2278" s="1">
        <x:f>IFERROR(__xludf.DUMMYFUNCTION("""COMPUTED_VALUE"""),"2019")</x:f>
      </x:c>
    </x:row>
    <x:row r="2279" spans="1:10">
      <x:c r="A2279" s="1" t="s">
        <x:v>2288</x:v>
      </x:c>
      <x:c r="B2279" s="1">
        <x:f>IFERROR(__xludf.DUMMYFUNCTION("""COMPUTED_VALUE"""),"El temps i els Conway")</x:f>
      </x:c>
      <x:c r="C2279" s="1">
        <x:f>IFERROR(__xludf.DUMMYFUNCTION("""COMPUTED_VALUE"""),"1993")</x:f>
      </x:c>
    </x:row>
    <x:row r="2280" spans="1:10">
      <x:c r="A2280" s="1" t="s">
        <x:v>2289</x:v>
      </x:c>
      <x:c r="B2280" s="1">
        <x:f>IFERROR(__xludf.DUMMYFUNCTION("""COMPUTED_VALUE"""),"El temps que queda")</x:f>
      </x:c>
      <x:c r="C2280" s="1">
        <x:f>IFERROR(__xludf.DUMMYFUNCTION("""COMPUTED_VALUE"""),"2005")</x:f>
      </x:c>
    </x:row>
    <x:row r="2281" spans="1:10">
      <x:c r="A2281" s="1" t="s">
        <x:v>2290</x:v>
      </x:c>
      <x:c r="B2281" s="1">
        <x:f>IFERROR(__xludf.DUMMYFUNCTION("""COMPUTED_VALUE"""),"El tercer home")</x:f>
      </x:c>
      <x:c r="C2281" s="1">
        <x:f>IFERROR(__xludf.DUMMYFUNCTION("""COMPUTED_VALUE"""),"1949")</x:f>
      </x:c>
    </x:row>
    <x:row r="2282" spans="1:10">
      <x:c r="A2282" s="1" t="s">
        <x:v>2291</x:v>
      </x:c>
      <x:c r="B2282" s="1">
        <x:f>IFERROR(__xludf.DUMMYFUNCTION("""COMPUTED_VALUE"""),"El territori de la bèstia")</x:f>
      </x:c>
      <x:c r="C2282" s="1">
        <x:f>IFERROR(__xludf.DUMMYFUNCTION("""COMPUTED_VALUE"""),"2007")</x:f>
      </x:c>
    </x:row>
    <x:row r="2283" spans="1:10">
      <x:c r="A2283" s="1" t="s">
        <x:v>2292</x:v>
      </x:c>
      <x:c r="B2283" s="1">
        <x:f>IFERROR(__xludf.DUMMYFUNCTION("""COMPUTED_VALUE"""),"El terror")</x:f>
      </x:c>
      <x:c r="C2283" s="1">
        <x:f>IFERROR(__xludf.DUMMYFUNCTION("""COMPUTED_VALUE"""),"1963")</x:f>
      </x:c>
    </x:row>
    <x:row r="2284" spans="1:10">
      <x:c r="A2284" s="1" t="s">
        <x:v>2293</x:v>
      </x:c>
      <x:c r="B2284" s="1">
        <x:f>IFERROR(__xludf.DUMMYFUNCTION("""COMPUTED_VALUE"""),"El testament de la Rosa")</x:f>
      </x:c>
      <x:c r="C2284" s="1">
        <x:f>IFERROR(__xludf.DUMMYFUNCTION("""COMPUTED_VALUE"""),"2015")</x:f>
      </x:c>
    </x:row>
    <x:row r="2285" spans="1:10">
      <x:c r="A2285" s="1" t="s">
        <x:v>2294</x:v>
      </x:c>
      <x:c r="B2285" s="1">
        <x:f>IFERROR(__xludf.DUMMYFUNCTION("""COMPUTED_VALUE"""),"El testament del Dr. Mabuse [VOSC]")</x:f>
      </x:c>
      <x:c r="C2285" s="1">
        <x:f>IFERROR(__xludf.DUMMYFUNCTION("""COMPUTED_VALUE"""),"1933")</x:f>
      </x:c>
    </x:row>
    <x:row r="2286" spans="1:10">
      <x:c r="A2286" s="1" t="s">
        <x:v>2295</x:v>
      </x:c>
      <x:c r="B2286" s="1">
        <x:f>IFERROR(__xludf.DUMMYFUNCTION("""COMPUTED_VALUE"""),"El teu color")</x:f>
      </x:c>
      <x:c r="C2286" s="1">
        <x:f>IFERROR(__xludf.DUMMYFUNCTION("""COMPUTED_VALUE"""),"2024")</x:f>
      </x:c>
    </x:row>
    <x:row r="2287" spans="1:10">
      <x:c r="A2287" s="1" t="s">
        <x:v>2296</x:v>
      </x:c>
      <x:c r="B2287" s="1">
        <x:f>IFERROR(__xludf.DUMMYFUNCTION("""COMPUTED_VALUE"""),"El teu Nadal o el meu 2")</x:f>
      </x:c>
      <x:c r="C2287" s="1">
        <x:f>IFERROR(__xludf.DUMMYFUNCTION("""COMPUTED_VALUE"""),"2023")</x:f>
      </x:c>
    </x:row>
    <x:row r="2288" spans="1:10">
      <x:c r="A2288" s="1" t="s">
        <x:v>2297</x:v>
      </x:c>
      <x:c r="B2288" s="1">
        <x:f>IFERROR(__xludf.DUMMYFUNCTION("""COMPUTED_VALUE"""),"El tigre i la neu")</x:f>
      </x:c>
      <x:c r="C2288" s="1">
        <x:f>IFERROR(__xludf.DUMMYFUNCTION("""COMPUTED_VALUE"""),"2005")</x:f>
      </x:c>
    </x:row>
    <x:row r="2289" spans="1:10">
      <x:c r="A2289" s="1" t="s">
        <x:v>2298</x:v>
      </x:c>
      <x:c r="B2289" s="1">
        <x:f>IFERROR(__xludf.DUMMYFUNCTION("""COMPUTED_VALUE"""),"El tigre sense ratlles")</x:f>
      </x:c>
      <x:c r="C2289" s="1">
        <x:f>IFERROR(__xludf.DUMMYFUNCTION("""COMPUTED_VALUE"""),"2018")</x:f>
      </x:c>
    </x:row>
    <x:row r="2290" spans="1:10">
      <x:c r="A2290" s="1" t="s">
        <x:v>2299</x:v>
      </x:c>
      <x:c r="B2290" s="1">
        <x:f>IFERROR(__xludf.DUMMYFUNCTION("""COMPUTED_VALUE"""),"El tram final")</x:f>
      </x:c>
      <x:c r="C2290" s="1">
        <x:f>IFERROR(__xludf.DUMMYFUNCTION("""COMPUTED_VALUE"""),"2016")</x:f>
      </x:c>
    </x:row>
    <x:row r="2291" spans="1:10">
      <x:c r="A2291" s="1" t="s">
        <x:v>2300</x:v>
      </x:c>
      <x:c r="B2291" s="1">
        <x:f>IFERROR(__xludf.DUMMYFUNCTION("""COMPUTED_VALUE"""),"El trànsfuga")</x:f>
      </x:c>
      <x:c r="C2291" s="1">
        <x:f>IFERROR(__xludf.DUMMYFUNCTION("""COMPUTED_VALUE"""),"2003")</x:f>
      </x:c>
    </x:row>
    <x:row r="2292" spans="1:10">
      <x:c r="A2292" s="1" t="s">
        <x:v>2301</x:v>
      </x:c>
      <x:c r="B2292" s="1">
        <x:f>IFERROR(__xludf.DUMMYFUNCTION("""COMPUTED_VALUE"""),"El tren")</x:f>
      </x:c>
      <x:c r="C2292" s="1">
        <x:f>IFERROR(__xludf.DUMMYFUNCTION("""COMPUTED_VALUE"""),"1964")</x:f>
      </x:c>
    </x:row>
    <x:row r="2293" spans="1:10">
      <x:c r="A2293" s="1" t="s">
        <x:v>2302</x:v>
      </x:c>
      <x:c r="B2293" s="1">
        <x:f>IFERROR(__xludf.DUMMYFUNCTION("""COMPUTED_VALUE"""),"El tren de les tres i deu")</x:f>
      </x:c>
      <x:c r="C2293" s="1">
        <x:f>IFERROR(__xludf.DUMMYFUNCTION("""COMPUTED_VALUE"""),"2007")</x:f>
      </x:c>
    </x:row>
    <x:row r="2294" spans="1:10">
      <x:c r="A2294" s="1" t="s">
        <x:v>2303</x:v>
      </x:c>
      <x:c r="B2294" s="1">
        <x:f>IFERROR(__xludf.DUMMYFUNCTION("""COMPUTED_VALUE"""),"El tren del terror")</x:f>
      </x:c>
      <x:c r="C2294" s="1">
        <x:f>IFERROR(__xludf.DUMMYFUNCTION("""COMPUTED_VALUE"""),"1980")</x:f>
      </x:c>
    </x:row>
    <x:row r="2295" spans="1:10">
      <x:c r="A2295" s="1" t="s">
        <x:v>2304</x:v>
      </x:c>
      <x:c r="B2295" s="1">
        <x:f>IFERROR(__xludf.DUMMYFUNCTION("""COMPUTED_VALUE"""),"El tren dels espies")</x:f>
      </x:c>
      <x:c r="C2295" s="1">
        <x:f>IFERROR(__xludf.DUMMYFUNCTION("""COMPUTED_VALUE"""),"1979")</x:f>
      </x:c>
    </x:row>
    <x:row r="2296" spans="1:10">
      <x:c r="A2296" s="1" t="s">
        <x:v>2305</x:v>
      </x:c>
      <x:c r="B2296" s="1">
        <x:f>IFERROR(__xludf.DUMMYFUNCTION("""COMPUTED_VALUE"""),"El trencanous")</x:f>
      </x:c>
      <x:c r="C2296" s="1">
        <x:f>IFERROR(__xludf.DUMMYFUNCTION("""COMPUTED_VALUE"""),"2010")</x:f>
      </x:c>
    </x:row>
    <x:row r="2297" spans="1:10">
      <x:c r="A2297" s="1" t="s">
        <x:v>2306</x:v>
      </x:c>
      <x:c r="B2297" s="1">
        <x:f>IFERROR(__xludf.DUMMYFUNCTION("""COMPUTED_VALUE"""),"El tresor de Barracuda")</x:f>
      </x:c>
      <x:c r="C2297" s="1">
        <x:f>IFERROR(__xludf.DUMMYFUNCTION("""COMPUTED_VALUE"""),"2025")</x:f>
      </x:c>
    </x:row>
    <x:row r="2298" spans="1:10">
      <x:c r="A2298" s="1" t="s">
        <x:v>2307</x:v>
      </x:c>
      <x:c r="B2298" s="1">
        <x:f>IFERROR(__xludf.DUMMYFUNCTION("""COMPUTED_VALUE"""),"El tresor de Curly")</x:f>
      </x:c>
      <x:c r="C2298" s="1">
        <x:f>IFERROR(__xludf.DUMMYFUNCTION("""COMPUTED_VALUE"""),"1994")</x:f>
      </x:c>
    </x:row>
    <x:row r="2299" spans="1:10">
      <x:c r="A2299" s="1" t="s">
        <x:v>2308</x:v>
      </x:c>
      <x:c r="B2299" s="1">
        <x:f>IFERROR(__xludf.DUMMYFUNCTION("""COMPUTED_VALUE"""),"El Tresor de Rackham el Roig")</x:f>
      </x:c>
      <x:c r="C2299" s="1">
        <x:f>IFERROR(__xludf.DUMMYFUNCTION("""COMPUTED_VALUE"""),"1991")</x:f>
      </x:c>
    </x:row>
    <x:row r="2300" spans="1:10">
      <x:c r="A2300" s="1" t="s">
        <x:v>2309</x:v>
      </x:c>
      <x:c r="B2300" s="1">
        <x:f>IFERROR(__xludf.DUMMYFUNCTION("""COMPUTED_VALUE"""),"El triangle de la tristesa")</x:f>
      </x:c>
      <x:c r="C2300" s="1">
        <x:f>IFERROR(__xludf.DUMMYFUNCTION("""COMPUTED_VALUE"""),"2022")</x:f>
      </x:c>
    </x:row>
    <x:row r="2301" spans="1:10">
      <x:c r="A2301" s="1" t="s">
        <x:v>2310</x:v>
      </x:c>
      <x:c r="B2301" s="1">
        <x:f>IFERROR(__xludf.DUMMYFUNCTION("""COMPUTED_VALUE"""),"El triangle de les Bermudes")</x:f>
      </x:c>
      <x:c r="C2301" s="1">
        <x:f>IFERROR(__xludf.DUMMYFUNCTION("""COMPUTED_VALUE"""),"1996")</x:f>
      </x:c>
    </x:row>
    <x:row r="2302" spans="1:10">
      <x:c r="A2302" s="1" t="s">
        <x:v>2311</x:v>
      </x:c>
      <x:c r="B2302" s="1">
        <x:f>IFERROR(__xludf.DUMMYFUNCTION("""COMPUTED_VALUE"""),"El triomf")</x:f>
      </x:c>
      <x:c r="C2302" s="1">
        <x:f>IFERROR(__xludf.DUMMYFUNCTION("""COMPUTED_VALUE"""),"2020")</x:f>
      </x:c>
    </x:row>
    <x:row r="2303" spans="1:10">
      <x:c r="A2303" s="1" t="s">
        <x:v>2312</x:v>
      </x:c>
      <x:c r="B2303" s="1">
        <x:f>IFERROR(__xludf.DUMMYFUNCTION("""COMPUTED_VALUE"""),"El triomf de l'amor")</x:f>
      </x:c>
      <x:c r="C2303" s="1">
        <x:f>IFERROR(__xludf.DUMMYFUNCTION("""COMPUTED_VALUE"""),"2001")</x:f>
      </x:c>
    </x:row>
    <x:row r="2304" spans="1:10">
      <x:c r="A2304" s="1" t="s">
        <x:v>2313</x:v>
      </x:c>
      <x:c r="B2304" s="1">
        <x:f>IFERROR(__xludf.DUMMYFUNCTION("""COMPUTED_VALUE"""),"El tro blau")</x:f>
      </x:c>
      <x:c r="C2304" s="1">
        <x:f>IFERROR(__xludf.DUMMYFUNCTION("""COMPUTED_VALUE"""),"1983")</x:f>
      </x:c>
    </x:row>
    <x:row r="2305" spans="1:10">
      <x:c r="A2305" s="1" t="s">
        <x:v>2314</x:v>
      </x:c>
      <x:c r="B2305" s="1">
        <x:f>IFERROR(__xludf.DUMMYFUNCTION("""COMPUTED_VALUE"""),"El truc final")</x:f>
      </x:c>
      <x:c r="C2305" s="1">
        <x:f>IFERROR(__xludf.DUMMYFUNCTION("""COMPUTED_VALUE"""),"2006")</x:f>
      </x:c>
    </x:row>
    <x:row r="2306" spans="1:10">
      <x:c r="A2306" s="1" t="s">
        <x:v>2315</x:v>
      </x:c>
      <x:c r="B2306" s="1">
        <x:f>IFERROR(__xludf.DUMMYFUNCTION("""COMPUTED_VALUE"""),"El túnel dels desitjos")</x:f>
      </x:c>
      <x:c r="C2306" s="1">
        <x:f>IFERROR(__xludf.DUMMYFUNCTION("""COMPUTED_VALUE"""),"2022")</x:f>
      </x:c>
    </x:row>
    <x:row r="2307" spans="1:10">
      <x:c r="A2307" s="1" t="s">
        <x:v>2316</x:v>
      </x:c>
      <x:c r="B2307" s="1">
        <x:f>IFERROR(__xludf.DUMMYFUNCTION("""COMPUTED_VALUE"""),"El turista")</x:f>
      </x:c>
      <x:c r="C2307" s="1">
        <x:f>IFERROR(__xludf.DUMMYFUNCTION("""COMPUTED_VALUE"""),"2010")</x:f>
      </x:c>
    </x:row>
    <x:row r="2308" spans="1:10">
      <x:c r="A2308" s="1" t="s">
        <x:v>2317</x:v>
      </x:c>
      <x:c r="B2308" s="1">
        <x:f>IFERROR(__xludf.DUMMYFUNCTION("""COMPUTED_VALUE"""),"El turó de les roselles")</x:f>
      </x:c>
      <x:c r="C2308" s="1">
        <x:f>IFERROR(__xludf.DUMMYFUNCTION("""COMPUTED_VALUE"""),"2011")</x:f>
      </x:c>
    </x:row>
    <x:row r="2309" spans="1:10">
      <x:c r="A2309" s="1" t="s">
        <x:v>2318</x:v>
      </x:c>
      <x:c r="B2309" s="1">
        <x:f>IFERROR(__xludf.DUMMYFUNCTION("""COMPUTED_VALUE"""),"El vaixell de l'amor")</x:f>
      </x:c>
      <x:c r="C2309" s="1">
        <x:f>IFERROR(__xludf.DUMMYFUNCTION("""COMPUTED_VALUE"""),"2024")</x:f>
      </x:c>
    </x:row>
    <x:row r="2310" spans="1:10">
      <x:c r="A2310" s="1" t="s">
        <x:v>2319</x:v>
      </x:c>
      <x:c r="B2310" s="1">
        <x:f>IFERROR(__xludf.DUMMYFUNCTION("""COMPUTED_VALUE"""),"El valent Despereaux")</x:f>
      </x:c>
      <x:c r="C2310" s="1">
        <x:f>IFERROR(__xludf.DUMMYFUNCTION("""COMPUTED_VALUE"""),"2008")</x:f>
      </x:c>
    </x:row>
    <x:row r="2311" spans="1:10">
      <x:c r="A2311" s="1" t="s">
        <x:v>2320</x:v>
      </x:c>
      <x:c r="B2311" s="1">
        <x:f>IFERROR(__xludf.DUMMYFUNCTION("""COMPUTED_VALUE"""),"El vel pintat")</x:f>
      </x:c>
      <x:c r="C2311" s="1">
        <x:f>IFERROR(__xludf.DUMMYFUNCTION("""COMPUTED_VALUE"""),"2006")</x:f>
      </x:c>
    </x:row>
    <x:row r="2312" spans="1:10">
      <x:c r="A2312" s="1" t="s">
        <x:v>2321</x:v>
      </x:c>
      <x:c r="B2312" s="1">
        <x:f>IFERROR(__xludf.DUMMYFUNCTION("""COMPUTED_VALUE"""),"El veler")</x:f>
      </x:c>
      <x:c r="C2312" s="1">
        <x:f>IFERROR(__xludf.DUMMYFUNCTION("""COMPUTED_VALUE"""),"2018")</x:f>
      </x:c>
    </x:row>
    <x:row r="2313" spans="1:10">
      <x:c r="A2313" s="1" t="s">
        <x:v>2322</x:v>
      </x:c>
      <x:c r="B2313" s="1">
        <x:f>IFERROR(__xludf.DUMMYFUNCTION("""COMPUTED_VALUE"""),"El vell Henry")</x:f>
      </x:c>
      <x:c r="C2313" s="1">
        <x:f>IFERROR(__xludf.DUMMYFUNCTION("""COMPUTED_VALUE"""),"2021")</x:f>
      </x:c>
    </x:row>
    <x:row r="2314" spans="1:10">
      <x:c r="A2314" s="1" t="s">
        <x:v>2323</x:v>
      </x:c>
      <x:c r="B2314" s="1">
        <x:f>IFERROR(__xludf.DUMMYFUNCTION("""COMPUTED_VALUE"""),"El vell i la mar")</x:f>
      </x:c>
      <x:c r="C2314" s="1">
        <x:f>IFERROR(__xludf.DUMMYFUNCTION("""COMPUTED_VALUE"""),"1958")</x:f>
      </x:c>
    </x:row>
    <x:row r="2315" spans="1:10">
      <x:c r="A2315" s="1" t="s">
        <x:v>2324</x:v>
      </x:c>
      <x:c r="B2315" s="1">
        <x:f>IFERROR(__xludf.DUMMYFUNCTION("""COMPUTED_VALUE"""),"El vell i la pistola")</x:f>
      </x:c>
      <x:c r="C2315" s="1">
        <x:f>IFERROR(__xludf.DUMMYFUNCTION("""COMPUTED_VALUE"""),"2018")</x:f>
      </x:c>
    </x:row>
    <x:row r="2316" spans="1:10">
      <x:c r="A2316" s="1" t="s">
        <x:v>2325</x:v>
      </x:c>
      <x:c r="B2316" s="1">
        <x:f>IFERROR(__xludf.DUMMYFUNCTION("""COMPUTED_VALUE"""),"El vendedor de tabac")</x:f>
      </x:c>
      <x:c r="C2316" s="1">
        <x:f>IFERROR(__xludf.DUMMYFUNCTION("""COMPUTED_VALUE"""),"2018")</x:f>
      </x:c>
    </x:row>
    <x:row r="2317" spans="1:10">
      <x:c r="A2317" s="1" t="s">
        <x:v>2326</x:v>
      </x:c>
      <x:c r="B2317" s="1">
        <x:f>IFERROR(__xludf.DUMMYFUNCTION("""COMPUTED_VALUE"""),"El venedor de tabac")</x:f>
      </x:c>
      <x:c r="C2317" s="1">
        <x:f>IFERROR(__xludf.DUMMYFUNCTION("""COMPUTED_VALUE"""),"2018")</x:f>
      </x:c>
    </x:row>
    <x:row r="2318" spans="1:10">
      <x:c r="A2318" s="1" t="s">
        <x:v>2327</x:v>
      </x:c>
      <x:c r="B2318" s="1">
        <x:f>IFERROR(__xludf.DUMMYFUNCTION("""COMPUTED_VALUE"""),"El venjador tòxic")</x:f>
      </x:c>
      <x:c r="C2318" s="1">
        <x:f>IFERROR(__xludf.DUMMYFUNCTION("""COMPUTED_VALUE"""),"2023")</x:f>
      </x:c>
    </x:row>
    <x:row r="2319" spans="1:10">
      <x:c r="A2319" s="1" t="s">
        <x:v>2328</x:v>
      </x:c>
      <x:c r="B2319" s="1">
        <x:f>IFERROR(__xludf.DUMMYFUNCTION("""COMPUTED_VALUE"""),"El vent entre les canyes")</x:f>
      </x:c>
      <x:c r="C2319" s="1">
        <x:f>IFERROR(__xludf.DUMMYFUNCTION("""COMPUTED_VALUE"""),"2017")</x:f>
      </x:c>
    </x:row>
    <x:row r="2320" spans="1:10">
      <x:c r="A2320" s="1" t="s">
        <x:v>2329</x:v>
      </x:c>
      <x:c r="B2320" s="1">
        <x:f>IFERROR(__xludf.DUMMYFUNCTION("""COMPUTED_VALUE"""),"El vent s'aixeca")</x:f>
      </x:c>
      <x:c r="C2320" s="1">
        <x:f>IFERROR(__xludf.DUMMYFUNCTION("""COMPUTED_VALUE"""),"2013")</x:f>
      </x:c>
    </x:row>
    <x:row r="2321" spans="1:10">
      <x:c r="A2321" s="1" t="s">
        <x:v>2330</x:v>
      </x:c>
      <x:c r="B2321" s="1">
        <x:f>IFERROR(__xludf.DUMMYFUNCTION("""COMPUTED_VALUE"""),"El ventre del mar")</x:f>
      </x:c>
      <x:c r="C2321" s="1">
        <x:f>IFERROR(__xludf.DUMMYFUNCTION("""COMPUTED_VALUE"""),"2021")</x:f>
      </x:c>
    </x:row>
    <x:row r="2322" spans="1:10">
      <x:c r="A2322" s="1" t="s">
        <x:v>2331</x:v>
      </x:c>
      <x:c r="B2322" s="1">
        <x:f>IFERROR(__xludf.DUMMYFUNCTION("""COMPUTED_VALUE"""),"El veredicte. La llei del menor")</x:f>
      </x:c>
      <x:c r="C2322" s="1">
        <x:f>IFERROR(__xludf.DUMMYFUNCTION("""COMPUTED_VALUE"""),"2018")</x:f>
      </x:c>
    </x:row>
    <x:row r="2323" spans="1:10">
      <x:c r="A2323" s="1" t="s">
        <x:v>2332</x:v>
      </x:c>
      <x:c r="B2323" s="1">
        <x:f>IFERROR(__xludf.DUMMYFUNCTION("""COMPUTED_VALUE"""),"El viatge d'en Harold")</x:f>
      </x:c>
      <x:c r="C2323" s="1">
        <x:f>IFERROR(__xludf.DUMMYFUNCTION("""COMPUTED_VALUE"""),"2023")</x:f>
      </x:c>
    </x:row>
    <x:row r="2324" spans="1:10">
      <x:c r="A2324" s="1" t="s">
        <x:v>2333</x:v>
      </x:c>
      <x:c r="B2324" s="1">
        <x:f>IFERROR(__xludf.DUMMYFUNCTION("""COMPUTED_VALUE"""),"El viatge d'Ernest i Célestine")</x:f>
      </x:c>
      <x:c r="C2324" s="1">
        <x:f>IFERROR(__xludf.DUMMYFUNCTION("""COMPUTED_VALUE"""),"2022")</x:f>
      </x:c>
    </x:row>
    <x:row r="2325" spans="1:10">
      <x:c r="A2325" s="1" t="s">
        <x:v>2334</x:v>
      </x:c>
      <x:c r="B2325" s="1">
        <x:f>IFERROR(__xludf.DUMMYFUNCTION("""COMPUTED_VALUE"""),"El viatge de Bu")</x:f>
      </x:c>
      <x:c r="C2325" s="1">
        <x:f>IFERROR(__xludf.DUMMYFUNCTION("""COMPUTED_VALUE"""),"2019")</x:f>
      </x:c>
    </x:row>
    <x:row r="2326" spans="1:10">
      <x:c r="A2326" s="1" t="s">
        <x:v>2335</x:v>
      </x:c>
      <x:c r="B2326" s="1">
        <x:f>IFERROR(__xludf.DUMMYFUNCTION("""COMPUTED_VALUE"""),"El viatge de Chihiro")</x:f>
      </x:c>
      <x:c r="C2326" s="1">
        <x:f>IFERROR(__xludf.DUMMYFUNCTION("""COMPUTED_VALUE"""),"2001")</x:f>
      </x:c>
    </x:row>
    <x:row r="2327" spans="1:10">
      <x:c r="A2327" s="1" t="s">
        <x:v>2336</x:v>
      </x:c>
      <x:c r="B2327" s="1">
        <x:f>IFERROR(__xludf.DUMMYFUNCTION("""COMPUTED_VALUE"""),"El viatge de l'emperador")</x:f>
      </x:c>
      <x:c r="C2327" s="1">
        <x:f>IFERROR(__xludf.DUMMYFUNCTION("""COMPUTED_VALUE"""),"2005")</x:f>
      </x:c>
    </x:row>
    <x:row r="2328" spans="1:10">
      <x:c r="A2328" s="1" t="s">
        <x:v>2337</x:v>
      </x:c>
      <x:c r="B2328" s="1">
        <x:f>IFERROR(__xludf.DUMMYFUNCTION("""COMPUTED_VALUE"""),"El viatge de l'Unai")</x:f>
      </x:c>
      <x:c r="C2328" s="1">
        <x:f>IFERROR(__xludf.DUMMYFUNCTION("""COMPUTED_VALUE"""),"2016")</x:f>
      </x:c>
    </x:row>
    <x:row r="2329" spans="1:10">
      <x:c r="A2329" s="1" t="s">
        <x:v>2338</x:v>
      </x:c>
      <x:c r="B2329" s="1">
        <x:f>IFERROR(__xludf.DUMMYFUNCTION("""COMPUTED_VALUE"""),"El viatge de la Bettie")</x:f>
      </x:c>
      <x:c r="C2329" s="1">
        <x:f>IFERROR(__xludf.DUMMYFUNCTION("""COMPUTED_VALUE"""),"2013")</x:f>
      </x:c>
    </x:row>
    <x:row r="2330" spans="1:10">
      <x:c r="A2330" s="1" t="s">
        <x:v>2339</x:v>
      </x:c>
      <x:c r="B2330" s="1">
        <x:f>IFERROR(__xludf.DUMMYFUNCTION("""COMPUTED_VALUE"""),"El viatge de la Fanny")</x:f>
      </x:c>
      <x:c r="C2330" s="1">
        <x:f>IFERROR(__xludf.DUMMYFUNCTION("""COMPUTED_VALUE"""),"2015")</x:f>
      </x:c>
    </x:row>
    <x:row r="2331" spans="1:10">
      <x:c r="A2331" s="1" t="s">
        <x:v>2340</x:v>
      </x:c>
      <x:c r="B2331" s="1">
        <x:f>IFERROR(__xludf.DUMMYFUNCTION("""COMPUTED_VALUE"""),"El viatge de la Jane")</x:f>
      </x:c>
      <x:c r="C2331" s="1">
        <x:f>IFERROR(__xludf.DUMMYFUNCTION("""COMPUTED_VALUE"""),"2010")</x:f>
      </x:c>
    </x:row>
    <x:row r="2332" spans="1:10">
      <x:c r="A2332" s="1" t="s">
        <x:v>2341</x:v>
      </x:c>
      <x:c r="B2332" s="1">
        <x:f>IFERROR(__xludf.DUMMYFUNCTION("""COMPUTED_VALUE"""),"El viatge de la Marta")</x:f>
      </x:c>
      <x:c r="C2332" s="1">
        <x:f>IFERROR(__xludf.DUMMYFUNCTION("""COMPUTED_VALUE"""),"2019")</x:f>
      </x:c>
    </x:row>
    <x:row r="2333" spans="1:10">
      <x:c r="A2333" s="1" t="s">
        <x:v>2342</x:v>
      </x:c>
      <x:c r="B2333" s="1">
        <x:f>IFERROR(__xludf.DUMMYFUNCTION("""COMPUTED_VALUE"""),"El viatge de la nostra vida")</x:f>
      </x:c>
      <x:c r="C2333" s="1">
        <x:f>IFERROR(__xludf.DUMMYFUNCTION("""COMPUTED_VALUE"""),"2006")</x:f>
      </x:c>
    </x:row>
    <x:row r="2334" spans="1:10">
      <x:c r="A2334" s="1" t="s">
        <x:v>2343</x:v>
      </x:c>
      <x:c r="B2334" s="1">
        <x:f>IFERROR(__xludf.DUMMYFUNCTION("""COMPUTED_VALUE"""),"El viatge de la seva vida")</x:f>
      </x:c>
      <x:c r="C2334" s="1">
        <x:f>IFERROR(__xludf.DUMMYFUNCTION("""COMPUTED_VALUE"""),"2017")</x:f>
      </x:c>
    </x:row>
    <x:row r="2335" spans="1:10">
      <x:c r="A2335" s="1" t="s">
        <x:v>2344</x:v>
      </x:c>
      <x:c r="B2335" s="1">
        <x:f>IFERROR(__xludf.DUMMYFUNCTION("""COMPUTED_VALUE"""),"El viatge de les seves vides")</x:f>
      </x:c>
      <x:c r="C2335" s="1">
        <x:f>IFERROR(__xludf.DUMMYFUNCTION("""COMPUTED_VALUE"""),"2017")</x:f>
      </x:c>
    </x:row>
    <x:row r="2336" spans="1:10">
      <x:c r="A2336" s="1" t="s">
        <x:v>2345</x:v>
      </x:c>
      <x:c r="B2336" s="1">
        <x:f>IFERROR(__xludf.DUMMYFUNCTION("""COMPUTED_VALUE"""),"El viatge de Nisha")</x:f>
      </x:c>
      <x:c r="C2336" s="1">
        <x:f>IFERROR(__xludf.DUMMYFUNCTION("""COMPUTED_VALUE"""),"2017")</x:f>
      </x:c>
    </x:row>
    <x:row r="2337" spans="1:10">
      <x:c r="A2337" s="1" t="s">
        <x:v>2346</x:v>
      </x:c>
      <x:c r="B2337" s="1">
        <x:f>IFERROR(__xludf.DUMMYFUNCTION("""COMPUTED_VALUE"""),"El viatge del Popeye")</x:f>
      </x:c>
      <x:c r="C2337" s="1">
        <x:f>IFERROR(__xludf.DUMMYFUNCTION("""COMPUTED_VALUE"""),"2004")</x:f>
      </x:c>
    </x:row>
    <x:row r="2338" spans="1:10">
      <x:c r="A2338" s="1" t="s">
        <x:v>2347</x:v>
      </x:c>
      <x:c r="B2338" s="1">
        <x:f>IFERROR(__xludf.DUMMYFUNCTION("""COMPUTED_VALUE"""),"El viatge fantàstic a Oz")</x:f>
      </x:c>
      <x:c r="C2338" s="1">
        <x:f>IFERROR(__xludf.DUMMYFUNCTION("""COMPUTED_VALUE"""),"2017")</x:f>
      </x:c>
    </x:row>
    <x:row r="2339" spans="1:10">
      <x:c r="A2339" s="1" t="s">
        <x:v>2348</x:v>
      </x:c>
      <x:c r="B2339" s="1">
        <x:f>IFERROR(__xludf.DUMMYFUNCTION("""COMPUTED_VALUE"""),"El viatge fantàstic de Simbad")</x:f>
      </x:c>
      <x:c r="C2339" s="1">
        <x:f>IFERROR(__xludf.DUMMYFUNCTION("""COMPUTED_VALUE"""),"1974")</x:f>
      </x:c>
    </x:row>
    <x:row r="2340" spans="1:10">
      <x:c r="A2340" s="1" t="s">
        <x:v>2349</x:v>
      </x:c>
      <x:c r="B2340" s="1">
        <x:f>IFERROR(__xludf.DUMMYFUNCTION("""COMPUTED_VALUE"""),"El viatge vertical")</x:f>
      </x:c>
      <x:c r="C2340" s="1">
        <x:f>IFERROR(__xludf.DUMMYFUNCTION("""COMPUTED_VALUE"""),"2008")</x:f>
      </x:c>
    </x:row>
    <x:row r="2341" spans="1:10">
      <x:c r="A2341" s="1" t="s">
        <x:v>2350</x:v>
      </x:c>
      <x:c r="B2341" s="1">
        <x:f>IFERROR(__xludf.DUMMYFUNCTION("""COMPUTED_VALUE"""),"El viatger")</x:f>
      </x:c>
      <x:c r="C2341" s="1">
        <x:f>IFERROR(__xludf.DUMMYFUNCTION("""COMPUTED_VALUE"""),"1997")</x:f>
      </x:c>
    </x:row>
    <x:row r="2342" spans="1:10">
      <x:c r="A2342" s="1" t="s">
        <x:v>2351</x:v>
      </x:c>
      <x:c r="B2342" s="1">
        <x:f>IFERROR(__xludf.DUMMYFUNCTION("""COMPUTED_VALUE"""),"El vicari d'Olot")</x:f>
      </x:c>
      <x:c r="C2342" s="1">
        <x:f>IFERROR(__xludf.DUMMYFUNCTION("""COMPUTED_VALUE"""),"1981")</x:f>
      </x:c>
    </x:row>
    <x:row r="2343" spans="1:10">
      <x:c r="A2343" s="1" t="s">
        <x:v>2352</x:v>
      </x:c>
      <x:c r="B2343" s="1">
        <x:f>IFERROR(__xludf.DUMMYFUNCTION("""COMPUTED_VALUE"""),"El vici del poder")</x:f>
      </x:c>
      <x:c r="C2343" s="1">
        <x:f>IFERROR(__xludf.DUMMYFUNCTION("""COMPUTED_VALUE"""),"2018")</x:f>
      </x:c>
    </x:row>
    <x:row r="2344" spans="1:10">
      <x:c r="A2344" s="1" t="s">
        <x:v>2353</x:v>
      </x:c>
      <x:c r="B2344" s="1">
        <x:f>IFERROR(__xludf.DUMMYFUNCTION("""COMPUTED_VALUE"""),"El violinista a la teulada")</x:f>
      </x:c>
      <x:c r="C2344" s="1">
        <x:f>IFERROR(__xludf.DUMMYFUNCTION("""COMPUTED_VALUE"""),"1971")</x:f>
      </x:c>
    </x:row>
    <x:row r="2345" spans="1:10">
      <x:c r="A2345" s="1" t="s">
        <x:v>2354</x:v>
      </x:c>
      <x:c r="B2345" s="1">
        <x:f>IFERROR(__xludf.DUMMYFUNCTION("""COMPUTED_VALUE"""),"El virgo de Visanteta")</x:f>
      </x:c>
      <x:c r="C2345" s="1">
        <x:f>IFERROR(__xludf.DUMMYFUNCTION("""COMPUTED_VALUE"""),"1978")</x:f>
      </x:c>
    </x:row>
    <x:row r="2346" spans="1:10">
      <x:c r="A2346" s="1" t="s">
        <x:v>2355</x:v>
      </x:c>
      <x:c r="B2346" s="1">
        <x:f>IFERROR(__xludf.DUMMYFUNCTION("""COMPUTED_VALUE"""),"El virus de la por")</x:f>
      </x:c>
      <x:c r="C2346" s="1">
        <x:f>IFERROR(__xludf.DUMMYFUNCTION("""COMPUTED_VALUE"""),"2015")</x:f>
      </x:c>
    </x:row>
    <x:row r="2347" spans="1:10">
      <x:c r="A2347" s="1" t="s">
        <x:v>2356</x:v>
      </x:c>
      <x:c r="B2347" s="1">
        <x:f>IFERROR(__xludf.DUMMYFUNCTION("""COMPUTED_VALUE"""),"El visitant")</x:f>
      </x:c>
      <x:c r="C2347" s="1">
        <x:f>IFERROR(__xludf.DUMMYFUNCTION("""COMPUTED_VALUE"""),"2007")</x:f>
      </x:c>
    </x:row>
    <x:row r="2348" spans="1:10">
      <x:c r="A2348" s="1" t="s">
        <x:v>2357</x:v>
      </x:c>
      <x:c r="B2348" s="1">
        <x:f>IFERROR(__xludf.DUMMYFUNCTION("""COMPUTED_VALUE"""),"El vol")</x:f>
      </x:c>
      <x:c r="C2348" s="1">
        <x:f>IFERROR(__xludf.DUMMYFUNCTION("""COMPUTED_VALUE"""),"2012")</x:f>
      </x:c>
    </x:row>
    <x:row r="2349" spans="1:10">
      <x:c r="A2349" s="1" t="s">
        <x:v>2358</x:v>
      </x:c>
      <x:c r="B2349" s="1">
        <x:f>IFERROR(__xludf.DUMMYFUNCTION("""COMPUTED_VALUE"""),"El vol 93")</x:f>
      </x:c>
      <x:c r="C2349" s="1">
        <x:f>IFERROR(__xludf.DUMMYFUNCTION("""COMPUTED_VALUE"""),"2006")</x:f>
      </x:c>
    </x:row>
    <x:row r="2350" spans="1:10">
      <x:c r="A2350" s="1" t="s">
        <x:v>2359</x:v>
      </x:c>
      <x:c r="B2350" s="1">
        <x:f>IFERROR(__xludf.DUMMYFUNCTION("""COMPUTED_VALUE"""),"El vol de les núvies")</x:f>
      </x:c>
      <x:c r="C2350" s="1">
        <x:f>IFERROR(__xludf.DUMMYFUNCTION("""COMPUTED_VALUE"""),"2008")</x:f>
      </x:c>
    </x:row>
    <x:row r="2351" spans="1:10">
      <x:c r="A2351" s="1" t="s">
        <x:v>2360</x:v>
      </x:c>
      <x:c r="B2351" s="1">
        <x:f>IFERROR(__xludf.DUMMYFUNCTION("""COMPUTED_VALUE"""),"El vol del fènix")</x:f>
      </x:c>
      <x:c r="C2351" s="1">
        <x:f>IFERROR(__xludf.DUMMYFUNCTION("""COMPUTED_VALUE"""),"1965")</x:f>
      </x:c>
    </x:row>
    <x:row r="2352" spans="1:10">
      <x:c r="A2352" s="1" t="s">
        <x:v>2361</x:v>
      </x:c>
      <x:c r="B2352" s="1">
        <x:f>IFERROR(__xludf.DUMMYFUNCTION("""COMPUTED_VALUE"""),"El vol del Fènix")</x:f>
      </x:c>
      <x:c r="C2352" s="1">
        <x:f>IFERROR(__xludf.DUMMYFUNCTION("""COMPUTED_VALUE"""),"2004")</x:f>
      </x:c>
    </x:row>
    <x:row r="2353" spans="1:10">
      <x:c r="A2353" s="1" t="s">
        <x:v>2362</x:v>
      </x:c>
      <x:c r="B2353" s="1">
        <x:f>IFERROR(__xludf.DUMMYFUNCTION("""COMPUTED_VALUE"""),"El xai Shaun: El vol abans de Nadal")</x:f>
      </x:c>
      <x:c r="C2353" s="1">
        <x:f>IFERROR(__xludf.DUMMYFUNCTION("""COMPUTED_VALUE"""),"2021")</x:f>
      </x:c>
    </x:row>
    <x:row r="2354" spans="1:10">
      <x:c r="A2354" s="1" t="s">
        <x:v>2363</x:v>
      </x:c>
      <x:c r="B2354" s="1">
        <x:f>IFERROR(__xludf.DUMMYFUNCTION("""COMPUTED_VALUE"""),"El xai Shaun: Les llames del granger")</x:f>
      </x:c>
      <x:c r="C2354" s="1">
        <x:f>IFERROR(__xludf.DUMMYFUNCTION("""COMPUTED_VALUE"""),"2015")</x:f>
      </x:c>
    </x:row>
    <x:row r="2355" spans="1:10">
      <x:c r="A2355" s="1" t="s">
        <x:v>2364</x:v>
      </x:c>
      <x:c r="B2355" s="1">
        <x:f>IFERROR(__xludf.DUMMYFUNCTION("""COMPUTED_VALUE"""),"El xai Shaun. La pel·lícula")</x:f>
      </x:c>
      <x:c r="C2355" s="1">
        <x:f>IFERROR(__xludf.DUMMYFUNCTION("""COMPUTED_VALUE"""),"2015")</x:f>
      </x:c>
    </x:row>
    <x:row r="2356" spans="1:10">
      <x:c r="A2356" s="1" t="s">
        <x:v>2365</x:v>
      </x:c>
      <x:c r="B2356" s="1">
        <x:f>IFERROR(__xludf.DUMMYFUNCTION("""COMPUTED_VALUE"""),"El xai Shaun. La pel·lícula: Granjaguedon")</x:f>
      </x:c>
      <x:c r="C2356" s="1">
        <x:f>IFERROR(__xludf.DUMMYFUNCTION("""COMPUTED_VALUE"""),"2019")</x:f>
      </x:c>
    </x:row>
    <x:row r="2357" spans="1:10">
      <x:c r="A2357" s="1" t="s">
        <x:v>2366</x:v>
      </x:c>
      <x:c r="B2357" s="1">
        <x:f>IFERROR(__xludf.DUMMYFUNCTION("""COMPUTED_VALUE"""),"El xef")</x:f>
      </x:c>
      <x:c r="C2357" s="1">
        <x:f>IFERROR(__xludf.DUMMYFUNCTION("""COMPUTED_VALUE"""),"2012")</x:f>
      </x:c>
    </x:row>
    <x:row r="2358" spans="1:10">
      <x:c r="A2358" s="1" t="s">
        <x:v>2367</x:v>
      </x:c>
      <x:c r="B2358" s="1">
        <x:f>IFERROR(__xludf.DUMMYFUNCTION("""COMPUTED_VALUE"""),"El xoc")</x:f>
      </x:c>
      <x:c r="C2358" s="1">
        <x:f>IFERROR(__xludf.DUMMYFUNCTION("""COMPUTED_VALUE"""),"2018")</x:f>
      </x:c>
    </x:row>
    <x:row r="2359" spans="1:10">
      <x:c r="A2359" s="1" t="s">
        <x:v>2368</x:v>
      </x:c>
      <x:c r="B2359" s="1">
        <x:f>IFERROR(__xludf.DUMMYFUNCTION("""COMPUTED_VALUE"""),"El Zebra, mediador de causes desesperades")</x:f>
      </x:c>
      <x:c r="C2359" s="1">
        <x:f>IFERROR(__xludf.DUMMYFUNCTION("""COMPUTED_VALUE"""),"2015")</x:f>
      </x:c>
    </x:row>
    <x:row r="2360" spans="1:10">
      <x:c r="A2360" s="1" t="s">
        <x:v>2369</x:v>
      </x:c>
      <x:c r="B2360" s="1">
        <x:f>IFERROR(__xludf.DUMMYFUNCTION("""COMPUTED_VALUE"""),"El zoo d'en Pitus")</x:f>
      </x:c>
      <x:c r="C2360" s="1">
        <x:f>IFERROR(__xludf.DUMMYFUNCTION("""COMPUTED_VALUE"""),"2000")</x:f>
      </x:c>
    </x:row>
    <x:row r="2361" spans="1:10">
      <x:c r="A2361" s="1" t="s">
        <x:v>2370</x:v>
      </x:c>
      <x:c r="B2361" s="1">
        <x:f>IFERROR(__xludf.DUMMYFUNCTION("""COMPUTED_VALUE"""),"Electra")</x:f>
      </x:c>
      <x:c r="C2361" s="1">
        <x:f>IFERROR(__xludf.DUMMYFUNCTION("""COMPUTED_VALUE"""),"1996")</x:f>
      </x:c>
    </x:row>
    <x:row r="2362" spans="1:10">
      <x:c r="A2362" s="1" t="s">
        <x:v>2371</x:v>
      </x:c>
      <x:c r="B2362" s="1">
        <x:f>IFERROR(__xludf.DUMMYFUNCTION("""COMPUTED_VALUE"""),"Electroshock")</x:f>
      </x:c>
      <x:c r="C2362" s="1">
        <x:f>IFERROR(__xludf.DUMMYFUNCTION("""COMPUTED_VALUE"""),"2006")</x:f>
      </x:c>
    </x:row>
    <x:row r="2363" spans="1:10">
      <x:c r="A2363" s="1" t="s">
        <x:v>2372</x:v>
      </x:c>
      <x:c r="B2363" s="1">
        <x:f>IFERROR(__xludf.DUMMYFUNCTION("""COMPUTED_VALUE"""),"Elegy")</x:f>
      </x:c>
      <x:c r="C2363" s="1">
        <x:f>IFERROR(__xludf.DUMMYFUNCTION("""COMPUTED_VALUE"""),"2008")</x:f>
      </x:c>
    </x:row>
    <x:row r="2364" spans="1:10">
      <x:c r="A2364" s="1" t="s">
        <x:v>2373</x:v>
      </x:c>
      <x:c r="B2364" s="1">
        <x:f>IFERROR(__xludf.DUMMYFUNCTION("""COMPUTED_VALUE"""),"Elemental")</x:f>
      </x:c>
      <x:c r="C2364" s="1">
        <x:f>IFERROR(__xludf.DUMMYFUNCTION("""COMPUTED_VALUE"""),"2023")</x:f>
      </x:c>
    </x:row>
    <x:row r="2365" spans="1:10">
      <x:c r="A2365" s="1" t="s">
        <x:v>2374</x:v>
      </x:c>
      <x:c r="B2365" s="1">
        <x:f>IFERROR(__xludf.DUMMYFUNCTION("""COMPUTED_VALUE"""),"Elio")</x:f>
      </x:c>
      <x:c r="C2365" s="1">
        <x:f>IFERROR(__xludf.DUMMYFUNCTION("""COMPUTED_VALUE"""),"2025")</x:f>
      </x:c>
    </x:row>
    <x:row r="2366" spans="1:10">
      <x:c r="A2366" s="1" t="s">
        <x:v>2375</x:v>
      </x:c>
      <x:c r="B2366" s="1">
        <x:f>IFERROR(__xludf.DUMMYFUNCTION("""COMPUTED_VALUE"""),"Elisa i Marcela")</x:f>
      </x:c>
      <x:c r="C2366" s="1">
        <x:f>IFERROR(__xludf.DUMMYFUNCTION("""COMPUTED_VALUE"""),"2019")</x:f>
      </x:c>
    </x:row>
    <x:row r="2367" spans="1:10">
      <x:c r="A2367" s="1" t="s">
        <x:v>2376</x:v>
      </x:c>
      <x:c r="B2367" s="1">
        <x:f>IFERROR(__xludf.DUMMYFUNCTION("""COMPUTED_VALUE"""),"Elisa K")</x:f>
      </x:c>
      <x:c r="C2367" s="1">
        <x:f>IFERROR(__xludf.DUMMYFUNCTION("""COMPUTED_VALUE"""),"2010")</x:f>
      </x:c>
    </x:row>
    <x:row r="2368" spans="1:10">
      <x:c r="A2368" s="1" t="s">
        <x:v>2377</x:v>
      </x:c>
      <x:c r="B2368" s="1">
        <x:f>IFERROR(__xludf.DUMMYFUNCTION("""COMPUTED_VALUE"""),"Elisabet")</x:f>
      </x:c>
      <x:c r="C2368" s="1">
        <x:f>IFERROR(__xludf.DUMMYFUNCTION("""COMPUTED_VALUE"""),"1998")</x:f>
      </x:c>
    </x:row>
    <x:row r="2369" spans="1:10">
      <x:c r="A2369" s="1" t="s">
        <x:v>2378</x:v>
      </x:c>
      <x:c r="B2369" s="1">
        <x:f>IFERROR(__xludf.DUMMYFUNCTION("""COMPUTED_VALUE"""),"Elizabeth l'edat d'or")</x:f>
      </x:c>
      <x:c r="C2369" s="1">
        <x:f>IFERROR(__xludf.DUMMYFUNCTION("""COMPUTED_VALUE"""),"2007")</x:f>
      </x:c>
    </x:row>
    <x:row r="2370" spans="1:10">
      <x:c r="A2370" s="1" t="s">
        <x:v>2379</x:v>
      </x:c>
      <x:c r="B2370" s="1">
        <x:f>IFERROR(__xludf.DUMMYFUNCTION("""COMPUTED_VALUE"""),"Ell i la seva enemiga")</x:f>
      </x:c>
      <x:c r="C2370" s="1">
        <x:f>IFERROR(__xludf.DUMMYFUNCTION("""COMPUTED_VALUE"""),"1944")</x:f>
      </x:c>
    </x:row>
    <x:row r="2371" spans="1:10">
      <x:c r="A2371" s="1" t="s">
        <x:v>2380</x:v>
      </x:c>
      <x:c r="B2371" s="1">
        <x:f>IFERROR(__xludf.DUMMYFUNCTION("""COMPUTED_VALUE"""),"Ella és el partit")</x:f>
      </x:c>
      <x:c r="C2371" s="1">
        <x:f>IFERROR(__xludf.DUMMYFUNCTION("""COMPUTED_VALUE"""),"2008")</x:f>
      </x:c>
    </x:row>
    <x:row r="2372" spans="1:10">
      <x:c r="A2372" s="1" t="s">
        <x:v>2381</x:v>
      </x:c>
      <x:c r="B2372" s="1">
        <x:f>IFERROR(__xludf.DUMMYFUNCTION("""COMPUTED_VALUE"""),"Elle")</x:f>
      </x:c>
      <x:c r="C2372" s="1">
        <x:f>IFERROR(__xludf.DUMMYFUNCTION("""COMPUTED_VALUE"""),"2010")</x:f>
      </x:c>
    </x:row>
    <x:row r="2373" spans="1:10">
      <x:c r="A2373" s="1" t="s">
        <x:v>2382</x:v>
      </x:c>
      <x:c r="B2373" s="1">
        <x:f>IFERROR(__xludf.DUMMYFUNCTION("""COMPUTED_VALUE"""),"Elle")</x:f>
      </x:c>
      <x:c r="C2373" s="1">
        <x:f>IFERROR(__xludf.DUMMYFUNCTION("""COMPUTED_VALUE"""),"2016")</x:f>
      </x:c>
    </x:row>
    <x:row r="2374" spans="1:10">
      <x:c r="A2374" s="1" t="s">
        <x:v>2383</x:v>
      </x:c>
      <x:c r="B2374" s="1">
        <x:f>IFERROR(__xludf.DUMMYFUNCTION("""COMPUTED_VALUE"""),"Elles")</x:f>
      </x:c>
      <x:c r="C2374" s="1">
        <x:f>IFERROR(__xludf.DUMMYFUNCTION("""COMPUTED_VALUE"""),"2011")</x:f>
      </x:c>
    </x:row>
    <x:row r="2375" spans="1:10">
      <x:c r="A2375" s="1" t="s">
        <x:v>2384</x:v>
      </x:c>
      <x:c r="B2375" s="1">
        <x:f>IFERROR(__xludf.DUMMYFUNCTION("""COMPUTED_VALUE"""),"Elles i ells")</x:f>
      </x:c>
      <x:c r="C2375" s="1">
        <x:f>IFERROR(__xludf.DUMMYFUNCTION("""COMPUTED_VALUE"""),"2005")</x:f>
      </x:c>
    </x:row>
    <x:row r="2376" spans="1:10">
      <x:c r="A2376" s="1" t="s">
        <x:v>2385</x:v>
      </x:c>
      <x:c r="B2376" s="1">
        <x:f>IFERROR(__xludf.DUMMYFUNCTION("""COMPUTED_VALUE"""),"Ells")</x:f>
      </x:c>
      <x:c r="C2376" s="1">
        <x:f>IFERROR(__xludf.DUMMYFUNCTION("""COMPUTED_VALUE"""),"2006")</x:f>
      </x:c>
    </x:row>
    <x:row r="2377" spans="1:10">
      <x:c r="A2377" s="1" t="s">
        <x:v>2386</x:v>
      </x:c>
      <x:c r="B2377" s="1">
        <x:f>IFERROR(__xludf.DUMMYFUNCTION("""COMPUTED_VALUE"""),"Eloïse")</x:f>
      </x:c>
      <x:c r="C2377" s="1">
        <x:f>IFERROR(__xludf.DUMMYFUNCTION("""COMPUTED_VALUE"""),"2009")</x:f>
      </x:c>
    </x:row>
    <x:row r="2378" spans="1:10">
      <x:c r="A2378" s="1" t="s">
        <x:v>2387</x:v>
      </x:c>
      <x:c r="B2378" s="1">
        <x:f>IFERROR(__xludf.DUMMYFUNCTION("""COMPUTED_VALUE"""),"Els 11 del Raval")</x:f>
      </x:c>
      <x:c r="C2378" s="1">
        <x:f>IFERROR(__xludf.DUMMYFUNCTION("""COMPUTED_VALUE"""),"2026")</x:f>
      </x:c>
    </x:row>
    <x:row r="2379" spans="1:10">
      <x:c r="A2379" s="1" t="s">
        <x:v>2388</x:v>
      </x:c>
      <x:c r="B2379" s="1">
        <x:f>IFERROR(__xludf.DUMMYFUNCTION("""COMPUTED_VALUE"""),"Els 39 graons")</x:f>
      </x:c>
      <x:c r="C2379" s="1">
        <x:f>IFERROR(__xludf.DUMMYFUNCTION("""COMPUTED_VALUE"""),"1935")</x:f>
      </x:c>
    </x:row>
    <x:row r="2380" spans="1:10">
      <x:c r="A2380" s="1" t="s">
        <x:v>2389</x:v>
      </x:c>
      <x:c r="B2380" s="1">
        <x:f>IFERROR(__xludf.DUMMYFUNCTION("""COMPUTED_VALUE"""),"Els 50 són els nous 30")</x:f>
      </x:c>
      <x:c r="C2380" s="1">
        <x:f>IFERROR(__xludf.DUMMYFUNCTION("""COMPUTED_VALUE"""),"2017")</x:f>
      </x:c>
    </x:row>
    <x:row r="2381" spans="1:10">
      <x:c r="A2381" s="1" t="s">
        <x:v>2390</x:v>
      </x:c>
      <x:c r="B2381" s="1">
        <x:f>IFERROR(__xludf.DUMMYFUNCTION("""COMPUTED_VALUE"""),"Els 5000 dits del Dr.T")</x:f>
      </x:c>
      <x:c r="C2381" s="1">
        <x:f>IFERROR(__xludf.DUMMYFUNCTION("""COMPUTED_VALUE"""),"1953")</x:f>
      </x:c>
    </x:row>
    <x:row r="2382" spans="1:10">
      <x:c r="A2382" s="1" t="s">
        <x:v>2391</x:v>
      </x:c>
      <x:c r="B2382" s="1">
        <x:f>IFERROR(__xludf.DUMMYFUNCTION("""COMPUTED_VALUE"""),"Els abandonats")</x:f>
      </x:c>
      <x:c r="C2382" s="1">
        <x:f>IFERROR(__xludf.DUMMYFUNCTION("""COMPUTED_VALUE"""),"2006")</x:f>
      </x:c>
    </x:row>
    <x:row r="2383" spans="1:10">
      <x:c r="A2383" s="1" t="s">
        <x:v>2392</x:v>
      </x:c>
      <x:c r="B2383" s="1">
        <x:f>IFERROR(__xludf.DUMMYFUNCTION("""COMPUTED_VALUE"""),"Els albercocs")</x:f>
      </x:c>
      <x:c r="C2383" s="1">
        <x:f>IFERROR(__xludf.DUMMYFUNCTION("""COMPUTED_VALUE"""),"1996")</x:f>
      </x:c>
    </x:row>
    <x:row r="2384" spans="1:10">
      <x:c r="A2384" s="1" t="s">
        <x:v>2393</x:v>
      </x:c>
      <x:c r="B2384" s="1">
        <x:f>IFERROR(__xludf.DUMMYFUNCTION("""COMPUTED_VALUE"""),"Els altres dos")</x:f>
      </x:c>
      <x:c r="C2384" s="1">
        <x:f>IFERROR(__xludf.DUMMYFUNCTION("""COMPUTED_VALUE"""),"2010")</x:f>
      </x:c>
    </x:row>
    <x:row r="2385" spans="1:10">
      <x:c r="A2385" s="1" t="s">
        <x:v>2394</x:v>
      </x:c>
      <x:c r="B2385" s="1">
        <x:f>IFERROR(__xludf.DUMMYFUNCTION("""COMPUTED_VALUE"""),"Els amants de la nit")</x:f>
      </x:c>
      <x:c r="C2385" s="1">
        <x:f>IFERROR(__xludf.DUMMYFUNCTION("""COMPUTED_VALUE"""),"1948")</x:f>
      </x:c>
    </x:row>
    <x:row r="2386" spans="1:10">
      <x:c r="A2386" s="1" t="s">
        <x:v>2395</x:v>
      </x:c>
      <x:c r="B2386" s="1">
        <x:f>IFERROR(__xludf.DUMMYFUNCTION("""COMPUTED_VALUE"""),"Els amics d'en Peter")</x:f>
      </x:c>
      <x:c r="C2386" s="1">
        <x:f>IFERROR(__xludf.DUMMYFUNCTION("""COMPUTED_VALUE"""),"1992")</x:f>
      </x:c>
    </x:row>
    <x:row r="2387" spans="1:10">
      <x:c r="A2387" s="1" t="s">
        <x:v>2396</x:v>
      </x:c>
      <x:c r="B2387" s="1">
        <x:f>IFERROR(__xludf.DUMMYFUNCTION("""COMPUTED_VALUE"""),"Els Amics de les Arts - Concert 10 anys")</x:f>
      </x:c>
      <x:c r="C2387" s="1">
        <x:f>IFERROR(__xludf.DUMMYFUNCTION("""COMPUTED_VALUE"""),"2015")</x:f>
      </x:c>
    </x:row>
    <x:row r="2388" spans="1:10">
      <x:c r="A2388" s="1" t="s">
        <x:v>2397</x:v>
      </x:c>
      <x:c r="B2388" s="1">
        <x:f>IFERROR(__xludf.DUMMYFUNCTION("""COMPUTED_VALUE"""),"Els Amics de les Arts - Palau de la Música")</x:f>
      </x:c>
      <x:c r="C2388" s="1">
        <x:f>IFERROR(__xludf.DUMMYFUNCTION("""COMPUTED_VALUE"""),"2011")</x:f>
      </x:c>
    </x:row>
    <x:row r="2389" spans="1:10">
      <x:c r="A2389" s="1" t="s">
        <x:v>2398</x:v>
      </x:c>
      <x:c r="B2389" s="1">
        <x:f>IFERROR(__xludf.DUMMYFUNCTION("""COMPUTED_VALUE"""),"Els Amics de les Arts ''Espècies per catalogar''")</x:f>
      </x:c>
      <x:c r="C2389" s="1">
        <x:f>IFERROR(__xludf.DUMMYFUNCTION("""COMPUTED_VALUE"""),"2012")</x:f>
      </x:c>
    </x:row>
    <x:row r="2390" spans="1:10">
      <x:c r="A2390" s="1" t="s">
        <x:v>2399</x:v>
      </x:c>
      <x:c r="B2390" s="1">
        <x:f>IFERROR(__xludf.DUMMYFUNCTION("""COMPUTED_VALUE"""),"Els amics del nuvi")</x:f>
      </x:c>
      <x:c r="C2390" s="1">
        <x:f>IFERROR(__xludf.DUMMYFUNCTION("""COMPUTED_VALUE"""),"2006")</x:f>
      </x:c>
    </x:row>
    <x:row r="2391" spans="1:10">
      <x:c r="A2391" s="1" t="s">
        <x:v>2400</x:v>
      </x:c>
      <x:c r="B2391" s="1">
        <x:f>IFERROR(__xludf.DUMMYFUNCTION("""COMPUTED_VALUE"""),"Els amos de Brooklyn")</x:f>
      </x:c>
      <x:c r="C2391" s="1">
        <x:f>IFERROR(__xludf.DUMMYFUNCTION("""COMPUTED_VALUE"""),"2009")</x:f>
      </x:c>
    </x:row>
    <x:row r="2392" spans="1:10">
      <x:c r="A2392" s="1" t="s">
        <x:v>2401</x:v>
      </x:c>
      <x:c r="B2392" s="1">
        <x:f>IFERROR(__xludf.DUMMYFUNCTION("""COMPUTED_VALUE"""),"Els amos del temps")</x:f>
      </x:c>
      <x:c r="C2392" s="1">
        <x:f>IFERROR(__xludf.DUMMYFUNCTION("""COMPUTED_VALUE"""),"1982")</x:f>
      </x:c>
    </x:row>
    <x:row r="2393" spans="1:10">
      <x:c r="A2393" s="1" t="s">
        <x:v>2402</x:v>
      </x:c>
      <x:c r="B2393" s="1">
        <x:f>IFERROR(__xludf.DUMMYFUNCTION("""COMPUTED_VALUE"""),"Els Andersson a Grècia")</x:f>
      </x:c>
      <x:c r="C2393" s="1">
        <x:f>IFERROR(__xludf.DUMMYFUNCTION("""COMPUTED_VALUE"""),"2012")</x:f>
      </x:c>
    </x:row>
    <x:row r="2394" spans="1:10">
      <x:c r="A2394" s="1" t="s">
        <x:v>2403</x:v>
      </x:c>
      <x:c r="B2394" s="1">
        <x:f>IFERROR(__xludf.DUMMYFUNCTION("""COMPUTED_VALUE"""),"Els Andersson a la neu")</x:f>
      </x:c>
      <x:c r="C2394" s="1">
        <x:f>IFERROR(__xludf.DUMMYFUNCTION("""COMPUTED_VALUE"""),"2014")</x:f>
      </x:c>
    </x:row>
    <x:row r="2395" spans="1:10">
      <x:c r="A2395" s="1" t="s">
        <x:v>2404</x:v>
      </x:c>
      <x:c r="B2395" s="1">
        <x:f>IFERROR(__xludf.DUMMYFUNCTION("""COMPUTED_VALUE"""),"Els Andersson Road Movie")</x:f>
      </x:c>
      <x:c r="C2395" s="1">
        <x:f>IFERROR(__xludf.DUMMYFUNCTION("""COMPUTED_VALUE"""),"2013")</x:f>
      </x:c>
    </x:row>
    <x:row r="2396" spans="1:10">
      <x:c r="A2396" s="1" t="s">
        <x:v>2405</x:v>
      </x:c>
      <x:c r="B2396" s="1">
        <x:f>IFERROR(__xludf.DUMMYFUNCTION("""COMPUTED_VALUE"""),"Els àngels de Charlie")</x:f>
      </x:c>
      <x:c r="C2396" s="1">
        <x:f>IFERROR(__xludf.DUMMYFUNCTION("""COMPUTED_VALUE"""),"2000")</x:f>
      </x:c>
    </x:row>
    <x:row r="2397" spans="1:10">
      <x:c r="A2397" s="1" t="s">
        <x:v>2406</x:v>
      </x:c>
      <x:c r="B2397" s="1">
        <x:f>IFERROR(__xludf.DUMMYFUNCTION("""COMPUTED_VALUE"""),"Els àngels de Charlie; al límit")</x:f>
      </x:c>
      <x:c r="C2397" s="1">
        <x:f>IFERROR(__xludf.DUMMYFUNCTION("""COMPUTED_VALUE"""),"2003")</x:f>
      </x:c>
    </x:row>
    <x:row r="2398" spans="1:10">
      <x:c r="A2398" s="1" t="s">
        <x:v>2407</x:v>
      </x:c>
      <x:c r="B2398" s="1">
        <x:f>IFERROR(__xludf.DUMMYFUNCTION("""COMPUTED_VALUE"""),"Els àngels de la guarda")</x:f>
      </x:c>
      <x:c r="C2398" s="1">
        <x:f>IFERROR(__xludf.DUMMYFUNCTION("""COMPUTED_VALUE"""),"1995")</x:f>
      </x:c>
    </x:row>
    <x:row r="2399" spans="1:10">
      <x:c r="A2399" s="1" t="s">
        <x:v>2408</x:v>
      </x:c>
      <x:c r="B2399" s="1">
        <x:f>IFERROR(__xludf.DUMMYFUNCTION("""COMPUTED_VALUE"""),"Els anys maleïts")</x:f>
      </x:c>
      <x:c r="C2399" s="1">
        <x:f>IFERROR(__xludf.DUMMYFUNCTION("""COMPUTED_VALUE"""),"2020")</x:f>
      </x:c>
    </x:row>
    <x:row r="2400" spans="1:10">
      <x:c r="A2400" s="1" t="s">
        <x:v>2409</x:v>
      </x:c>
      <x:c r="B2400" s="1">
        <x:f>IFERROR(__xludf.DUMMYFUNCTION("""COMPUTED_VALUE"""),"Els anys maleïts 2")</x:f>
      </x:c>
      <x:c r="C2400" s="1">
        <x:f>IFERROR(__xludf.DUMMYFUNCTION("""COMPUTED_VALUE"""),"2022")</x:f>
      </x:c>
    </x:row>
    <x:row r="2401" spans="1:10">
      <x:c r="A2401" s="1" t="s">
        <x:v>2410</x:v>
      </x:c>
      <x:c r="B2401" s="1">
        <x:f>IFERROR(__xludf.DUMMYFUNCTION("""COMPUTED_VALUE"""),"Els anys perduts")</x:f>
      </x:c>
      <x:c r="C2401" s="1">
        <x:f>IFERROR(__xludf.DUMMYFUNCTION("""COMPUTED_VALUE"""),"2015")</x:f>
      </x:c>
    </x:row>
    <x:row r="2402" spans="1:10">
      <x:c r="A2402" s="1" t="s">
        <x:v>2411</x:v>
      </x:c>
      <x:c r="B2402" s="1">
        <x:f>IFERROR(__xludf.DUMMYFUNCTION("""COMPUTED_VALUE"""),"Els arxius del Pentàgon")</x:f>
      </x:c>
      <x:c r="C2402" s="1">
        <x:f>IFERROR(__xludf.DUMMYFUNCTION("""COMPUTED_VALUE"""),"2017")</x:f>
      </x:c>
    </x:row>
    <x:row r="2403" spans="1:10">
      <x:c r="A2403" s="1" t="s">
        <x:v>2412</x:v>
      </x:c>
      <x:c r="B2403" s="1">
        <x:f>IFERROR(__xludf.DUMMYFUNCTION("""COMPUTED_VALUE"""),"Els assassinats del llac")</x:f>
      </x:c>
      <x:c r="C2403" s="1">
        <x:f>IFERROR(__xludf.DUMMYFUNCTION("""COMPUTED_VALUE"""),"2022")</x:f>
      </x:c>
    </x:row>
    <x:row r="2404" spans="1:10">
      <x:c r="A2404" s="1" t="s">
        <x:v>2413</x:v>
      </x:c>
      <x:c r="B2404" s="1">
        <x:f>IFERROR(__xludf.DUMMYFUNCTION("""COMPUTED_VALUE"""),"Els assassins de les postals")</x:f>
      </x:c>
      <x:c r="C2404" s="1">
        <x:f>IFERROR(__xludf.DUMMYFUNCTION("""COMPUTED_VALUE"""),"2020")</x:f>
      </x:c>
    </x:row>
    <x:row r="2405" spans="1:10">
      <x:c r="A2405" s="1" t="s">
        <x:v>2414</x:v>
      </x:c>
      <x:c r="B2405" s="1">
        <x:f>IFERROR(__xludf.DUMMYFUNCTION("""COMPUTED_VALUE"""),"Els assassins del Capitán Trueno")</x:f>
      </x:c>
      <x:c r="C2405" s="1">
        <x:f>IFERROR(__xludf.DUMMYFUNCTION("""COMPUTED_VALUE"""),"2025")</x:f>
      </x:c>
    </x:row>
    <x:row r="2406" spans="1:10">
      <x:c r="A2406" s="1" t="s">
        <x:v>2415</x:v>
      </x:c>
      <x:c r="B2406" s="1">
        <x:f>IFERROR(__xludf.DUMMYFUNCTION("""COMPUTED_VALUE"""),"Els avantatges de ser un marginat")</x:f>
      </x:c>
      <x:c r="C2406" s="1">
        <x:f>IFERROR(__xludf.DUMMYFUNCTION("""COMPUTED_VALUE"""),"2012")</x:f>
      </x:c>
    </x:row>
    <x:row r="2407" spans="1:10">
      <x:c r="A2407" s="1" t="s">
        <x:v>2416</x:v>
      </x:c>
      <x:c r="B2407" s="1">
        <x:f>IFERROR(__xludf.DUMMYFUNCTION("""COMPUTED_VALUE"""),"Els Barrufets I")</x:f>
      </x:c>
      <x:c r="C2407" s="1">
        <x:f>IFERROR(__xludf.DUMMYFUNCTION("""COMPUTED_VALUE"""),"2011")</x:f>
      </x:c>
    </x:row>
    <x:row r="2408" spans="1:10">
      <x:c r="A2408" s="1" t="s">
        <x:v>2417</x:v>
      </x:c>
      <x:c r="B2408" s="1">
        <x:f>IFERROR(__xludf.DUMMYFUNCTION("""COMPUTED_VALUE"""),"Els Barrufets II")</x:f>
      </x:c>
      <x:c r="C2408" s="1">
        <x:f>IFERROR(__xludf.DUMMYFUNCTION("""COMPUTED_VALUE"""),"2013")</x:f>
      </x:c>
    </x:row>
    <x:row r="2409" spans="1:10">
      <x:c r="A2409" s="1" t="s">
        <x:v>2418</x:v>
      </x:c>
      <x:c r="B2409" s="1">
        <x:f>IFERROR(__xludf.DUMMYFUNCTION("""COMPUTED_VALUE"""),"Els Barrufets III El poble amagat")</x:f>
      </x:c>
      <x:c r="C2409" s="1">
        <x:f>IFERROR(__xludf.DUMMYFUNCTION("""COMPUTED_VALUE"""),"2017")</x:f>
      </x:c>
    </x:row>
    <x:row r="2410" spans="1:10">
      <x:c r="A2410" s="1" t="s">
        <x:v>2419</x:v>
      </x:c>
      <x:c r="B2410" s="1">
        <x:f>IFERROR(__xludf.DUMMYFUNCTION("""COMPUTED_VALUE"""),"Els bessons peguen dues vegades")</x:f>
      </x:c>
      <x:c r="C2410" s="1">
        <x:f>IFERROR(__xludf.DUMMYFUNCTION("""COMPUTED_VALUE"""),"1988")</x:f>
      </x:c>
    </x:row>
    <x:row r="2411" spans="1:10">
      <x:c r="A2411" s="1" t="s">
        <x:v>2420</x:v>
      </x:c>
      <x:c r="B2411" s="1">
        <x:f>IFERROR(__xludf.DUMMYFUNCTION("""COMPUTED_VALUE"""),"Els blancs no la saben ficar")</x:f>
      </x:c>
      <x:c r="C2411" s="1">
        <x:f>IFERROR(__xludf.DUMMYFUNCTION("""COMPUTED_VALUE"""),"1992")</x:f>
      </x:c>
    </x:row>
    <x:row r="2412" spans="1:10">
      <x:c r="A2412" s="1" t="s">
        <x:v>2421</x:v>
      </x:c>
      <x:c r="B2412" s="1">
        <x:f>IFERROR(__xludf.DUMMYFUNCTION("""COMPUTED_VALUE"""),"Els Blues Brothers")</x:f>
      </x:c>
      <x:c r="C2412" s="1">
        <x:f>IFERROR(__xludf.DUMMYFUNCTION("""COMPUTED_VALUE"""),"1980")</x:f>
      </x:c>
    </x:row>
    <x:row r="2413" spans="1:10">
      <x:c r="A2413" s="1" t="s">
        <x:v>2422</x:v>
      </x:c>
      <x:c r="B2413" s="1">
        <x:f>IFERROR(__xludf.DUMMYFUNCTION("""COMPUTED_VALUE"""),"Els bojos del bisturí")</x:f>
      </x:c>
      <x:c r="C2413" s="1">
        <x:f>IFERROR(__xludf.DUMMYFUNCTION("""COMPUTED_VALUE"""),"1982")</x:f>
      </x:c>
    </x:row>
    <x:row r="2414" spans="1:10">
      <x:c r="A2414" s="1" t="s">
        <x:v>2423</x:v>
      </x:c>
      <x:c r="B2414" s="1">
        <x:f>IFERROR(__xludf.DUMMYFUNCTION("""COMPUTED_VALUE"""),"Els bojos del Cannonball")</x:f>
      </x:c>
      <x:c r="C2414" s="1">
        <x:f>IFERROR(__xludf.DUMMYFUNCTION("""COMPUTED_VALUE"""),"1981")</x:f>
      </x:c>
    </x:row>
    <x:row r="2415" spans="1:10">
      <x:c r="A2415" s="1" t="s">
        <x:v>2424</x:v>
      </x:c>
      <x:c r="B2415" s="1">
        <x:f>IFERROR(__xludf.DUMMYFUNCTION("""COMPUTED_VALUE"""),"Els bons professors")</x:f>
      </x:c>
      <x:c r="C2415" s="1">
        <x:f>IFERROR(__xludf.DUMMYFUNCTION("""COMPUTED_VALUE"""),"2023")</x:f>
      </x:c>
    </x:row>
    <x:row r="2416" spans="1:10">
      <x:c r="A2416" s="1" t="s">
        <x:v>2425</x:v>
      </x:c>
      <x:c r="B2416" s="1">
        <x:f>IFERROR(__xludf.DUMMYFUNCTION("""COMPUTED_VALUE"""),"Els Borgia")</x:f>
      </x:c>
      <x:c r="C2416" s="1">
        <x:f>IFERROR(__xludf.DUMMYFUNCTION("""COMPUTED_VALUE"""),"2006")</x:f>
      </x:c>
    </x:row>
    <x:row r="2417" spans="1:10">
      <x:c r="A2417" s="1" t="s">
        <x:v>2426</x:v>
      </x:c>
      <x:c r="B2417" s="1">
        <x:f>IFERROR(__xludf.DUMMYFUNCTION("""COMPUTED_VALUE"""),"Els Boxtrolls")</x:f>
      </x:c>
      <x:c r="C2417" s="1">
        <x:f>IFERROR(__xludf.DUMMYFUNCTION("""COMPUTED_VALUE"""),"2014")</x:f>
      </x:c>
    </x:row>
    <x:row r="2418" spans="1:10">
      <x:c r="A2418" s="1" t="s">
        <x:v>2427</x:v>
      </x:c>
      <x:c r="B2418" s="1">
        <x:f>IFERROR(__xludf.DUMMYFUNCTION("""COMPUTED_VALUE"""),"Els caçadors de cabelleres")</x:f>
      </x:c>
      <x:c r="C2418" s="1">
        <x:f>IFERROR(__xludf.DUMMYFUNCTION("""COMPUTED_VALUE"""),"1968")</x:f>
      </x:c>
    </x:row>
    <x:row r="2419" spans="1:10">
      <x:c r="A2419" s="1" t="s">
        <x:v>2428</x:v>
      </x:c>
      <x:c r="B2419" s="1">
        <x:f>IFERROR(__xludf.DUMMYFUNCTION("""COMPUTED_VALUE"""),"Els caçafantasmes I")</x:f>
      </x:c>
      <x:c r="C2419" s="1">
        <x:f>IFERROR(__xludf.DUMMYFUNCTION("""COMPUTED_VALUE"""),"1984")</x:f>
      </x:c>
    </x:row>
    <x:row r="2420" spans="1:10">
      <x:c r="A2420" s="1" t="s">
        <x:v>2429</x:v>
      </x:c>
      <x:c r="B2420" s="1">
        <x:f>IFERROR(__xludf.DUMMYFUNCTION("""COMPUTED_VALUE"""),"Els caçafantasmes II")</x:f>
      </x:c>
      <x:c r="C2420" s="1">
        <x:f>IFERROR(__xludf.DUMMYFUNCTION("""COMPUTED_VALUE"""),"1989")</x:f>
      </x:c>
    </x:row>
    <x:row r="2421" spans="1:10">
      <x:c r="A2421" s="1" t="s">
        <x:v>2430</x:v>
      </x:c>
      <x:c r="B2421" s="1">
        <x:f>IFERROR(__xludf.DUMMYFUNCTION("""COMPUTED_VALUE"""),"Els canons de Navarone")</x:f>
      </x:c>
      <x:c r="C2421" s="1">
        <x:f>IFERROR(__xludf.DUMMYFUNCTION("""COMPUTED_VALUE"""),"1961")</x:f>
      </x:c>
    </x:row>
    <x:row r="2422" spans="1:10">
      <x:c r="A2422" s="1" t="s">
        <x:v>2431</x:v>
      </x:c>
      <x:c r="B2422" s="1">
        <x:f>IFERROR(__xludf.DUMMYFUNCTION("""COMPUTED_VALUE"""),"Els Cap de Drap a la Selva de l'Arc de Sant Martí")</x:f>
      </x:c>
      <x:c r="C2422" s="1">
        <x:f>IFERROR(__xludf.DUMMYFUNCTION("""COMPUTED_VALUE"""),"2014")</x:f>
      </x:c>
    </x:row>
    <x:row r="2423" spans="1:10">
      <x:c r="A2423" s="1" t="s">
        <x:v>2432</x:v>
      </x:c>
      <x:c r="B2423" s="1">
        <x:f>IFERROR(__xludf.DUMMYFUNCTION("""COMPUTED_VALUE"""),"Els Cap de Drap al país on sempre brilla el sol")</x:f>
      </x:c>
      <x:c r="C2423" s="1">
        <x:f>IFERROR(__xludf.DUMMYFUNCTION("""COMPUTED_VALUE"""),"2010")</x:f>
      </x:c>
    </x:row>
    <x:row r="2424" spans="1:10">
      <x:c r="A2424" s="1" t="s">
        <x:v>2433</x:v>
      </x:c>
      <x:c r="B2424" s="1">
        <x:f>IFERROR(__xludf.DUMMYFUNCTION("""COMPUTED_VALUE"""),"Els cavallers de la taula rodona")</x:f>
      </x:c>
      <x:c r="C2424" s="1">
        <x:f>IFERROR(__xludf.DUMMYFUNCTION("""COMPUTED_VALUE"""),"1953")</x:f>
      </x:c>
    </x:row>
    <x:row r="2425" spans="1:10">
      <x:c r="A2425" s="1" t="s">
        <x:v>2434</x:v>
      </x:c>
      <x:c r="B2425" s="1">
        <x:f>IFERROR(__xludf.DUMMYFUNCTION("""COMPUTED_VALUE"""),"Els cavallers del Zodíac: La llegenda del Santuari")</x:f>
      </x:c>
      <x:c r="C2425" s="1">
        <x:f>IFERROR(__xludf.DUMMYFUNCTION("""COMPUTED_VALUE"""),"2014")</x:f>
      </x:c>
    </x:row>
    <x:row r="2426" spans="1:10">
      <x:c r="A2426" s="1" t="s">
        <x:v>2435</x:v>
      </x:c>
      <x:c r="B2426" s="1">
        <x:f>IFERROR(__xludf.DUMMYFUNCTION("""COMPUTED_VALUE"""),"Els cercamons")</x:f>
      </x:c>
      <x:c r="C2426" s="1">
        <x:f>IFERROR(__xludf.DUMMYFUNCTION("""COMPUTED_VALUE"""),"2021")</x:f>
      </x:c>
    </x:row>
    <x:row r="2427" spans="1:10">
      <x:c r="A2427" s="1" t="s">
        <x:v>2436</x:v>
      </x:c>
      <x:c r="B2427" s="1">
        <x:f>IFERROR(__xludf.DUMMYFUNCTION("""COMPUTED_VALUE"""),"Els ciclistes voladors")</x:f>
      </x:c>
      <x:c r="C2427" s="1">
        <x:f>IFERROR(__xludf.DUMMYFUNCTION("""COMPUTED_VALUE"""),"1983")</x:f>
      </x:c>
    </x:row>
    <x:row r="2428" spans="1:10">
      <x:c r="A2428" s="1" t="s">
        <x:v>2437</x:v>
      </x:c>
      <x:c r="B2428" s="1">
        <x:f>IFERROR(__xludf.DUMMYFUNCTION("""COMPUTED_VALUE"""),"Els cigars del faraó")</x:f>
      </x:c>
      <x:c r="C2428" s="1">
        <x:f>IFERROR(__xludf.DUMMYFUNCTION("""COMPUTED_VALUE"""),"1991")</x:f>
      </x:c>
    </x:row>
    <x:row r="2429" spans="1:10">
      <x:c r="A2429" s="1" t="s">
        <x:v>2438</x:v>
      </x:c>
      <x:c r="B2429" s="1">
        <x:f>IFERROR(__xludf.DUMMYFUNCTION("""COMPUTED_VALUE"""),"Els Cinc i el misteri de la joia amagada")</x:f>
      </x:c>
      <x:c r="C2429" s="1">
        <x:f>IFERROR(__xludf.DUMMYFUNCTION("""COMPUTED_VALUE"""),"2013")</x:f>
      </x:c>
    </x:row>
    <x:row r="2430" spans="1:10">
      <x:c r="A2430" s="1" t="s">
        <x:v>2439</x:v>
      </x:c>
      <x:c r="B2430" s="1">
        <x:f>IFERROR(__xludf.DUMMYFUNCTION("""COMPUTED_VALUE"""),"Els Cinc i l'illa del tresor")</x:f>
      </x:c>
      <x:c r="C2430" s="1">
        <x:f>IFERROR(__xludf.DUMMYFUNCTION("""COMPUTED_VALUE"""),"2014")</x:f>
      </x:c>
    </x:row>
    <x:row r="2431" spans="1:10">
      <x:c r="A2431" s="1" t="s">
        <x:v>2440</x:v>
      </x:c>
      <x:c r="B2431" s="1">
        <x:f>IFERROR(__xludf.DUMMYFUNCTION("""COMPUTED_VALUE"""),"Els Cinc i la Vall dels Dinosaures")</x:f>
      </x:c>
      <x:c r="C2431" s="1">
        <x:f>IFERROR(__xludf.DUMMYFUNCTION("""COMPUTED_VALUE"""),"2018")</x:f>
      </x:c>
    </x:row>
    <x:row r="2432" spans="1:10">
      <x:c r="A2432" s="1" t="s">
        <x:v>2441</x:v>
      </x:c>
      <x:c r="B2432" s="1">
        <x:f>IFERROR(__xludf.DUMMYFUNCTION("""COMPUTED_VALUE"""),"Els colors de l'incendi")</x:f>
      </x:c>
      <x:c r="C2432" s="1">
        <x:f>IFERROR(__xludf.DUMMYFUNCTION("""COMPUTED_VALUE"""),"2022")</x:f>
      </x:c>
    </x:row>
    <x:row r="2433" spans="1:10">
      <x:c r="A2433" s="1" t="s">
        <x:v>2442</x:v>
      </x:c>
      <x:c r="B2433" s="1">
        <x:f>IFERROR(__xludf.DUMMYFUNCTION("""COMPUTED_VALUE"""),"Els comanxers")</x:f>
      </x:c>
      <x:c r="C2433" s="1">
        <x:f>IFERROR(__xludf.DUMMYFUNCTION("""COMPUTED_VALUE"""),"1961")</x:f>
      </x:c>
    </x:row>
    <x:row r="2434" spans="1:10">
      <x:c r="A2434" s="1" t="s">
        <x:v>2443</x:v>
      </x:c>
      <x:c r="B2434" s="1">
        <x:f>IFERROR(__xludf.DUMMYFUNCTION("""COMPUTED_VALUE"""),"Els condemnats")</x:f>
      </x:c>
      <x:c r="C2434" s="1">
        <x:f>IFERROR(__xludf.DUMMYFUNCTION("""COMPUTED_VALUE"""),"2010")</x:f>
      </x:c>
    </x:row>
    <x:row r="2435" spans="1:10">
      <x:c r="A2435" s="1" t="s">
        <x:v>2444</x:v>
      </x:c>
      <x:c r="B2435" s="1">
        <x:f>IFERROR(__xludf.DUMMYFUNCTION("""COMPUTED_VALUE"""),"Els consells de l'Alice")</x:f>
      </x:c>
      <x:c r="C2435" s="1">
        <x:f>IFERROR(__xludf.DUMMYFUNCTION("""COMPUTED_VALUE"""),"2019")</x:f>
      </x:c>
    </x:row>
    <x:row r="2436" spans="1:10">
      <x:c r="A2436" s="1" t="s">
        <x:v>2445</x:v>
      </x:c>
      <x:c r="B2436" s="1">
        <x:f>IFERROR(__xludf.DUMMYFUNCTION("""COMPUTED_VALUE"""),"Els conspiradors")</x:f>
      </x:c>
      <x:c r="C2436" s="1">
        <x:f>IFERROR(__xludf.DUMMYFUNCTION("""COMPUTED_VALUE"""),"2016")</x:f>
      </x:c>
    </x:row>
    <x:row r="2437" spans="1:10">
      <x:c r="A2437" s="1" t="s">
        <x:v>2446</x:v>
      </x:c>
      <x:c r="B2437" s="1">
        <x:f>IFERROR(__xludf.DUMMYFUNCTION("""COMPUTED_VALUE"""),"Els contrabandistes de Moonfleet")</x:f>
      </x:c>
      <x:c r="C2437" s="1">
        <x:f>IFERROR(__xludf.DUMMYFUNCTION("""COMPUTED_VALUE"""),"1955")</x:f>
      </x:c>
    </x:row>
    <x:row r="2438" spans="1:10">
      <x:c r="A2438" s="1" t="s">
        <x:v>2447</x:v>
      </x:c>
      <x:c r="B2438" s="1">
        <x:f>IFERROR(__xludf.DUMMYFUNCTION("""COMPUTED_VALUE"""),"Els cowboys")</x:f>
      </x:c>
      <x:c r="C2438" s="1">
        <x:f>IFERROR(__xludf.DUMMYFUNCTION("""COMPUTED_VALUE"""),"1972")</x:f>
      </x:c>
    </x:row>
    <x:row r="2439" spans="1:10">
      <x:c r="A2439" s="1" t="s">
        <x:v>2448</x:v>
      </x:c>
      <x:c r="B2439" s="1">
        <x:f>IFERROR(__xludf.DUMMYFUNCTION("""COMPUTED_VALUE"""),"Els crits del silenci")</x:f>
      </x:c>
      <x:c r="C2439" s="1">
        <x:f>IFERROR(__xludf.DUMMYFUNCTION("""COMPUTED_VALUE"""),"1984")</x:f>
      </x:c>
    </x:row>
    <x:row r="2440" spans="1:10">
      <x:c r="A2440" s="1" t="s">
        <x:v>2449</x:v>
      </x:c>
      <x:c r="B2440" s="1">
        <x:f>IFERROR(__xludf.DUMMYFUNCTION("""COMPUTED_VALUE"""),"Els cronocrims")</x:f>
      </x:c>
      <x:c r="C2440" s="1">
        <x:f>IFERROR(__xludf.DUMMYFUNCTION("""COMPUTED_VALUE"""),"2007")</x:f>
      </x:c>
    </x:row>
    <x:row r="2441" spans="1:10">
      <x:c r="A2441" s="1" t="s">
        <x:v>2450</x:v>
      </x:c>
      <x:c r="B2441" s="1">
        <x:f>IFERROR(__xludf.DUMMYFUNCTION("""COMPUTED_VALUE"""),"Els Croods")</x:f>
      </x:c>
      <x:c r="C2441" s="1">
        <x:f>IFERROR(__xludf.DUMMYFUNCTION("""COMPUTED_VALUE"""),"2013")</x:f>
      </x:c>
    </x:row>
    <x:row r="2442" spans="1:10">
      <x:c r="A2442" s="1" t="s">
        <x:v>2451</x:v>
      </x:c>
      <x:c r="B2442" s="1">
        <x:f>IFERROR(__xludf.DUMMYFUNCTION("""COMPUTED_VALUE"""),"Els Croods: Una nova era")</x:f>
      </x:c>
      <x:c r="C2442" s="1">
        <x:f>IFERROR(__xludf.DUMMYFUNCTION("""COMPUTED_VALUE"""),"2020")</x:f>
      </x:c>
    </x:row>
    <x:row r="2443" spans="1:10">
      <x:c r="A2443" s="1" t="s">
        <x:v>2452</x:v>
      </x:c>
      <x:c r="B2443" s="1">
        <x:f>IFERROR(__xludf.DUMMYFUNCTION("""COMPUTED_VALUE"""),"Els curats")</x:f>
      </x:c>
      <x:c r="C2443" s="1">
        <x:f>IFERROR(__xludf.DUMMYFUNCTION("""COMPUTED_VALUE"""),"2017")</x:f>
      </x:c>
    </x:row>
    <x:row r="2444" spans="1:10">
      <x:c r="A2444" s="1" t="s">
        <x:v>2453</x:v>
      </x:c>
      <x:c r="B2444" s="1">
        <x:f>IFERROR(__xludf.DUMMYFUNCTION("""COMPUTED_VALUE"""),"Els Dalton")</x:f>
      </x:c>
      <x:c r="C2444" s="1">
        <x:f>IFERROR(__xludf.DUMMYFUNCTION("""COMPUTED_VALUE"""),"2004")</x:f>
      </x:c>
    </x:row>
    <x:row r="2445" spans="1:10">
      <x:c r="A2445" s="1" t="s">
        <x:v>2454</x:v>
      </x:c>
      <x:c r="B2445" s="1">
        <x:f>IFERROR(__xludf.DUMMYFUNCTION("""COMPUTED_VALUE"""),"Els darrers dies al Vietnam")</x:f>
      </x:c>
      <x:c r="C2445" s="1">
        <x:f>IFERROR(__xludf.DUMMYFUNCTION("""COMPUTED_VALUE"""),"2014")</x:f>
      </x:c>
    </x:row>
    <x:row r="2446" spans="1:10">
      <x:c r="A2446" s="1" t="s">
        <x:v>2455</x:v>
      </x:c>
      <x:c r="B2446" s="1">
        <x:f>IFERROR(__xludf.DUMMYFUNCTION("""COMPUTED_VALUE"""),"Els deu millors parcs del Canadà")</x:f>
      </x:c>
      <x:c r="C2446" s="1">
        <x:f>IFERROR(__xludf.DUMMYFUNCTION("""COMPUTED_VALUE"""),"2002")</x:f>
      </x:c>
    </x:row>
    <x:row r="2447" spans="1:10">
      <x:c r="A2447" s="1" t="s">
        <x:v>2456</x:v>
      </x:c>
      <x:c r="B2447" s="1">
        <x:f>IFERROR(__xludf.DUMMYFUNCTION("""COMPUTED_VALUE"""),"Els diables del mar")</x:f>
      </x:c>
      <x:c r="C2447" s="1">
        <x:f>IFERROR(__xludf.DUMMYFUNCTION("""COMPUTED_VALUE"""),"1953")</x:f>
      </x:c>
    </x:row>
    <x:row r="2448" spans="1:10">
      <x:c r="A2448" s="1" t="s">
        <x:v>2457</x:v>
      </x:c>
      <x:c r="B2448" s="1">
        <x:f>IFERROR(__xludf.DUMMYFUNCTION("""COMPUTED_VALUE"""),"Els diaris del rom")</x:f>
      </x:c>
      <x:c r="C2448" s="1">
        <x:f>IFERROR(__xludf.DUMMYFUNCTION("""COMPUTED_VALUE"""),"2011")</x:f>
      </x:c>
    </x:row>
    <x:row r="2449" spans="1:10">
      <x:c r="A2449" s="1" t="s">
        <x:v>2458</x:v>
      </x:c>
      <x:c r="B2449" s="1">
        <x:f>IFERROR(__xludf.DUMMYFUNCTION("""COMPUTED_VALUE"""),"Els dies que vindran")</x:f>
      </x:c>
      <x:c r="C2449" s="1">
        <x:f>IFERROR(__xludf.DUMMYFUNCTION("""COMPUTED_VALUE"""),"2019")</x:f>
      </x:c>
    </x:row>
    <x:row r="2450" spans="1:10">
      <x:c r="A2450" s="1" t="s">
        <x:v>2459</x:v>
      </x:c>
      <x:c r="B2450" s="1">
        <x:f>IFERROR(__xludf.DUMMYFUNCTION("""COMPUTED_VALUE"""),"Els dotze del patíbul")</x:f>
      </x:c>
      <x:c r="C2450" s="1">
        <x:f>IFERROR(__xludf.DUMMYFUNCTION("""COMPUTED_VALUE"""),"1967")</x:f>
      </x:c>
    </x:row>
    <x:row r="2451" spans="1:10">
      <x:c r="A2451" s="1" t="s">
        <x:v>2460</x:v>
      </x:c>
      <x:c r="B2451" s="1">
        <x:f>IFERROR(__xludf.DUMMYFUNCTION("""COMPUTED_VALUE"""),"Els dotze treballs d'Astèrix")</x:f>
      </x:c>
      <x:c r="C2451" s="1">
        <x:f>IFERROR(__xludf.DUMMYFUNCTION("""COMPUTED_VALUE"""),"1976")</x:f>
      </x:c>
    </x:row>
    <x:row r="2452" spans="1:10">
      <x:c r="A2452" s="1" t="s">
        <x:v>2461</x:v>
      </x:c>
      <x:c r="B2452" s="1">
        <x:f>IFERROR(__xludf.DUMMYFUNCTION("""COMPUTED_VALUE"""),"Els Elfkins")</x:f>
      </x:c>
      <x:c r="C2452" s="1">
        <x:f>IFERROR(__xludf.DUMMYFUNCTION("""COMPUTED_VALUE"""),"2019")</x:f>
      </x:c>
    </x:row>
    <x:row r="2453" spans="1:10">
      <x:c r="A2453" s="1" t="s">
        <x:v>2462</x:v>
      </x:c>
      <x:c r="B2453" s="1">
        <x:f>IFERROR(__xludf.DUMMYFUNCTION("""COMPUTED_VALUE"""),"Els encantats")</x:f>
      </x:c>
      <x:c r="C2453" s="1">
        <x:f>IFERROR(__xludf.DUMMYFUNCTION("""COMPUTED_VALUE"""),"2023")</x:f>
      </x:c>
    </x:row>
    <x:row r="2454" spans="1:10">
      <x:c r="A2454" s="1" t="s">
        <x:v>2463</x:v>
      </x:c>
      <x:c r="B2454" s="1">
        <x:f>IFERROR(__xludf.DUMMYFUNCTION("""COMPUTED_VALUE"""),"Els escalfabanquetes")</x:f>
      </x:c>
      <x:c r="C2454" s="1">
        <x:f>IFERROR(__xludf.DUMMYFUNCTION("""COMPUTED_VALUE"""),"2006")</x:f>
      </x:c>
    </x:row>
    <x:row r="2455" spans="1:10">
      <x:c r="A2455" s="1" t="s">
        <x:v>2464</x:v>
      </x:c>
      <x:c r="B2455" s="1">
        <x:f>IFERROR(__xludf.DUMMYFUNCTION("""COMPUTED_VALUE"""),"Els espies no són el que eren")</x:f>
      </x:c>
      <x:c r="C2455" s="1">
        <x:f>IFERROR(__xludf.DUMMYFUNCTION("""COMPUTED_VALUE"""),"2017")</x:f>
      </x:c>
    </x:row>
    <x:row r="2456" spans="1:10">
      <x:c r="A2456" s="1" t="s">
        <x:v>2465</x:v>
      </x:c>
      <x:c r="B2456" s="1">
        <x:f>IFERROR(__xludf.DUMMYFUNCTION("""COMPUTED_VALUE"""),"Els Estats Units contra Billie Holiday")</x:f>
      </x:c>
      <x:c r="C2456" s="1">
        <x:f>IFERROR(__xludf.DUMMYFUNCTION("""COMPUTED_VALUE"""),"2021")</x:f>
      </x:c>
    </x:row>
    <x:row r="2457" spans="1:10">
      <x:c r="A2457" s="1" t="s">
        <x:v>2466</x:v>
      </x:c>
      <x:c r="B2457" s="1">
        <x:f>IFERROR(__xludf.DUMMYFUNCTION("""COMPUTED_VALUE"""),"Els EUA contra John Lennon")</x:f>
      </x:c>
      <x:c r="C2457" s="1">
        <x:f>IFERROR(__xludf.DUMMYFUNCTION("""COMPUTED_VALUE"""),"2006")</x:f>
      </x:c>
    </x:row>
    <x:row r="2458" spans="1:10">
      <x:c r="A2458" s="1" t="s">
        <x:v>2467</x:v>
      </x:c>
      <x:c r="B2458" s="1">
        <x:f>IFERROR(__xludf.DUMMYFUNCTION("""COMPUTED_VALUE"""),"Els europeus")</x:f>
      </x:c>
      <x:c r="C2458" s="1">
        <x:f>IFERROR(__xludf.DUMMYFUNCTION("""COMPUTED_VALUE"""),"2020")</x:f>
      </x:c>
    </x:row>
    <x:row r="2459" spans="1:10">
      <x:c r="A2459" s="1" t="s">
        <x:v>2468</x:v>
      </x:c>
      <x:c r="B2459" s="1">
        <x:f>IFERROR(__xludf.DUMMYFUNCTION("""COMPUTED_VALUE"""),"Els Ewoks, La batalla d'Endor")</x:f>
      </x:c>
      <x:c r="C2459" s="1">
        <x:f>IFERROR(__xludf.DUMMYFUNCTION("""COMPUTED_VALUE"""),"1985")</x:f>
      </x:c>
    </x:row>
    <x:row r="2460" spans="1:10">
      <x:c r="A2460" s="1" t="s">
        <x:v>2469</x:v>
      </x:c>
      <x:c r="B2460" s="1">
        <x:f>IFERROR(__xludf.DUMMYFUNCTION("""COMPUTED_VALUE"""),"Els Ewoks, La caravana del valor")</x:f>
      </x:c>
      <x:c r="C2460" s="1">
        <x:f>IFERROR(__xludf.DUMMYFUNCTION("""COMPUTED_VALUE"""),"1984")</x:f>
      </x:c>
    </x:row>
    <x:row r="2461" spans="1:10">
      <x:c r="A2461" s="1" t="s">
        <x:v>2470</x:v>
      </x:c>
      <x:c r="B2461" s="1">
        <x:f>IFERROR(__xludf.DUMMYFUNCTION("""COMPUTED_VALUE"""),"Els exàmens")</x:f>
      </x:c>
      <x:c r="C2461" s="1">
        <x:f>IFERROR(__xludf.DUMMYFUNCTION("""COMPUTED_VALUE"""),"2016")</x:f>
      </x:c>
    </x:row>
    <x:row r="2462" spans="1:10">
      <x:c r="A2462" s="1" t="s">
        <x:v>2471</x:v>
      </x:c>
      <x:c r="B2462" s="1">
        <x:f>IFERROR(__xludf.DUMMYFUNCTION("""COMPUTED_VALUE"""),"Els fabulosos Baker Boys")</x:f>
      </x:c>
      <x:c r="C2462" s="1">
        <x:f>IFERROR(__xludf.DUMMYFUNCTION("""COMPUTED_VALUE"""),"1989")</x:f>
      </x:c>
    </x:row>
    <x:row r="2463" spans="1:10">
      <x:c r="A2463" s="1" t="s">
        <x:v>2472</x:v>
      </x:c>
      <x:c r="B2463" s="1">
        <x:f>IFERROR(__xludf.DUMMYFUNCTION("""COMPUTED_VALUE"""),"Els falsificadors")</x:f>
      </x:c>
      <x:c r="C2463" s="1">
        <x:f>IFERROR(__xludf.DUMMYFUNCTION("""COMPUTED_VALUE"""),"2007")</x:f>
      </x:c>
    </x:row>
    <x:row r="2464" spans="1:10">
      <x:c r="A2464" s="1" t="s">
        <x:v>2473</x:v>
      </x:c>
      <x:c r="B2464" s="1">
        <x:f>IFERROR(__xludf.DUMMYFUNCTION("""COMPUTED_VALUE"""),"Els fantasmes de les meves exnòvies")</x:f>
      </x:c>
      <x:c r="C2464" s="1">
        <x:f>IFERROR(__xludf.DUMMYFUNCTION("""COMPUTED_VALUE"""),"2009")</x:f>
      </x:c>
    </x:row>
    <x:row r="2465" spans="1:10">
      <x:c r="A2465" s="1" t="s">
        <x:v>2474</x:v>
      </x:c>
      <x:c r="B2465" s="1">
        <x:f>IFERROR(__xludf.DUMMYFUNCTION("""COMPUTED_VALUE"""),"Els fills de la mitjanit")</x:f>
      </x:c>
      <x:c r="C2465" s="1">
        <x:f>IFERROR(__xludf.DUMMYFUNCTION("""COMPUTED_VALUE"""),"2012")</x:f>
      </x:c>
    </x:row>
    <x:row r="2466" spans="1:10">
      <x:c r="A2466" s="1" t="s">
        <x:v>2475</x:v>
      </x:c>
      <x:c r="B2466" s="1">
        <x:f>IFERROR(__xludf.DUMMYFUNCTION("""COMPUTED_VALUE"""),"Els fills de la pluja")</x:f>
      </x:c>
      <x:c r="C2466" s="1">
        <x:f>IFERROR(__xludf.DUMMYFUNCTION("""COMPUTED_VALUE"""),"2003")</x:f>
      </x:c>
    </x:row>
    <x:row r="2467" spans="1:10">
      <x:c r="A2467" s="1" t="s">
        <x:v>2476</x:v>
      </x:c>
      <x:c r="B2467" s="1">
        <x:f>IFERROR(__xludf.DUMMYFUNCTION("""COMPUTED_VALUE"""),"Els fills del bufador de vidre")</x:f>
      </x:c>
      <x:c r="C2467" s="1">
        <x:f>IFERROR(__xludf.DUMMYFUNCTION("""COMPUTED_VALUE"""),"1998")</x:f>
      </x:c>
    </x:row>
    <x:row r="2468" spans="1:10">
      <x:c r="A2468" s="1" t="s">
        <x:v>2477</x:v>
      </x:c>
      <x:c r="B2468" s="1">
        <x:f>IFERROR(__xludf.DUMMYFUNCTION("""COMPUTED_VALUE"""),"Els fills del pecat")</x:f>
      </x:c>
      <x:c r="C2468" s="1">
        <x:f>IFERROR(__xludf.DUMMYFUNCTION("""COMPUTED_VALUE"""),"2015")</x:f>
      </x:c>
    </x:row>
    <x:row r="2469" spans="1:10">
      <x:c r="A2469" s="1" t="s">
        <x:v>2478</x:v>
      </x:c>
      <x:c r="B2469" s="1">
        <x:f>IFERROR(__xludf.DUMMYFUNCTION("""COMPUTED_VALUE"""),"Els fills del sol")</x:f>
      </x:c>
      <x:c r="C2469" s="1">
        <x:f>IFERROR(__xludf.DUMMYFUNCTION("""COMPUTED_VALUE"""),"2016")</x:f>
      </x:c>
    </x:row>
    <x:row r="2470" spans="1:10">
      <x:c r="A2470" s="1" t="s">
        <x:v>2479</x:v>
      </x:c>
      <x:c r="B2470" s="1">
        <x:f>IFERROR(__xludf.DUMMYFUNCTION("""COMPUTED_VALUE"""),"Els fills del vent")</x:f>
      </x:c>
      <x:c r="C2470" s="1">
        <x:f>IFERROR(__xludf.DUMMYFUNCTION("""COMPUTED_VALUE"""),"2004")</x:f>
      </x:c>
    </x:row>
    <x:row r="2471" spans="1:10">
      <x:c r="A2471" s="1" t="s">
        <x:v>2480</x:v>
      </x:c>
      <x:c r="B2471" s="1">
        <x:f>IFERROR(__xludf.DUMMYFUNCTION("""COMPUTED_VALUE"""),"Els Goonies")</x:f>
      </x:c>
      <x:c r="C2471" s="1">
        <x:f>IFERROR(__xludf.DUMMYFUNCTION("""COMPUTED_VALUE"""),"1985")</x:f>
      </x:c>
    </x:row>
    <x:row r="2472" spans="1:10">
      <x:c r="A2472" s="1" t="s">
        <x:v>2481</x:v>
      </x:c>
      <x:c r="B2472" s="1">
        <x:f>IFERROR(__xludf.DUMMYFUNCTION("""COMPUTED_VALUE"""),"Els gossos adormits menteixen")</x:f>
      </x:c>
      <x:c r="C2472" s="1">
        <x:f>IFERROR(__xludf.DUMMYFUNCTION("""COMPUTED_VALUE"""),"2006")</x:f>
      </x:c>
    </x:row>
    <x:row r="2473" spans="1:10">
      <x:c r="A2473" s="1" t="s">
        <x:v>2482</x:v>
      </x:c>
      <x:c r="B2473" s="1">
        <x:f>IFERROR(__xludf.DUMMYFUNCTION("""COMPUTED_VALUE"""),"Els guapos")</x:f>
      </x:c>
      <x:c r="C2473" s="1">
        <x:f>IFERROR(__xludf.DUMMYFUNCTION("""COMPUTED_VALUE"""),"2009")</x:f>
      </x:c>
    </x:row>
    <x:row r="2474" spans="1:10">
      <x:c r="A2474" s="1" t="s">
        <x:v>2483</x:v>
      </x:c>
      <x:c r="B2474" s="1">
        <x:f>IFERROR(__xludf.DUMMYFUNCTION("""COMPUTED_VALUE"""),"Els guardians de la nit")</x:f>
      </x:c>
      <x:c r="C2474" s="1">
        <x:f>IFERROR(__xludf.DUMMYFUNCTION("""COMPUTED_VALUE"""),"2004")</x:f>
      </x:c>
    </x:row>
    <x:row r="2475" spans="1:10">
      <x:c r="A2475" s="1" t="s">
        <x:v>2484</x:v>
      </x:c>
      <x:c r="B2475" s="1">
        <x:f>IFERROR(__xludf.DUMMYFUNCTION("""COMPUTED_VALUE"""),"Els guardians de la nit (Kimetsu no Yaiba): El tren infinit")</x:f>
      </x:c>
      <x:c r="C2475" s="1">
        <x:f>IFERROR(__xludf.DUMMYFUNCTION("""COMPUTED_VALUE"""),"2020")</x:f>
      </x:c>
    </x:row>
    <x:row r="2476" spans="1:10">
      <x:c r="A2476" s="1" t="s">
        <x:v>2485</x:v>
      </x:c>
      <x:c r="B2476" s="1">
        <x:f>IFERROR(__xludf.DUMMYFUNCTION("""COMPUTED_VALUE"""),"Els herois de Kelly")</x:f>
      </x:c>
      <x:c r="C2476" s="1">
        <x:f>IFERROR(__xludf.DUMMYFUNCTION("""COMPUTED_VALUE"""),"1970")</x:f>
      </x:c>
    </x:row>
    <x:row r="2477" spans="1:10">
      <x:c r="A2477" s="1" t="s">
        <x:v>2486</x:v>
      </x:c>
      <x:c r="B2477" s="1">
        <x:f>IFERROR(__xludf.DUMMYFUNCTION("""COMPUTED_VALUE"""),"Els herois de Telemark")</x:f>
      </x:c>
      <x:c r="C2477" s="1">
        <x:f>IFERROR(__xludf.DUMMYFUNCTION("""COMPUTED_VALUE"""),"1965")</x:f>
      </x:c>
    </x:row>
    <x:row r="2478" spans="1:10">
      <x:c r="A2478" s="1" t="s">
        <x:v>2487</x:v>
      </x:c>
      <x:c r="B2478" s="1">
        <x:f>IFERROR(__xludf.DUMMYFUNCTION("""COMPUTED_VALUE"""),"Els herois de Vandellòs I")</x:f>
      </x:c>
      <x:c r="C2478" s="1">
        <x:f>IFERROR(__xludf.DUMMYFUNCTION("""COMPUTED_VALUE"""),"2024")</x:f>
      </x:c>
    </x:row>
    <x:row r="2479" spans="1:10">
      <x:c r="A2479" s="1" t="s">
        <x:v>2488</x:v>
      </x:c>
      <x:c r="B2479" s="1">
        <x:f>IFERROR(__xludf.DUMMYFUNCTION("""COMPUTED_VALUE"""),"Els herois del temps")</x:f>
      </x:c>
      <x:c r="C2479" s="1">
        <x:f>IFERROR(__xludf.DUMMYFUNCTION("""COMPUTED_VALUE"""),"1981")</x:f>
      </x:c>
    </x:row>
    <x:row r="2480" spans="1:10">
      <x:c r="A2480" s="1" t="s">
        <x:v>2489</x:v>
      </x:c>
      <x:c r="B2480" s="1">
        <x:f>IFERROR(__xludf.DUMMYFUNCTION("""COMPUTED_VALUE"""),"Els herois inesperats")</x:f>
      </x:c>
      <x:c r="C2480" s="1">
        <x:f>IFERROR(__xludf.DUMMYFUNCTION("""COMPUTED_VALUE"""),"2020")</x:f>
      </x:c>
    </x:row>
    <x:row r="2481" spans="1:10">
      <x:c r="A2481" s="1" t="s">
        <x:v>2490</x:v>
      </x:c>
      <x:c r="B2481" s="1">
        <x:f>IFERROR(__xludf.DUMMYFUNCTION("""COMPUTED_VALUE"""),"Els hi dono un any")</x:f>
      </x:c>
      <x:c r="C2481" s="1">
        <x:f>IFERROR(__xludf.DUMMYFUNCTION("""COMPUTED_VALUE"""),"2013")</x:f>
      </x:c>
    </x:row>
    <x:row r="2482" spans="1:10">
      <x:c r="A2482" s="1" t="s">
        <x:v>2491</x:v>
      </x:c>
      <x:c r="B2482" s="1">
        <x:f>IFERROR(__xludf.DUMMYFUNCTION("""COMPUTED_VALUE"""),"Els homes de Harrelson (S.W.A.T.)")</x:f>
      </x:c>
      <x:c r="C2482" s="1">
        <x:f>IFERROR(__xludf.DUMMYFUNCTION("""COMPUTED_VALUE"""),"2003")</x:f>
      </x:c>
    </x:row>
    <x:row r="2483" spans="1:10">
      <x:c r="A2483" s="1" t="s">
        <x:v>2492</x:v>
      </x:c>
      <x:c r="B2483" s="1">
        <x:f>IFERROR(__xludf.DUMMYFUNCTION("""COMPUTED_VALUE"""),"Els homes que miraven fixament les cabres")</x:f>
      </x:c>
      <x:c r="C2483" s="1">
        <x:f>IFERROR(__xludf.DUMMYFUNCTION("""COMPUTED_VALUE"""),"2009")</x:f>
      </x:c>
    </x:row>
    <x:row r="2484" spans="1:10">
      <x:c r="A2484" s="1" t="s">
        <x:v>2493</x:v>
      </x:c>
      <x:c r="B2484" s="1">
        <x:f>IFERROR(__xludf.DUMMYFUNCTION("""COMPUTED_VALUE"""),"Els homes que volien pujar una muntanya de més de 8.000 metres")</x:f>
      </x:c>
      <x:c r="C2484" s="1">
        <x:f>IFERROR(__xludf.DUMMYFUNCTION("""COMPUTED_VALUE"""),"2013")</x:f>
      </x:c>
    </x:row>
    <x:row r="2485" spans="1:10">
      <x:c r="A2485" s="1" t="s">
        <x:v>2494</x:v>
      </x:c>
      <x:c r="B2485" s="1">
        <x:f>IFERROR(__xludf.DUMMYFUNCTION("""COMPUTED_VALUE"""),"Els horaris impossibles")</x:f>
      </x:c>
      <x:c r="C2485" s="1">
        <x:f>IFERROR(__xludf.DUMMYFUNCTION("""COMPUTED_VALUE"""),"2025")</x:f>
      </x:c>
    </x:row>
    <x:row r="2486" spans="1:10">
      <x:c r="A2486" s="1" t="s">
        <x:v>2495</x:v>
      </x:c>
      <x:c r="B2486" s="1">
        <x:f>IFERROR(__xludf.DUMMYFUNCTION("""COMPUTED_VALUE"""),"Els idus de març")</x:f>
      </x:c>
      <x:c r="C2486" s="1">
        <x:f>IFERROR(__xludf.DUMMYFUNCTION("""COMPUTED_VALUE"""),"2011")</x:f>
      </x:c>
    </x:row>
    <x:row r="2487" spans="1:10">
      <x:c r="A2487" s="1" t="s">
        <x:v>2496</x:v>
      </x:c>
      <x:c r="B2487" s="1">
        <x:f>IFERROR(__xludf.DUMMYFUNCTION("""COMPUTED_VALUE"""),"Els immortals II, el desafiament")</x:f>
      </x:c>
      <x:c r="C2487" s="1">
        <x:f>IFERROR(__xludf.DUMMYFUNCTION("""COMPUTED_VALUE"""),"1991")</x:f>
      </x:c>
    </x:row>
    <x:row r="2488" spans="1:10">
      <x:c r="A2488" s="1" t="s">
        <x:v>2497</x:v>
      </x:c>
      <x:c r="B2488" s="1">
        <x:f>IFERROR(__xludf.DUMMYFUNCTION("""COMPUTED_VALUE"""),"Els Immortals III, la dimensió final")</x:f>
      </x:c>
      <x:c r="C2488" s="1">
        <x:f>IFERROR(__xludf.DUMMYFUNCTION("""COMPUTED_VALUE"""),"1994")</x:f>
      </x:c>
    </x:row>
    <x:row r="2489" spans="1:10">
      <x:c r="A2489" s="1" t="s">
        <x:v>2498</x:v>
      </x:c>
      <x:c r="B2489" s="1">
        <x:f>IFERROR(__xludf.DUMMYFUNCTION("""COMPUTED_VALUE"""),"Els immortals: l'origen")</x:f>
      </x:c>
      <x:c r="C2489" s="1">
        <x:f>IFERROR(__xludf.DUMMYFUNCTION("""COMPUTED_VALUE"""),"2007")</x:f>
      </x:c>
    </x:row>
    <x:row r="2490" spans="1:10">
      <x:c r="A2490" s="1" t="s">
        <x:v>2499</x:v>
      </x:c>
      <x:c r="B2490" s="1">
        <x:f>IFERROR(__xludf.DUMMYFUNCTION("""COMPUTED_VALUE"""),"Els implacables")</x:f>
      </x:c>
      <x:c r="C2490" s="1">
        <x:f>IFERROR(__xludf.DUMMYFUNCTION("""COMPUTED_VALUE"""),"1955")</x:f>
      </x:c>
    </x:row>
    <x:row r="2491" spans="1:10">
      <x:c r="A2491" s="1" t="s">
        <x:v>2500</x:v>
      </x:c>
      <x:c r="B2491" s="1">
        <x:f>IFERROR(__xludf.DUMMYFUNCTION("""COMPUTED_VALUE"""),"Els impostors")</x:f>
      </x:c>
      <x:c r="C2491" s="1">
        <x:f>IFERROR(__xludf.DUMMYFUNCTION("""COMPUTED_VALUE"""),"2003")</x:f>
      </x:c>
    </x:row>
    <x:row r="2492" spans="1:10">
      <x:c r="A2492" s="1" t="s">
        <x:v>2501</x:v>
      </x:c>
      <x:c r="B2492" s="1">
        <x:f>IFERROR(__xludf.DUMMYFUNCTION("""COMPUTED_VALUE"""),"Els imprevistos de l'amor")</x:f>
      </x:c>
      <x:c r="C2492" s="1">
        <x:f>IFERROR(__xludf.DUMMYFUNCTION("""COMPUTED_VALUE"""),"2014")</x:f>
      </x:c>
    </x:row>
    <x:row r="2493" spans="1:10">
      <x:c r="A2493" s="1" t="s">
        <x:v>2502</x:v>
      </x:c>
      <x:c r="B2493" s="1">
        <x:f>IFERROR(__xludf.DUMMYFUNCTION("""COMPUTED_VALUE"""),"Els Increïbles I")</x:f>
      </x:c>
      <x:c r="C2493" s="1">
        <x:f>IFERROR(__xludf.DUMMYFUNCTION("""COMPUTED_VALUE"""),"2004")</x:f>
      </x:c>
    </x:row>
    <x:row r="2494" spans="1:10">
      <x:c r="A2494" s="1" t="s">
        <x:v>2503</x:v>
      </x:c>
      <x:c r="B2494" s="1">
        <x:f>IFERROR(__xludf.DUMMYFUNCTION("""COMPUTED_VALUE"""),"Els Increïbles II")</x:f>
      </x:c>
      <x:c r="C2494" s="1">
        <x:f>IFERROR(__xludf.DUMMYFUNCTION("""COMPUTED_VALUE"""),"2018")</x:f>
      </x:c>
    </x:row>
    <x:row r="2495" spans="1:10">
      <x:c r="A2495" s="1" t="s">
        <x:v>2504</x:v>
      </x:c>
      <x:c r="B2495" s="1">
        <x:f>IFERROR(__xludf.DUMMYFUNCTION("""COMPUTED_VALUE"""),"Els informes de la Sarah i el Saleem")</x:f>
      </x:c>
      <x:c r="C2495" s="1">
        <x:f>IFERROR(__xludf.DUMMYFUNCTION("""COMPUTED_VALUE"""),"2018")</x:f>
      </x:c>
    </x:row>
    <x:row r="2496" spans="1:10">
      <x:c r="A2496" s="1" t="s">
        <x:v>2505</x:v>
      </x:c>
      <x:c r="B2496" s="1">
        <x:f>IFERROR(__xludf.DUMMYFUNCTION("""COMPUTED_VALUE"""),"Els internats de la por")</x:f>
      </x:c>
      <x:c r="C2496" s="1">
        <x:f>IFERROR(__xludf.DUMMYFUNCTION("""COMPUTED_VALUE"""),"2015")</x:f>
      </x:c>
    </x:row>
    <x:row r="2497" spans="1:10">
      <x:c r="A2497" s="1" t="s">
        <x:v>2506</x:v>
      </x:c>
      <x:c r="B2497" s="1">
        <x:f>IFERROR(__xludf.DUMMYFUNCTION("""COMPUTED_VALUE"""),"Els intocables d'Eliot Ness")</x:f>
      </x:c>
      <x:c r="C2497" s="1">
        <x:f>IFERROR(__xludf.DUMMYFUNCTION("""COMPUTED_VALUE"""),"1987")</x:f>
      </x:c>
    </x:row>
    <x:row r="2498" spans="1:10">
      <x:c r="A2498" s="1" t="s">
        <x:v>2507</x:v>
      </x:c>
      <x:c r="B2498" s="1">
        <x:f>IFERROR(__xludf.DUMMYFUNCTION("""COMPUTED_VALUE"""),"Els investigadors i el tresor de les profunditats marines")</x:f>
      </x:c>
      <x:c r="C2498" s="1">
        <x:f>IFERROR(__xludf.DUMMYFUNCTION("""COMPUTED_VALUE"""),"2020")</x:f>
      </x:c>
    </x:row>
    <x:row r="2499" spans="1:10">
      <x:c r="A2499" s="1" t="s">
        <x:v>2508</x:v>
      </x:c>
      <x:c r="B2499" s="1">
        <x:f>IFERROR(__xludf.DUMMYFUNCTION("""COMPUTED_VALUE"""),"Els investigadors i la maledicció del Rei Fosc")</x:f>
      </x:c>
      <x:c r="C2499" s="1">
        <x:f>IFERROR(__xludf.DUMMYFUNCTION("""COMPUTED_VALUE"""),"2017")</x:f>
      </x:c>
    </x:row>
    <x:row r="2500" spans="1:10">
      <x:c r="A2500" s="1" t="s">
        <x:v>2509</x:v>
      </x:c>
      <x:c r="B2500" s="1">
        <x:f>IFERROR(__xludf.DUMMYFUNCTION("""COMPUTED_VALUE"""),"Els jocs de la fam")</x:f>
      </x:c>
      <x:c r="C2500" s="1">
        <x:f>IFERROR(__xludf.DUMMYFUNCTION("""COMPUTED_VALUE"""),"2012")</x:f>
      </x:c>
    </x:row>
    <x:row r="2501" spans="1:10">
      <x:c r="A2501" s="1" t="s">
        <x:v>2510</x:v>
      </x:c>
      <x:c r="B2501" s="1">
        <x:f>IFERROR(__xludf.DUMMYFUNCTION("""COMPUTED_VALUE"""),"Els jocs de la fam: Balada de refilaires i serps")</x:f>
      </x:c>
      <x:c r="C2501" s="1">
        <x:f>IFERROR(__xludf.DUMMYFUNCTION("""COMPUTED_VALUE"""),"2023")</x:f>
      </x:c>
    </x:row>
    <x:row r="2502" spans="1:10">
      <x:c r="A2502" s="1" t="s">
        <x:v>2511</x:v>
      </x:c>
      <x:c r="B2502" s="1">
        <x:f>IFERROR(__xludf.DUMMYFUNCTION("""COMPUTED_VALUE"""),"Els joves amants")</x:f>
      </x:c>
      <x:c r="C2502" s="1">
        <x:f>IFERROR(__xludf.DUMMYFUNCTION("""COMPUTED_VALUE"""),"2021")</x:f>
      </x:c>
    </x:row>
    <x:row r="2503" spans="1:10">
      <x:c r="A2503" s="1" t="s">
        <x:v>2512</x:v>
      </x:c>
      <x:c r="B2503" s="1">
        <x:f>IFERROR(__xludf.DUMMYFUNCTION("""COMPUTED_VALUE"""),"Els justiciers de l'Oest")</x:f>
      </x:c>
      <x:c r="C2503" s="1">
        <x:f>IFERROR(__xludf.DUMMYFUNCTION("""COMPUTED_VALUE"""),"1975")</x:f>
      </x:c>
    </x:row>
    <x:row r="2504" spans="1:10">
      <x:c r="A2504" s="1" t="s">
        <x:v>2513</x:v>
      </x:c>
      <x:c r="B2504" s="1">
        <x:f>IFERROR(__xludf.DUMMYFUNCTION("""COMPUTED_VALUE"""),"Els Karamazoff. A walk on the SoHo years")</x:f>
      </x:c>
      <x:c r="C2504" s="1">
        <x:f>IFERROR(__xludf.DUMMYFUNCTION("""COMPUTED_VALUE"""),"2018")</x:f>
      </x:c>
    </x:row>
    <x:row r="2505" spans="1:10">
      <x:c r="A2505" s="1" t="s">
        <x:v>2514</x:v>
      </x:c>
      <x:c r="B2505" s="1">
        <x:f>IFERROR(__xludf.DUMMYFUNCTION("""COMPUTED_VALUE"""),"Els límits de la veritat")</x:f>
      </x:c>
      <x:c r="C2505" s="1">
        <x:f>IFERROR(__xludf.DUMMYFUNCTION("""COMPUTED_VALUE"""),"2013")</x:f>
      </x:c>
    </x:row>
    <x:row r="2506" spans="1:10">
      <x:c r="A2506" s="1" t="s">
        <x:v>2515</x:v>
      </x:c>
      <x:c r="B2506" s="1">
        <x:f>IFERROR(__xludf.DUMMYFUNCTION("""COMPUTED_VALUE"""),"Els llaços del cor")</x:f>
      </x:c>
      <x:c r="C2506" s="1">
        <x:f>IFERROR(__xludf.DUMMYFUNCTION("""COMPUTED_VALUE"""),"2016")</x:f>
      </x:c>
    </x:row>
    <x:row r="2507" spans="1:10">
      <x:c r="A2507" s="1" t="s">
        <x:v>2516</x:v>
      </x:c>
      <x:c r="B2507" s="1">
        <x:f>IFERROR(__xludf.DUMMYFUNCTION("""COMPUTED_VALUE"""),"Els llibres de Prospero")</x:f>
      </x:c>
      <x:c r="C2507" s="1">
        <x:f>IFERROR(__xludf.DUMMYFUNCTION("""COMPUTED_VALUE"""),"1991")</x:f>
      </x:c>
    </x:row>
    <x:row r="2508" spans="1:10">
      <x:c r="A2508" s="1" t="s">
        <x:v>2517</x:v>
      </x:c>
      <x:c r="B2508" s="1">
        <x:f>IFERROR(__xludf.DUMMYFUNCTION("""COMPUTED_VALUE"""),"Els mercenaris")</x:f>
      </x:c>
      <x:c r="C2508" s="1">
        <x:f>IFERROR(__xludf.DUMMYFUNCTION("""COMPUTED_VALUE"""),"2010")</x:f>
      </x:c>
    </x:row>
    <x:row r="2509" spans="1:10">
      <x:c r="A2509" s="1" t="s">
        <x:v>2518</x:v>
      </x:c>
      <x:c r="B2509" s="1">
        <x:f>IFERROR(__xludf.DUMMYFUNCTION("""COMPUTED_VALUE"""),"Els meus dobles, la meva dona i jo")</x:f>
      </x:c>
      <x:c r="C2509" s="1">
        <x:f>IFERROR(__xludf.DUMMYFUNCTION("""COMPUTED_VALUE"""),"1996")</x:f>
      </x:c>
    </x:row>
    <x:row r="2510" spans="1:10">
      <x:c r="A2510" s="1" t="s">
        <x:v>2519</x:v>
      </x:c>
      <x:c r="B2510" s="1">
        <x:f>IFERROR(__xludf.DUMMYFUNCTION("""COMPUTED_VALUE"""),"Els millors amics")</x:f>
      </x:c>
      <x:c r="C2510" s="1">
        <x:f>IFERROR(__xludf.DUMMYFUNCTION("""COMPUTED_VALUE"""),"2017")</x:f>
      </x:c>
    </x:row>
    <x:row r="2511" spans="1:10">
      <x:c r="A2511" s="1" t="s">
        <x:v>2520</x:v>
      </x:c>
      <x:c r="B2511" s="1">
        <x:f>IFERROR(__xludf.DUMMYFUNCTION("""COMPUTED_VALUE"""),"Els millors homes")</x:f>
      </x:c>
      <x:c r="C2511" s="1">
        <x:f>IFERROR(__xludf.DUMMYFUNCTION("""COMPUTED_VALUE"""),"2012")</x:f>
      </x:c>
    </x:row>
    <x:row r="2512" spans="1:10">
      <x:c r="A2512" s="1" t="s">
        <x:v>2521</x:v>
      </x:c>
      <x:c r="B2512" s="1">
        <x:f>IFERROR(__xludf.DUMMYFUNCTION("""COMPUTED_VALUE"""),"Els Mínions")</x:f>
      </x:c>
      <x:c r="C2512" s="1">
        <x:f>IFERROR(__xludf.DUMMYFUNCTION("""COMPUTED_VALUE"""),"2015")</x:f>
      </x:c>
    </x:row>
    <x:row r="2513" spans="1:10">
      <x:c r="A2513" s="1" t="s">
        <x:v>2522</x:v>
      </x:c>
      <x:c r="B2513" s="1">
        <x:f>IFERROR(__xludf.DUMMYFUNCTION("""COMPUTED_VALUE"""),"Els miracles del cel")</x:f>
      </x:c>
      <x:c r="C2513" s="1">
        <x:f>IFERROR(__xludf.DUMMYFUNCTION("""COMPUTED_VALUE"""),"2016")</x:f>
      </x:c>
    </x:row>
    <x:row r="2514" spans="1:10">
      <x:c r="A2514" s="1" t="s">
        <x:v>2523</x:v>
      </x:c>
      <x:c r="B2514" s="1">
        <x:f>IFERROR(__xludf.DUMMYFUNCTION("""COMPUTED_VALUE"""),"Els miserables")</x:f>
      </x:c>
      <x:c r="C2514" s="1">
        <x:f>IFERROR(__xludf.DUMMYFUNCTION("""COMPUTED_VALUE"""),"1998")</x:f>
      </x:c>
    </x:row>
    <x:row r="2515" spans="1:10">
      <x:c r="A2515" s="1" t="s">
        <x:v>2524</x:v>
      </x:c>
      <x:c r="B2515" s="1">
        <x:f>IFERROR(__xludf.DUMMYFUNCTION("""COMPUTED_VALUE"""),"Els miserables")</x:f>
      </x:c>
      <x:c r="C2515" s="1">
        <x:f>IFERROR(__xludf.DUMMYFUNCTION("""COMPUTED_VALUE"""),"2019")</x:f>
      </x:c>
    </x:row>
    <x:row r="2516" spans="1:10">
      <x:c r="A2516" s="1" t="s">
        <x:v>2525</x:v>
      </x:c>
      <x:c r="B2516" s="1">
        <x:f>IFERROR(__xludf.DUMMYFUNCTION("""COMPUTED_VALUE"""),"Els misteriosos assassinats de Limehouse")</x:f>
      </x:c>
      <x:c r="C2516" s="1">
        <x:f>IFERROR(__xludf.DUMMYFUNCTION("""COMPUTED_VALUE"""),"2016")</x:f>
      </x:c>
    </x:row>
    <x:row r="2517" spans="1:10">
      <x:c r="A2517" s="1" t="s">
        <x:v>2526</x:v>
      </x:c>
      <x:c r="B2517" s="1">
        <x:f>IFERROR(__xludf.DUMMYFUNCTION("""COMPUTED_VALUE"""),"Els misteriosos contes del pomer")</x:f>
      </x:c>
      <x:c r="C2517" s="1">
        <x:f>IFERROR(__xludf.DUMMYFUNCTION("""COMPUTED_VALUE"""),"2025")</x:f>
      </x:c>
    </x:row>
    <x:row r="2518" spans="1:10">
      <x:c r="A2518" s="1" t="s">
        <x:v>2527</x:v>
      </x:c>
      <x:c r="B2518" s="1">
        <x:f>IFERROR(__xludf.DUMMYFUNCTION("""COMPUTED_VALUE"""),"Els misteris de l'Escola de Gendarmeria")</x:f>
      </x:c>
      <x:c r="C2518" s="1">
        <x:f>IFERROR(__xludf.DUMMYFUNCTION("""COMPUTED_VALUE"""),"2021")</x:f>
      </x:c>
    </x:row>
    <x:row r="2519" spans="1:10">
      <x:c r="A2519" s="1" t="s">
        <x:v>2528</x:v>
      </x:c>
      <x:c r="B2519" s="1">
        <x:f>IFERROR(__xludf.DUMMYFUNCTION("""COMPUTED_VALUE"""),"Els misteris de l'illa")</x:f>
      </x:c>
      <x:c r="C2519" s="1">
        <x:f>IFERROR(__xludf.DUMMYFUNCTION("""COMPUTED_VALUE"""),"2017")</x:f>
      </x:c>
    </x:row>
    <x:row r="2520" spans="1:10">
      <x:c r="A2520" s="1" t="s">
        <x:v>2529</x:v>
      </x:c>
      <x:c r="B2520" s="1">
        <x:f>IFERROR(__xludf.DUMMYFUNCTION("""COMPUTED_VALUE"""),"Els misteris de la basílica")</x:f>
      </x:c>
      <x:c r="C2520" s="1">
        <x:f>IFERROR(__xludf.DUMMYFUNCTION("""COMPUTED_VALUE"""),"2018")</x:f>
      </x:c>
    </x:row>
    <x:row r="2521" spans="1:10">
      <x:c r="A2521" s="1" t="s">
        <x:v>2530</x:v>
      </x:c>
      <x:c r="B2521" s="1">
        <x:f>IFERROR(__xludf.DUMMYFUNCTION("""COMPUTED_VALUE"""),"Els misteris de la Coral")</x:f>
      </x:c>
      <x:c r="C2521" s="1">
        <x:f>IFERROR(__xludf.DUMMYFUNCTION("""COMPUTED_VALUE"""),"2020")</x:f>
      </x:c>
    </x:row>
    <x:row r="2522" spans="1:10">
      <x:c r="A2522" s="1" t="s">
        <x:v>2531</x:v>
      </x:c>
      <x:c r="B2522" s="1">
        <x:f>IFERROR(__xludf.DUMMYFUNCTION("""COMPUTED_VALUE"""),"Els misteris de la Jennifer")</x:f>
      </x:c>
      <x:c r="C2522" s="1">
        <x:f>IFERROR(__xludf.DUMMYFUNCTION("""COMPUTED_VALUE"""),"2013")</x:f>
      </x:c>
    </x:row>
    <x:row r="2523" spans="1:10">
      <x:c r="A2523" s="1" t="s">
        <x:v>2532</x:v>
      </x:c>
      <x:c r="B2523" s="1">
        <x:f>IFERROR(__xludf.DUMMYFUNCTION("""COMPUTED_VALUE"""),"Els misteris de la marea")</x:f>
      </x:c>
      <x:c r="C2523" s="1">
        <x:f>IFERROR(__xludf.DUMMYFUNCTION("""COMPUTED_VALUE"""),"2023")</x:f>
      </x:c>
    </x:row>
    <x:row r="2524" spans="1:10">
      <x:c r="A2524" s="1" t="s">
        <x:v>2533</x:v>
      </x:c>
      <x:c r="B2524" s="1">
        <x:f>IFERROR(__xludf.DUMMYFUNCTION("""COMPUTED_VALUE"""),"Els misteris de les majorets")</x:f>
      </x:c>
      <x:c r="C2524" s="1">
        <x:f>IFERROR(__xludf.DUMMYFUNCTION("""COMPUTED_VALUE"""),"2020")</x:f>
      </x:c>
    </x:row>
    <x:row r="2525" spans="1:10">
      <x:c r="A2525" s="1" t="s">
        <x:v>2534</x:v>
      </x:c>
      <x:c r="B2525" s="1">
        <x:f>IFERROR(__xludf.DUMMYFUNCTION("""COMPUTED_VALUE"""),"Els misteris del Bosc Galant")</x:f>
      </x:c>
      <x:c r="C2525" s="1">
        <x:f>IFERROR(__xludf.DUMMYFUNCTION("""COMPUTED_VALUE"""),"2019")</x:f>
      </x:c>
    </x:row>
    <x:row r="2526" spans="1:10">
      <x:c r="A2526" s="1" t="s">
        <x:v>2535</x:v>
      </x:c>
      <x:c r="B2526" s="1">
        <x:f>IFERROR(__xludf.DUMMYFUNCTION("""COMPUTED_VALUE"""),"Els negociadors, com construir la pau")</x:f>
      </x:c>
      <x:c r="C2526" s="1">
        <x:f>IFERROR(__xludf.DUMMYFUNCTION("""COMPUTED_VALUE"""),"2025")</x:f>
      </x:c>
    </x:row>
    <x:row r="2527" spans="1:10">
      <x:c r="A2527" s="1" t="s">
        <x:v>2536</x:v>
      </x:c>
      <x:c r="B2527" s="1">
        <x:f>IFERROR(__xludf.DUMMYFUNCTION("""COMPUTED_VALUE"""),"Els nens de Huang Shi")</x:f>
      </x:c>
      <x:c r="C2527" s="1">
        <x:f>IFERROR(__xludf.DUMMYFUNCTION("""COMPUTED_VALUE"""),"2008")</x:f>
      </x:c>
    </x:row>
    <x:row r="2528" spans="1:10">
      <x:c r="A2528" s="1" t="s">
        <x:v>2537</x:v>
      </x:c>
      <x:c r="B2528" s="1">
        <x:f>IFERROR(__xludf.DUMMYFUNCTION("""COMPUTED_VALUE"""),"Els nens de la riuada")</x:f>
      </x:c>
      <x:c r="C2528" s="1">
        <x:f>IFERROR(__xludf.DUMMYFUNCTION("""COMPUTED_VALUE"""),"2022")</x:f>
      </x:c>
    </x:row>
    <x:row r="2529" spans="1:10">
      <x:c r="A2529" s="1" t="s">
        <x:v>2538</x:v>
      </x:c>
      <x:c r="B2529" s="1">
        <x:f>IFERROR(__xludf.DUMMYFUNCTION("""COMPUTED_VALUE"""),"Els nens de les panotxes")</x:f>
      </x:c>
      <x:c r="C2529" s="1">
        <x:f>IFERROR(__xludf.DUMMYFUNCTION("""COMPUTED_VALUE"""),"1984")</x:f>
      </x:c>
    </x:row>
    <x:row r="2530" spans="1:10">
      <x:c r="A2530" s="1" t="s">
        <x:v>2539</x:v>
      </x:c>
      <x:c r="B2530" s="1">
        <x:f>IFERROR(__xludf.DUMMYFUNCTION("""COMPUTED_VALUE"""),"Els nens de Timpelbach")</x:f>
      </x:c>
      <x:c r="C2530" s="1">
        <x:f>IFERROR(__xludf.DUMMYFUNCTION("""COMPUTED_VALUE"""),"2008")</x:f>
      </x:c>
    </x:row>
    <x:row r="2531" spans="1:10">
      <x:c r="A2531" s="1" t="s">
        <x:v>2540</x:v>
      </x:c>
      <x:c r="B2531" s="1">
        <x:f>IFERROR(__xludf.DUMMYFUNCTION("""COMPUTED_VALUE"""),"Els nens del Brasil")</x:f>
      </x:c>
      <x:c r="C2531" s="1">
        <x:f>IFERROR(__xludf.DUMMYFUNCTION("""COMPUTED_VALUE"""),"1978")</x:f>
      </x:c>
    </x:row>
    <x:row r="2532" spans="1:10">
      <x:c r="A2532" s="1" t="s">
        <x:v>2541</x:v>
      </x:c>
      <x:c r="B2532" s="1">
        <x:f>IFERROR(__xludf.DUMMYFUNCTION("""COMPUTED_VALUE"""),"Els nens salvatges")</x:f>
      </x:c>
      <x:c r="C2532" s="1">
        <x:f>IFERROR(__xludf.DUMMYFUNCTION("""COMPUTED_VALUE"""),"2012")</x:f>
      </x:c>
    </x:row>
    <x:row r="2533" spans="1:10">
      <x:c r="A2533" s="1" t="s">
        <x:v>2542</x:v>
      </x:c>
      <x:c r="B2533" s="1">
        <x:f>IFERROR(__xludf.DUMMYFUNCTION("""COMPUTED_VALUE"""),"Els neonazis i l'extrema dreta a Alemanya")</x:f>
      </x:c>
      <x:c r="C2533" s="1">
        <x:f>IFERROR(__xludf.DUMMYFUNCTION("""COMPUTED_VALUE"""),"2021")</x:f>
      </x:c>
    </x:row>
    <x:row r="2534" spans="1:10">
      <x:c r="A2534" s="1" t="s">
        <x:v>2543</x:v>
      </x:c>
      <x:c r="B2534" s="1">
        <x:f>IFERROR(__xludf.DUMMYFUNCTION("""COMPUTED_VALUE"""),"Els nois estan bé")</x:f>
      </x:c>
      <x:c r="C2534" s="1">
        <x:f>IFERROR(__xludf.DUMMYFUNCTION("""COMPUTED_VALUE"""),"2010")</x:f>
      </x:c>
    </x:row>
    <x:row r="2535" spans="1:10">
      <x:c r="A2535" s="1" t="s">
        <x:v>2544</x:v>
      </x:c>
      <x:c r="B2535" s="1">
        <x:f>IFERROR(__xludf.DUMMYFUNCTION("""COMPUTED_VALUE"""),"Els nois han tornat")</x:f>
      </x:c>
      <x:c r="C2535" s="1">
        <x:f>IFERROR(__xludf.DUMMYFUNCTION("""COMPUTED_VALUE"""),"2020")</x:f>
      </x:c>
    </x:row>
    <x:row r="2536" spans="1:10">
      <x:c r="A2536" s="1" t="s">
        <x:v>2545</x:v>
      </x:c>
      <x:c r="B2536" s="1">
        <x:f>IFERROR(__xludf.DUMMYFUNCTION("""COMPUTED_VALUE"""),"Els noms d'Alícia")</x:f>
      </x:c>
      <x:c r="C2536" s="1">
        <x:f>IFERROR(__xludf.DUMMYFUNCTION("""COMPUTED_VALUE"""),"2005")</x:f>
      </x:c>
    </x:row>
    <x:row r="2537" spans="1:10">
      <x:c r="A2537" s="1" t="s">
        <x:v>2546</x:v>
      </x:c>
      <x:c r="B2537" s="1">
        <x:f>IFERROR(__xludf.DUMMYFUNCTION("""COMPUTED_VALUE"""),"Els nostres meravellosos aliats")</x:f>
      </x:c>
      <x:c r="C2537" s="1">
        <x:f>IFERROR(__xludf.DUMMYFUNCTION("""COMPUTED_VALUE"""),"1987")</x:f>
      </x:c>
    </x:row>
    <x:row r="2538" spans="1:10">
      <x:c r="A2538" s="1" t="s">
        <x:v>2547</x:v>
      </x:c>
      <x:c r="B2538" s="1">
        <x:f>IFERROR(__xludf.DUMMYFUNCTION("""COMPUTED_VALUE"""),"Els nous centurions")</x:f>
      </x:c>
      <x:c r="C2538" s="1">
        <x:f>IFERROR(__xludf.DUMMYFUNCTION("""COMPUTED_VALUE"""),"1972")</x:f>
      </x:c>
    </x:row>
    <x:row r="2539" spans="1:10">
      <x:c r="A2539" s="1" t="s">
        <x:v>2548</x:v>
      </x:c>
      <x:c r="B2539" s="1">
        <x:f>IFERROR(__xludf.DUMMYFUNCTION("""COMPUTED_VALUE"""),"Els nous esclaus")</x:f>
      </x:c>
      <x:c r="C2539" s="1">
        <x:f>IFERROR(__xludf.DUMMYFUNCTION("""COMPUTED_VALUE"""),"2025")</x:f>
      </x:c>
    </x:row>
    <x:row r="2540" spans="1:10">
      <x:c r="A2540" s="1" t="s">
        <x:v>2549</x:v>
      </x:c>
      <x:c r="B2540" s="1">
        <x:f>IFERROR(__xludf.DUMMYFUNCTION("""COMPUTED_VALUE"""),"Els núvols de Sils María")</x:f>
      </x:c>
      <x:c r="C2540" s="1">
        <x:f>IFERROR(__xludf.DUMMYFUNCTION("""COMPUTED_VALUE"""),"2014")</x:f>
      </x:c>
    </x:row>
    <x:row r="2541" spans="1:10">
      <x:c r="A2541" s="1" t="s">
        <x:v>2550</x:v>
      </x:c>
      <x:c r="B2541" s="1">
        <x:f>IFERROR(__xludf.DUMMYFUNCTION("""COMPUTED_VALUE"""),"Els ocells")</x:f>
      </x:c>
      <x:c r="C2541" s="1">
        <x:f>IFERROR(__xludf.DUMMYFUNCTION("""COMPUTED_VALUE"""),"1963")</x:f>
      </x:c>
    </x:row>
    <x:row r="2542" spans="1:10">
      <x:c r="A2542" s="1" t="s">
        <x:v>2551</x:v>
      </x:c>
      <x:c r="B2542" s="1">
        <x:f>IFERROR(__xludf.DUMMYFUNCTION("""COMPUTED_VALUE"""),"Els Olchis")</x:f>
      </x:c>
      <x:c r="C2542" s="1">
        <x:f>IFERROR(__xludf.DUMMYFUNCTION("""COMPUTED_VALUE"""),"2021")</x:f>
      </x:c>
    </x:row>
    <x:row r="2543" spans="1:10">
      <x:c r="A2543" s="1" t="s">
        <x:v>2552</x:v>
      </x:c>
      <x:c r="B2543" s="1">
        <x:f>IFERROR(__xludf.DUMMYFUNCTION("""COMPUTED_VALUE"""),"Els óssos amorosos en el país de les meravelles")</x:f>
      </x:c>
      <x:c r="C2543" s="1">
        <x:f>IFERROR(__xludf.DUMMYFUNCTION("""COMPUTED_VALUE"""),"1987")</x:f>
      </x:c>
    </x:row>
    <x:row r="2544" spans="1:10">
      <x:c r="A2544" s="1" t="s">
        <x:v>2553</x:v>
      </x:c>
      <x:c r="B2544" s="1">
        <x:f>IFERROR(__xludf.DUMMYFUNCTION("""COMPUTED_VALUE"""),"Els ossos de la neu")</x:f>
      </x:c>
      <x:c r="C2544" s="1">
        <x:f>IFERROR(__xludf.DUMMYFUNCTION("""COMPUTED_VALUE"""),"2017")</x:f>
      </x:c>
    </x:row>
    <x:row r="2545" spans="1:10">
      <x:c r="A2545" s="1" t="s">
        <x:v>2554</x:v>
      </x:c>
      <x:c r="B2545" s="1">
        <x:f>IFERROR(__xludf.DUMMYFUNCTION("""COMPUTED_VALUE"""),"Els papers d'Aspern")</x:f>
      </x:c>
      <x:c r="C2545" s="1">
        <x:f>IFERROR(__xludf.DUMMYFUNCTION("""COMPUTED_VALUE"""),"2018")</x:f>
      </x:c>
    </x:row>
    <x:row r="2546" spans="1:10">
      <x:c r="A2546" s="1" t="s">
        <x:v>2555</x:v>
      </x:c>
      <x:c r="B2546" s="1">
        <x:f>IFERROR(__xludf.DUMMYFUNCTION("""COMPUTED_VALUE"""),"Els pares d'ell")</x:f>
      </x:c>
      <x:c r="C2546" s="1">
        <x:f>IFERROR(__xludf.DUMMYFUNCTION("""COMPUTED_VALUE"""),"2004")</x:f>
      </x:c>
    </x:row>
    <x:row r="2547" spans="1:10">
      <x:c r="A2547" s="1" t="s">
        <x:v>2556</x:v>
      </x:c>
      <x:c r="B2547" s="1">
        <x:f>IFERROR(__xludf.DUMMYFUNCTION("""COMPUTED_VALUE"""),"Els pares d'ella")</x:f>
      </x:c>
      <x:c r="C2547" s="1">
        <x:f>IFERROR(__xludf.DUMMYFUNCTION("""COMPUTED_VALUE"""),"2000")</x:f>
      </x:c>
    </x:row>
    <x:row r="2548" spans="1:10">
      <x:c r="A2548" s="1" t="s">
        <x:v>2557</x:v>
      </x:c>
      <x:c r="B2548" s="1">
        <x:f>IFERROR(__xludf.DUMMYFUNCTION("""COMPUTED_VALUE"""),"Els pares de l'assassí")</x:f>
      </x:c>
      <x:c r="C2548" s="1">
        <x:f>IFERROR(__xludf.DUMMYFUNCTION("""COMPUTED_VALUE"""),"2024")</x:f>
      </x:c>
    </x:row>
    <x:row r="2549" spans="1:10">
      <x:c r="A2549" s="1" t="s">
        <x:v>2558</x:v>
      </x:c>
      <x:c r="B2549" s="1">
        <x:f>IFERROR(__xludf.DUMMYFUNCTION("""COMPUTED_VALUE"""),"Els pares perfectes")</x:f>
      </x:c>
      <x:c r="C2549" s="1">
        <x:f>IFERROR(__xludf.DUMMYFUNCTION("""COMPUTED_VALUE"""),"2017")</x:f>
      </x:c>
    </x:row>
    <x:row r="2550" spans="1:10">
      <x:c r="A2550" s="1" t="s">
        <x:v>2559</x:v>
      </x:c>
      <x:c r="B2550" s="1">
        <x:f>IFERROR(__xludf.DUMMYFUNCTION("""COMPUTED_VALUE"""),"Els passos dobles [VOSC]")</x:f>
      </x:c>
      <x:c r="C2550" s="1">
        <x:f>IFERROR(__xludf.DUMMYFUNCTION("""COMPUTED_VALUE"""),"2011")</x:f>
      </x:c>
    </x:row>
    <x:row r="2551" spans="1:10">
      <x:c r="A2551" s="1" t="s">
        <x:v>2560</x:v>
      </x:c>
      <x:c r="B2551" s="1">
        <x:f>IFERROR(__xludf.DUMMYFUNCTION("""COMPUTED_VALUE"""),"Els perdedors")</x:f>
      </x:c>
      <x:c r="C2551" s="1">
        <x:f>IFERROR(__xludf.DUMMYFUNCTION("""COMPUTED_VALUE"""),"2006")</x:f>
      </x:c>
    </x:row>
    <x:row r="2552" spans="1:10">
      <x:c r="A2552" s="1" t="s">
        <x:v>2561</x:v>
      </x:c>
      <x:c r="B2552" s="1">
        <x:f>IFERROR(__xludf.DUMMYFUNCTION("""COMPUTED_VALUE"""),"Els perdedors")</x:f>
      </x:c>
      <x:c r="C2552" s="1">
        <x:f>IFERROR(__xludf.DUMMYFUNCTION("""COMPUTED_VALUE"""),"2010")</x:f>
      </x:c>
    </x:row>
    <x:row r="2553" spans="1:10">
      <x:c r="A2553" s="1" t="s">
        <x:v>2562</x:v>
      </x:c>
      <x:c r="B2553" s="1">
        <x:f>IFERROR(__xludf.DUMMYFUNCTION("""COMPUTED_VALUE"""),"Els perdonats")</x:f>
      </x:c>
      <x:c r="C2553" s="1">
        <x:f>IFERROR(__xludf.DUMMYFUNCTION("""COMPUTED_VALUE"""),"2021")</x:f>
      </x:c>
    </x:row>
    <x:row r="2554" spans="1:10">
      <x:c r="A2554" s="1" t="s">
        <x:v>2563</x:v>
      </x:c>
      <x:c r="B2554" s="1">
        <x:f>IFERROR(__xludf.DUMMYFUNCTION("""COMPUTED_VALUE"""),"Els Pets - Giravint")</x:f>
      </x:c>
      <x:c r="C2554" s="1">
        <x:f>IFERROR(__xludf.DUMMYFUNCTION("""COMPUTED_VALUE"""),"2005")</x:f>
      </x:c>
    </x:row>
    <x:row r="2555" spans="1:10">
      <x:c r="A2555" s="1" t="s">
        <x:v>2564</x:v>
      </x:c>
      <x:c r="B2555" s="1">
        <x:f>IFERROR(__xludf.DUMMYFUNCTION("""COMPUTED_VALUE"""),"Els pingüins de Madagascar")</x:f>
      </x:c>
      <x:c r="C2555" s="1">
        <x:f>IFERROR(__xludf.DUMMYFUNCTION("""COMPUTED_VALUE"""),"2014")</x:f>
      </x:c>
    </x:row>
    <x:row r="2556" spans="1:10">
      <x:c r="A2556" s="1" t="s">
        <x:v>2565</x:v>
      </x:c>
      <x:c r="B2556" s="1">
        <x:f>IFERROR(__xludf.DUMMYFUNCTION("""COMPUTED_VALUE"""),"Els pingüins del senyor Popper")</x:f>
      </x:c>
      <x:c r="C2556" s="1">
        <x:f>IFERROR(__xludf.DUMMYFUNCTION("""COMPUTED_VALUE"""),"2011")</x:f>
      </x:c>
    </x:row>
    <x:row r="2557" spans="1:10">
      <x:c r="A2557" s="1" t="s">
        <x:v>2566</x:v>
      </x:c>
      <x:c r="B2557" s="1">
        <x:f>IFERROR(__xludf.DUMMYFUNCTION("""COMPUTED_VALUE"""),"Els plans de Cerdà")</x:f>
      </x:c>
      <x:c r="C2557" s="1">
        <x:f>IFERROR(__xludf.DUMMYFUNCTION("""COMPUTED_VALUE"""),"2020")</x:f>
      </x:c>
    </x:row>
    <x:row r="2558" spans="1:10">
      <x:c r="A2558" s="1" t="s">
        <x:v>2567</x:v>
      </x:c>
      <x:c r="B2558" s="1">
        <x:f>IFERROR(__xludf.DUMMYFUNCTION("""COMPUTED_VALUE"""),"Els ponts de Madison")</x:f>
      </x:c>
      <x:c r="C2558" s="1">
        <x:f>IFERROR(__xludf.DUMMYFUNCTION("""COMPUTED_VALUE"""),"1995")</x:f>
      </x:c>
    </x:row>
    <x:row r="2559" spans="1:10">
      <x:c r="A2559" s="1" t="s">
        <x:v>2568</x:v>
      </x:c>
      <x:c r="B2559" s="1">
        <x:f>IFERROR(__xludf.DUMMYFUNCTION("""COMPUTED_VALUE"""),"Els premis Darwin")</x:f>
      </x:c>
      <x:c r="C2559" s="1">
        <x:f>IFERROR(__xludf.DUMMYFUNCTION("""COMPUTED_VALUE"""),"2006")</x:f>
      </x:c>
    </x:row>
    <x:row r="2560" spans="1:10">
      <x:c r="A2560" s="1" t="s">
        <x:v>2569</x:v>
      </x:c>
      <x:c r="B2560" s="1">
        <x:f>IFERROR(__xludf.DUMMYFUNCTION("""COMPUTED_VALUE"""),"Els productors")</x:f>
      </x:c>
      <x:c r="C2560" s="1">
        <x:f>IFERROR(__xludf.DUMMYFUNCTION("""COMPUTED_VALUE"""),"2005")</x:f>
      </x:c>
    </x:row>
    <x:row r="2561" spans="1:10">
      <x:c r="A2561" s="1" t="s">
        <x:v>2570</x:v>
      </x:c>
      <x:c r="B2561" s="1">
        <x:f>IFERROR(__xludf.DUMMYFUNCTION("""COMPUTED_VALUE"""),"Els professionals")</x:f>
      </x:c>
      <x:c r="C2561" s="1">
        <x:f>IFERROR(__xludf.DUMMYFUNCTION("""COMPUTED_VALUE"""),"1966")</x:f>
      </x:c>
    </x:row>
    <x:row r="2562" spans="1:10">
      <x:c r="A2562" s="1" t="s">
        <x:v>2571</x:v>
      </x:c>
      <x:c r="B2562" s="1">
        <x:f>IFERROR(__xludf.DUMMYFUNCTION("""COMPUTED_VALUE"""),"Els professors de Saint-Denis")</x:f>
      </x:c>
      <x:c r="C2562" s="1">
        <x:f>IFERROR(__xludf.DUMMYFUNCTION("""COMPUTED_VALUE"""),"2019")</x:f>
      </x:c>
    </x:row>
    <x:row r="2563" spans="1:10">
      <x:c r="A2563" s="1" t="s">
        <x:v>2572</x:v>
      </x:c>
      <x:c r="B2563" s="1">
        <x:f>IFERROR(__xludf.DUMMYFUNCTION("""COMPUTED_VALUE"""),"Els Quatre Fantàstics")</x:f>
      </x:c>
      <x:c r="C2563" s="1">
        <x:f>IFERROR(__xludf.DUMMYFUNCTION("""COMPUTED_VALUE"""),"2005")</x:f>
      </x:c>
    </x:row>
    <x:row r="2564" spans="1:10">
      <x:c r="A2564" s="1" t="s">
        <x:v>2573</x:v>
      </x:c>
      <x:c r="B2564" s="1">
        <x:f>IFERROR(__xludf.DUMMYFUNCTION("""COMPUTED_VALUE"""),"Els Quatre Fantàstics i en Silver Surfer")</x:f>
      </x:c>
      <x:c r="C2564" s="1">
        <x:f>IFERROR(__xludf.DUMMYFUNCTION("""COMPUTED_VALUE"""),"2007")</x:f>
      </x:c>
    </x:row>
    <x:row r="2565" spans="1:10">
      <x:c r="A2565" s="1" t="s">
        <x:v>2574</x:v>
      </x:c>
      <x:c r="B2565" s="1">
        <x:f>IFERROR(__xludf.DUMMYFUNCTION("""COMPUTED_VALUE"""),"Els quatre genets de l'apocalipsi")</x:f>
      </x:c>
      <x:c r="C2565" s="1">
        <x:f>IFERROR(__xludf.DUMMYFUNCTION("""COMPUTED_VALUE"""),"1962")</x:f>
      </x:c>
    </x:row>
    <x:row r="2566" spans="1:10">
      <x:c r="A2566" s="1" t="s">
        <x:v>2575</x:v>
      </x:c>
      <x:c r="B2566" s="1">
        <x:f>IFERROR(__xludf.DUMMYFUNCTION("""COMPUTED_VALUE"""),"Els quatre mosqueters")</x:f>
      </x:c>
      <x:c r="C2566" s="1">
        <x:f>IFERROR(__xludf.DUMMYFUNCTION("""COMPUTED_VALUE"""),"1974")</x:f>
      </x:c>
    </x:row>
    <x:row r="2567" spans="1:10">
      <x:c r="A2567" s="1" t="s">
        <x:v>2576</x:v>
      </x:c>
      <x:c r="B2567" s="1">
        <x:f>IFERROR(__xludf.DUMMYFUNCTION("""COMPUTED_VALUE"""),"Els que no perdonen")</x:f>
      </x:c>
      <x:c r="C2567" s="1">
        <x:f>IFERROR(__xludf.DUMMYFUNCTION("""COMPUTED_VALUE"""),"1960")</x:f>
      </x:c>
    </x:row>
    <x:row r="2568" spans="1:10">
      <x:c r="A2568" s="1" t="s">
        <x:v>2577</x:v>
      </x:c>
      <x:c r="B2568" s="1">
        <x:f>IFERROR(__xludf.DUMMYFUNCTION("""COMPUTED_VALUE"""),"Els rebels de Kansas")</x:f>
      </x:c>
      <x:c r="C2568" s="1">
        <x:f>IFERROR(__xludf.DUMMYFUNCTION("""COMPUTED_VALUE"""),"1959")</x:f>
      </x:c>
    </x:row>
    <x:row r="2569" spans="1:10">
      <x:c r="A2569" s="1" t="s">
        <x:v>2578</x:v>
      </x:c>
      <x:c r="B2569" s="1">
        <x:f>IFERROR(__xludf.DUMMYFUNCTION("""COMPUTED_VALUE"""),"Els records no s'esborren")</x:f>
      </x:c>
      <x:c r="C2569" s="1">
        <x:f>IFERROR(__xludf.DUMMYFUNCTION("""COMPUTED_VALUE"""),"2021")</x:f>
      </x:c>
    </x:row>
    <x:row r="2570" spans="1:10">
      <x:c r="A2570" s="1" t="s">
        <x:v>2579</x:v>
      </x:c>
      <x:c r="B2570" s="1">
        <x:f>IFERROR(__xludf.DUMMYFUNCTION("""COMPUTED_VALUE"""),"Els reis de l'Àrtic")</x:f>
      </x:c>
      <x:c r="C2570" s="1">
        <x:f>IFERROR(__xludf.DUMMYFUNCTION("""COMPUTED_VALUE"""),"2007")</x:f>
      </x:c>
    </x:row>
    <x:row r="2571" spans="1:10">
      <x:c r="A2571" s="1" t="s">
        <x:v>2580</x:v>
      </x:c>
      <x:c r="B2571" s="1">
        <x:f>IFERROR(__xludf.DUMMYFUNCTION("""COMPUTED_VALUE"""),"Els reis de l’estiu")</x:f>
      </x:c>
      <x:c r="C2571" s="1">
        <x:f>IFERROR(__xludf.DUMMYFUNCTION("""COMPUTED_VALUE"""),"2013")</x:f>
      </x:c>
    </x:row>
    <x:row r="2572" spans="1:10">
      <x:c r="A2572" s="1" t="s">
        <x:v>2581</x:v>
      </x:c>
      <x:c r="B2572" s="1">
        <x:f>IFERROR(__xludf.DUMMYFUNCTION("""COMPUTED_VALUE"""),"Els reis de la casa")</x:f>
      </x:c>
      <x:c r="C2572" s="1">
        <x:f>IFERROR(__xludf.DUMMYFUNCTION("""COMPUTED_VALUE"""),"2018")</x:f>
      </x:c>
    </x:row>
    <x:row r="2573" spans="1:10">
      <x:c r="A2573" s="1" t="s">
        <x:v>2582</x:v>
      </x:c>
      <x:c r="B2573" s="1">
        <x:f>IFERROR(__xludf.DUMMYFUNCTION("""COMPUTED_VALUE"""),"Els renegats del diable")</x:f>
      </x:c>
      <x:c r="C2573" s="1">
        <x:f>IFERROR(__xludf.DUMMYFUNCTION("""COMPUTED_VALUE"""),"2005")</x:f>
      </x:c>
    </x:row>
    <x:row r="2574" spans="1:10">
      <x:c r="A2574" s="1" t="s">
        <x:v>2583</x:v>
      </x:c>
      <x:c r="B2574" s="1">
        <x:f>IFERROR(__xludf.DUMMYFUNCTION("""COMPUTED_VALUE"""),"Els rius de color porpra")</x:f>
      </x:c>
      <x:c r="C2574" s="1">
        <x:f>IFERROR(__xludf.DUMMYFUNCTION("""COMPUTED_VALUE"""),"2000")</x:f>
      </x:c>
    </x:row>
    <x:row r="2575" spans="1:10">
      <x:c r="A2575" s="1" t="s">
        <x:v>2584</x:v>
      </x:c>
      <x:c r="B2575" s="1">
        <x:f>IFERROR(__xludf.DUMMYFUNCTION("""COMPUTED_VALUE"""),"Els rius de color porpra 2, els àngels de l'apocalipsi")</x:f>
      </x:c>
      <x:c r="C2575" s="1">
        <x:f>IFERROR(__xludf.DUMMYFUNCTION("""COMPUTED_VALUE"""),"2004")</x:f>
      </x:c>
    </x:row>
    <x:row r="2576" spans="1:10">
      <x:c r="A2576" s="1" t="s">
        <x:v>2585</x:v>
      </x:c>
      <x:c r="B2576" s="1">
        <x:f>IFERROR(__xludf.DUMMYFUNCTION("""COMPUTED_VALUE"""),"Els rodamons")</x:f>
      </x:c>
      <x:c r="C2576" s="1">
        <x:f>IFERROR(__xludf.DUMMYFUNCTION("""COMPUTED_VALUE"""),"1979")</x:f>
      </x:c>
    </x:row>
    <x:row r="2577" spans="1:10">
      <x:c r="A2577" s="1" t="s">
        <x:v>2586</x:v>
      </x:c>
      <x:c r="B2577" s="1">
        <x:f>IFERROR(__xludf.DUMMYFUNCTION("""COMPUTED_VALUE"""),"Els savis de Vilatrista")</x:f>
      </x:c>
      <x:c r="C2577" s="1">
        <x:f>IFERROR(__xludf.DUMMYFUNCTION("""COMPUTED_VALUE"""),"1992")</x:f>
      </x:c>
    </x:row>
    <x:row r="2578" spans="1:10">
      <x:c r="A2578" s="1" t="s">
        <x:v>2587</x:v>
      </x:c>
      <x:c r="B2578" s="1">
        <x:f>IFERROR(__xludf.DUMMYFUNCTION("""COMPUTED_VALUE"""),"Els secrets de la cova dels cristalls")</x:f>
      </x:c>
      <x:c r="C2578" s="1">
        <x:f>IFERROR(__xludf.DUMMYFUNCTION("""COMPUTED_VALUE"""),"2008")</x:f>
      </x:c>
    </x:row>
    <x:row r="2579" spans="1:10">
      <x:c r="A2579" s="1" t="s">
        <x:v>2588</x:v>
      </x:c>
      <x:c r="B2579" s="1">
        <x:f>IFERROR(__xludf.DUMMYFUNCTION("""COMPUTED_VALUE"""),"Els secrets del naufragi")</x:f>
      </x:c>
      <x:c r="C2579" s="1">
        <x:f>IFERROR(__xludf.DUMMYFUNCTION("""COMPUTED_VALUE"""),"2023")</x:f>
      </x:c>
    </x:row>
    <x:row r="2580" spans="1:10">
      <x:c r="A2580" s="1" t="s">
        <x:v>2589</x:v>
      </x:c>
      <x:c r="B2580" s="1">
        <x:f>IFERROR(__xludf.DUMMYFUNCTION("""COMPUTED_VALUE"""),"Els secrets dels cinc furiosos")</x:f>
      </x:c>
      <x:c r="C2580" s="1">
        <x:f>IFERROR(__xludf.DUMMYFUNCTION("""COMPUTED_VALUE"""),"2008")</x:f>
      </x:c>
    </x:row>
    <x:row r="2581" spans="1:10">
      <x:c r="A2581" s="1" t="s">
        <x:v>2590</x:v>
      </x:c>
      <x:c r="B2581" s="1">
        <x:f>IFERROR(__xludf.DUMMYFUNCTION("""COMPUTED_VALUE"""),"Els seductors")</x:f>
      </x:c>
      <x:c r="C2581" s="1">
        <x:f>IFERROR(__xludf.DUMMYFUNCTION("""COMPUTED_VALUE"""),"2010")</x:f>
      </x:c>
    </x:row>
    <x:row r="2582" spans="1:10">
      <x:c r="A2582" s="1" t="s">
        <x:v>2591</x:v>
      </x:c>
      <x:c r="B2582" s="1">
        <x:f>IFERROR(__xludf.DUMMYFUNCTION("""COMPUTED_VALUE"""),"Els sense nom")</x:f>
      </x:c>
      <x:c r="C2582" s="1">
        <x:f>IFERROR(__xludf.DUMMYFUNCTION("""COMPUTED_VALUE"""),"1999")</x:f>
      </x:c>
    </x:row>
    <x:row r="2583" spans="1:10">
      <x:c r="A2583" s="1" t="s">
        <x:v>2592</x:v>
      </x:c>
      <x:c r="B2583" s="1">
        <x:f>IFERROR(__xludf.DUMMYFUNCTION("""COMPUTED_VALUE"""),"Els senyors de Dogtown")</x:f>
      </x:c>
      <x:c r="C2583" s="1">
        <x:f>IFERROR(__xludf.DUMMYFUNCTION("""COMPUTED_VALUE"""),"2005")</x:f>
      </x:c>
    </x:row>
    <x:row r="2584" spans="1:10">
      <x:c r="A2584" s="1" t="s">
        <x:v>2593</x:v>
      </x:c>
      <x:c r="B2584" s="1">
        <x:f>IFERROR(__xludf.DUMMYFUNCTION("""COMPUTED_VALUE"""),"Els senyors prefereixen les rosses")</x:f>
      </x:c>
      <x:c r="C2584" s="1">
        <x:f>IFERROR(__xludf.DUMMYFUNCTION("""COMPUTED_VALUE"""),"1953")</x:f>
      </x:c>
    </x:row>
    <x:row r="2585" spans="1:10">
      <x:c r="A2585" s="1" t="s">
        <x:v>2594</x:v>
      </x:c>
      <x:c r="B2585" s="1">
        <x:f>IFERROR(__xludf.DUMMYFUNCTION("""COMPUTED_VALUE"""),"Els set magnifics")</x:f>
      </x:c>
      <x:c r="C2585" s="1">
        <x:f>IFERROR(__xludf.DUMMYFUNCTION("""COMPUTED_VALUE"""),"1960")</x:f>
      </x:c>
    </x:row>
    <x:row r="2586" spans="1:10">
      <x:c r="A2586" s="1" t="s">
        <x:v>2595</x:v>
      </x:c>
      <x:c r="B2586" s="1">
        <x:f>IFERROR(__xludf.DUMMYFUNCTION("""COMPUTED_VALUE"""),"Els set magnífics")</x:f>
      </x:c>
      <x:c r="C2586" s="1">
        <x:f>IFERROR(__xludf.DUMMYFUNCTION("""COMPUTED_VALUE"""),"2016")</x:f>
      </x:c>
    </x:row>
    <x:row r="2587" spans="1:10">
      <x:c r="A2587" s="1" t="s">
        <x:v>2596</x:v>
      </x:c>
      <x:c r="B2587" s="1">
        <x:f>IFERROR(__xludf.DUMMYFUNCTION("""COMPUTED_VALUE"""),"Els sexeaddictes")</x:f>
      </x:c>
      <x:c r="C2587" s="1">
        <x:f>IFERROR(__xludf.DUMMYFUNCTION("""COMPUTED_VALUE"""),"2004")</x:f>
      </x:c>
    </x:row>
    <x:row r="2588" spans="1:10">
      <x:c r="A2588" s="1" t="s">
        <x:v>2597</x:v>
      </x:c>
      <x:c r="B2588" s="1">
        <x:f>IFERROR(__xludf.DUMMYFUNCTION("""COMPUTED_VALUE"""),"Els silenciadors")</x:f>
      </x:c>
      <x:c r="C2588" s="1">
        <x:f>IFERROR(__xludf.DUMMYFUNCTION("""COMPUTED_VALUE"""),"1966")</x:f>
      </x:c>
    </x:row>
    <x:row r="2589" spans="1:10">
      <x:c r="A2589" s="1" t="s">
        <x:v>2598</x:v>
      </x:c>
      <x:c r="B2589" s="1">
        <x:f>IFERROR(__xludf.DUMMYFUNCTION("""COMPUTED_VALUE"""),"Els somiadors")</x:f>
      </x:c>
      <x:c r="C2589" s="1">
        <x:f>IFERROR(__xludf.DUMMYFUNCTION("""COMPUTED_VALUE"""),"2003")</x:f>
      </x:c>
    </x:row>
    <x:row r="2590" spans="1:10">
      <x:c r="A2590" s="1" t="s">
        <x:v>2599</x:v>
      </x:c>
      <x:c r="B2590" s="1">
        <x:f>IFERROR(__xludf.DUMMYFUNCTION("""COMPUTED_VALUE"""),"Els Superherois")</x:f>
      </x:c>
      <x:c r="C2590" s="1">
        <x:f>IFERROR(__xludf.DUMMYFUNCTION("""COMPUTED_VALUE"""),"2016")</x:f>
      </x:c>
    </x:row>
    <x:row r="2591" spans="1:10">
      <x:c r="A2591" s="1" t="s">
        <x:v>2600</x:v>
      </x:c>
      <x:c r="B2591" s="1">
        <x:f>IFERROR(__xludf.DUMMYFUNCTION("""COMPUTED_VALUE"""),"Els temps canvien")</x:f>
      </x:c>
      <x:c r="C2591" s="1">
        <x:f>IFERROR(__xludf.DUMMYFUNCTION("""COMPUTED_VALUE"""),"2004")</x:f>
      </x:c>
    </x:row>
    <x:row r="2592" spans="1:10">
      <x:c r="A2592" s="1" t="s">
        <x:v>2601</x:v>
      </x:c>
      <x:c r="B2592" s="1">
        <x:f>IFERROR(__xludf.DUMMYFUNCTION("""COMPUTED_VALUE"""),"Els testimonis")</x:f>
      </x:c>
      <x:c r="C2592" s="1">
        <x:f>IFERROR(__xludf.DUMMYFUNCTION("""COMPUTED_VALUE"""),"2007")</x:f>
      </x:c>
    </x:row>
    <x:row r="2593" spans="1:10">
      <x:c r="A2593" s="1" t="s">
        <x:v>2602</x:v>
      </x:c>
      <x:c r="B2593" s="1">
        <x:f>IFERROR(__xludf.DUMMYFUNCTION("""COMPUTED_VALUE"""),"Els testimonis de Putin [VOSC]")</x:f>
      </x:c>
      <x:c r="C2593" s="1">
        <x:f>IFERROR(__xludf.DUMMYFUNCTION("""COMPUTED_VALUE"""),"2018")</x:f>
      </x:c>
    </x:row>
    <x:row r="2594" spans="1:10">
      <x:c r="A2594" s="1" t="s">
        <x:v>2603</x:v>
      </x:c>
      <x:c r="B2594" s="1">
        <x:f>IFERROR(__xludf.DUMMYFUNCTION("""COMPUTED_VALUE"""),"Els Thornberrys - La pel·lícula")</x:f>
      </x:c>
      <x:c r="C2594" s="1">
        <x:f>IFERROR(__xludf.DUMMYFUNCTION("""COMPUTED_VALUE"""),"2002")</x:f>
      </x:c>
    </x:row>
    <x:row r="2595" spans="1:10">
      <x:c r="A2595" s="1" t="s">
        <x:v>2604</x:v>
      </x:c>
      <x:c r="B2595" s="1">
        <x:f>IFERROR(__xludf.DUMMYFUNCTION("""COMPUTED_VALUE"""),"Els Totenwackers")</x:f>
      </x:c>
      <x:c r="C2595" s="1">
        <x:f>IFERROR(__xludf.DUMMYFUNCTION("""COMPUTED_VALUE"""),"2007")</x:f>
      </x:c>
    </x:row>
    <x:row r="2596" spans="1:10">
      <x:c r="A2596" s="1" t="s">
        <x:v>2605</x:v>
      </x:c>
      <x:c r="B2596" s="1">
        <x:f>IFERROR(__xludf.DUMMYFUNCTION("""COMPUTED_VALUE"""),"Els traductors")</x:f>
      </x:c>
      <x:c r="C2596" s="1">
        <x:f>IFERROR(__xludf.DUMMYFUNCTION("""COMPUTED_VALUE"""),"2019")</x:f>
      </x:c>
    </x:row>
    <x:row r="2597" spans="1:10">
      <x:c r="A2597" s="1" t="s">
        <x:v>2606</x:v>
      </x:c>
      <x:c r="B2597" s="1">
        <x:f>IFERROR(__xludf.DUMMYFUNCTION("""COMPUTED_VALUE"""),"Els trenta-nou graons")</x:f>
      </x:c>
      <x:c r="C2597" s="1">
        <x:f>IFERROR(__xludf.DUMMYFUNCTION("""COMPUTED_VALUE"""),"1935")</x:f>
      </x:c>
    </x:row>
    <x:row r="2598" spans="1:10">
      <x:c r="A2598" s="1" t="s">
        <x:v>2607</x:v>
      </x:c>
      <x:c r="B2598" s="1">
        <x:f>IFERROR(__xludf.DUMMYFUNCTION("""COMPUTED_VALUE"""),"Els tres dies del Còndor")</x:f>
      </x:c>
      <x:c r="C2598" s="1">
        <x:f>IFERROR(__xludf.DUMMYFUNCTION("""COMPUTED_VALUE"""),"1975")</x:f>
      </x:c>
    </x:row>
    <x:row r="2599" spans="1:10">
      <x:c r="A2599" s="1" t="s">
        <x:v>2608</x:v>
      </x:c>
      <x:c r="B2599" s="1">
        <x:f>IFERROR(__xludf.DUMMYFUNCTION("""COMPUTED_VALUE"""),"Els tres dies següents")</x:f>
      </x:c>
      <x:c r="C2599" s="1">
        <x:f>IFERROR(__xludf.DUMMYFUNCTION("""COMPUTED_VALUE"""),"2010")</x:f>
      </x:c>
    </x:row>
    <x:row r="2600" spans="1:10">
      <x:c r="A2600" s="1" t="s">
        <x:v>2609</x:v>
      </x:c>
      <x:c r="B2600" s="1">
        <x:f>IFERROR(__xludf.DUMMYFUNCTION("""COMPUTED_VALUE"""),"Els tres mosqueters")</x:f>
      </x:c>
      <x:c r="C2600" s="1">
        <x:f>IFERROR(__xludf.DUMMYFUNCTION("""COMPUTED_VALUE"""),"1948")</x:f>
      </x:c>
    </x:row>
    <x:row r="2601" spans="1:10">
      <x:c r="A2601" s="1" t="s">
        <x:v>2610</x:v>
      </x:c>
      <x:c r="B2601" s="1">
        <x:f>IFERROR(__xludf.DUMMYFUNCTION("""COMPUTED_VALUE"""),"Els tres mosqueters")</x:f>
      </x:c>
      <x:c r="C2601" s="1">
        <x:f>IFERROR(__xludf.DUMMYFUNCTION("""COMPUTED_VALUE"""),"2011")</x:f>
      </x:c>
    </x:row>
    <x:row r="2602" spans="1:10">
      <x:c r="A2602" s="1" t="s">
        <x:v>2611</x:v>
      </x:c>
      <x:c r="B2602" s="1">
        <x:f>IFERROR(__xludf.DUMMYFUNCTION("""COMPUTED_VALUE"""),"Els turons tenen ulls")</x:f>
      </x:c>
      <x:c r="C2602" s="1">
        <x:f>IFERROR(__xludf.DUMMYFUNCTION("""COMPUTED_VALUE"""),"2006")</x:f>
      </x:c>
    </x:row>
    <x:row r="2603" spans="1:10">
      <x:c r="A2603" s="1" t="s">
        <x:v>2612</x:v>
      </x:c>
      <x:c r="B2603" s="1">
        <x:f>IFERROR(__xludf.DUMMYFUNCTION("""COMPUTED_VALUE"""),"Els ulls de la Júlia")</x:f>
      </x:c>
      <x:c r="C2603" s="1">
        <x:f>IFERROR(__xludf.DUMMYFUNCTION("""COMPUTED_VALUE"""),"2010")</x:f>
      </x:c>
    </x:row>
    <x:row r="2604" spans="1:10">
      <x:c r="A2604" s="1" t="s">
        <x:v>2613</x:v>
      </x:c>
      <x:c r="B2604" s="1">
        <x:f>IFERROR(__xludf.DUMMYFUNCTION("""COMPUTED_VALUE"""),"Els ulls del mal")</x:f>
      </x:c>
      <x:c r="C2604" s="1">
        <x:f>IFERROR(__xludf.DUMMYFUNCTION("""COMPUTED_VALUE"""),"2006")</x:f>
      </x:c>
    </x:row>
    <x:row r="2605" spans="1:10">
      <x:c r="A2605" s="1" t="s">
        <x:v>2614</x:v>
      </x:c>
      <x:c r="B2605" s="1">
        <x:f>IFERROR(__xludf.DUMMYFUNCTION("""COMPUTED_VALUE"""),"Els ulls grocs dels cocodrils")</x:f>
      </x:c>
      <x:c r="C2605" s="1">
        <x:f>IFERROR(__xludf.DUMMYFUNCTION("""COMPUTED_VALUE"""),"2014")</x:f>
      </x:c>
    </x:row>
    <x:row r="2606" spans="1:10">
      <x:c r="A2606" s="1" t="s">
        <x:v>2615</x:v>
      </x:c>
      <x:c r="B2606" s="1">
        <x:f>IFERROR(__xludf.DUMMYFUNCTION("""COMPUTED_VALUE"""),"Els últims dies")</x:f>
      </x:c>
      <x:c r="C2606" s="1">
        <x:f>IFERROR(__xludf.DUMMYFUNCTION("""COMPUTED_VALUE"""),"2013")</x:f>
      </x:c>
    </x:row>
    <x:row r="2607" spans="1:10">
      <x:c r="A2607" s="1" t="s">
        <x:v>2616</x:v>
      </x:c>
      <x:c r="B2607" s="1">
        <x:f>IFERROR(__xludf.DUMMYFUNCTION("""COMPUTED_VALUE"""),"Els últims dies al desert")</x:f>
      </x:c>
      <x:c r="C2607" s="1">
        <x:f>IFERROR(__xludf.DUMMYFUNCTION("""COMPUTED_VALUE"""),"2015")</x:f>
      </x:c>
    </x:row>
    <x:row r="2608" spans="1:10">
      <x:c r="A2608" s="1" t="s">
        <x:v>2617</x:v>
      </x:c>
      <x:c r="B2608" s="1">
        <x:f>IFERROR(__xludf.DUMMYFUNCTION("""COMPUTED_VALUE"""),"Els últims dies del món")</x:f>
      </x:c>
      <x:c r="C2608" s="1">
        <x:f>IFERROR(__xludf.DUMMYFUNCTION("""COMPUTED_VALUE"""),"2009")</x:f>
      </x:c>
    </x:row>
    <x:row r="2609" spans="1:10">
      <x:c r="A2609" s="1" t="s">
        <x:v>2618</x:v>
      </x:c>
      <x:c r="B2609" s="1">
        <x:f>IFERROR(__xludf.DUMMYFUNCTION("""COMPUTED_VALUE"""),"Els Venjadors")</x:f>
      </x:c>
      <x:c r="C2609" s="1">
        <x:f>IFERROR(__xludf.DUMMYFUNCTION("""COMPUTED_VALUE"""),"1998")</x:f>
      </x:c>
    </x:row>
    <x:row r="2610" spans="1:10">
      <x:c r="A2610" s="1" t="s">
        <x:v>2619</x:v>
      </x:c>
      <x:c r="B2610" s="1">
        <x:f>IFERROR(__xludf.DUMMYFUNCTION("""COMPUTED_VALUE"""),"Els viatgers del temps")</x:f>
      </x:c>
      <x:c r="C2610" s="1">
        <x:f>IFERROR(__xludf.DUMMYFUNCTION("""COMPUTED_VALUE"""),"1964")</x:f>
      </x:c>
    </x:row>
    <x:row r="2611" spans="1:10">
      <x:c r="A2611" s="1" t="s">
        <x:v>2620</x:v>
      </x:c>
      <x:c r="B2611" s="1">
        <x:f>IFERROR(__xludf.DUMMYFUNCTION("""COMPUTED_VALUE"""),"Els viatges de Gulliver")</x:f>
      </x:c>
      <x:c r="C2611" s="1">
        <x:f>IFERROR(__xludf.DUMMYFUNCTION("""COMPUTED_VALUE"""),"1939")</x:f>
      </x:c>
    </x:row>
    <x:row r="2612" spans="1:10">
      <x:c r="A2612" s="1" t="s">
        <x:v>2621</x:v>
      </x:c>
      <x:c r="B2612" s="1">
        <x:f>IFERROR(__xludf.DUMMYFUNCTION("""COMPUTED_VALUE"""),"Els visitants la fan grossa")</x:f>
      </x:c>
      <x:c r="C2612" s="1">
        <x:f>IFERROR(__xludf.DUMMYFUNCTION("""COMPUTED_VALUE"""),"2016")</x:f>
      </x:c>
    </x:row>
    <x:row r="2613" spans="1:10">
      <x:c r="A2613" s="1" t="s">
        <x:v>2622</x:v>
      </x:c>
      <x:c r="B2613" s="1">
        <x:f>IFERROR(__xludf.DUMMYFUNCTION("""COMPUTED_VALUE"""),"Elysium")</x:f>
      </x:c>
      <x:c r="C2613" s="1">
        <x:f>IFERROR(__xludf.DUMMYFUNCTION("""COMPUTED_VALUE"""),"2013")</x:f>
      </x:c>
    </x:row>
    <x:row r="2614" spans="1:10">
      <x:c r="A2614" s="1" t="s">
        <x:v>2623</x:v>
      </x:c>
      <x:c r="B2614" s="1">
        <x:f>IFERROR(__xludf.DUMMYFUNCTION("""COMPUTED_VALUE"""),"Em dic Harvey Milk")</x:f>
      </x:c>
      <x:c r="C2614" s="1">
        <x:f>IFERROR(__xludf.DUMMYFUNCTION("""COMPUTED_VALUE"""),"2008")</x:f>
      </x:c>
    </x:row>
    <x:row r="2615" spans="1:10">
      <x:c r="A2615" s="1" t="s">
        <x:v>2624</x:v>
      </x:c>
      <x:c r="B2615" s="1">
        <x:f>IFERROR(__xludf.DUMMYFUNCTION("""COMPUTED_VALUE"""),"Em guardes un secret?")</x:f>
      </x:c>
      <x:c r="C2615" s="1">
        <x:f>IFERROR(__xludf.DUMMYFUNCTION("""COMPUTED_VALUE"""),"2019")</x:f>
      </x:c>
    </x:row>
    <x:row r="2616" spans="1:10">
      <x:c r="A2616" s="1" t="s">
        <x:v>2625</x:v>
      </x:c>
      <x:c r="B2616" s="1">
        <x:f>IFERROR(__xludf.DUMMYFUNCTION("""COMPUTED_VALUE"""),"Em sembla que sé què vau cridar l'últim divendres 13")</x:f>
      </x:c>
      <x:c r="C2616" s="1">
        <x:f>IFERROR(__xludf.DUMMYFUNCTION("""COMPUTED_VALUE"""),"2000")</x:f>
      </x:c>
    </x:row>
    <x:row r="2617" spans="1:10">
      <x:c r="A2617" s="1" t="s">
        <x:v>2626</x:v>
      </x:c>
      <x:c r="B2617" s="1">
        <x:f>IFERROR(__xludf.DUMMYFUNCTION("""COMPUTED_VALUE"""),"Em sento rejovenir")</x:f>
      </x:c>
      <x:c r="C2617" s="1">
        <x:f>IFERROR(__xludf.DUMMYFUNCTION("""COMPUTED_VALUE"""),"1952")</x:f>
      </x:c>
    </x:row>
    <x:row r="2618" spans="1:10">
      <x:c r="A2618" s="1" t="s">
        <x:v>2627</x:v>
      </x:c>
      <x:c r="B2618" s="1">
        <x:f>IFERROR(__xludf.DUMMYFUNCTION("""COMPUTED_VALUE"""),"Em vaig enamorar d'una bruixa")</x:f>
      </x:c>
      <x:c r="C2618" s="1">
        <x:f>IFERROR(__xludf.DUMMYFUNCTION("""COMPUTED_VALUE"""),"1958")</x:f>
      </x:c>
    </x:row>
    <x:row r="2619" spans="1:10">
      <x:c r="A2619" s="1" t="s">
        <x:v>2628</x:v>
      </x:c>
      <x:c r="B2619" s="1">
        <x:f>IFERROR(__xludf.DUMMYFUNCTION("""COMPUTED_VALUE"""),"Em van fer un criminal")</x:f>
      </x:c>
      <x:c r="C2619" s="1">
        <x:f>IFERROR(__xludf.DUMMYFUNCTION("""COMPUTED_VALUE"""),"1939")</x:f>
      </x:c>
    </x:row>
    <x:row r="2620" spans="1:10">
      <x:c r="A2620" s="1" t="s">
        <x:v>2629</x:v>
      </x:c>
      <x:c r="B2620" s="1">
        <x:f>IFERROR(__xludf.DUMMYFUNCTION("""COMPUTED_VALUE"""),"Embolic a Broadway")</x:f>
      </x:c>
      <x:c r="C2620" s="1">
        <x:f>IFERROR(__xludf.DUMMYFUNCTION("""COMPUTED_VALUE"""),"2014")</x:f>
      </x:c>
    </x:row>
    <x:row r="2621" spans="1:10">
      <x:c r="A2621" s="1" t="s">
        <x:v>2630</x:v>
      </x:c>
      <x:c r="B2621" s="1">
        <x:f>IFERROR(__xludf.DUMMYFUNCTION("""COMPUTED_VALUE"""),"Embolic compromès")</x:f>
      </x:c>
      <x:c r="C2621" s="1">
        <x:f>IFERROR(__xludf.DUMMYFUNCTION("""COMPUTED_VALUE"""),"2007")</x:f>
      </x:c>
    </x:row>
    <x:row r="2622" spans="1:10">
      <x:c r="A2622" s="1" t="s">
        <x:v>2631</x:v>
      </x:c>
      <x:c r="B2622" s="1">
        <x:f>IFERROR(__xludf.DUMMYFUNCTION("""COMPUTED_VALUE"""),"Emboscada a Matt Helm")</x:f>
      </x:c>
      <x:c r="C2622" s="1">
        <x:f>IFERROR(__xludf.DUMMYFUNCTION("""COMPUTED_VALUE"""),"1967")</x:f>
      </x:c>
    </x:row>
    <x:row r="2623" spans="1:10">
      <x:c r="A2623" s="1" t="s">
        <x:v>2632</x:v>
      </x:c>
      <x:c r="B2623" s="1">
        <x:f>IFERROR(__xludf.DUMMYFUNCTION("""COMPUTED_VALUE"""),"Embruixada")</x:f>
      </x:c>
      <x:c r="C2623" s="1">
        <x:f>IFERROR(__xludf.DUMMYFUNCTION("""COMPUTED_VALUE"""),"2005")</x:f>
      </x:c>
    </x:row>
    <x:row r="2624" spans="1:10">
      <x:c r="A2624" s="1" t="s">
        <x:v>2633</x:v>
      </x:c>
      <x:c r="B2624" s="1">
        <x:f>IFERROR(__xludf.DUMMYFUNCTION("""COMPUTED_VALUE"""),"Emergències 911")</x:f>
      </x:c>
      <x:c r="C2624" s="1">
        <x:f>IFERROR(__xludf.DUMMYFUNCTION("""COMPUTED_VALUE"""),"2016")</x:f>
      </x:c>
    </x:row>
    <x:row r="2625" spans="1:10">
      <x:c r="A2625" s="1" t="s">
        <x:v>2634</x:v>
      </x:c>
      <x:c r="B2625" s="1">
        <x:f>IFERROR(__xludf.DUMMYFUNCTION("""COMPUTED_VALUE"""),"Emergo")</x:f>
      </x:c>
      <x:c r="C2625" s="1">
        <x:f>IFERROR(__xludf.DUMMYFUNCTION("""COMPUTED_VALUE"""),"2011")</x:f>
      </x:c>
    </x:row>
    <x:row r="2626" spans="1:10">
      <x:c r="A2626" s="1" t="s">
        <x:v>2635</x:v>
      </x:c>
      <x:c r="B2626" s="1">
        <x:f>IFERROR(__xludf.DUMMYFUNCTION("""COMPUTED_VALUE"""),"Emoji: La pel·lícula")</x:f>
      </x:c>
      <x:c r="C2626" s="1">
        <x:f>IFERROR(__xludf.DUMMYFUNCTION("""COMPUTED_VALUE"""),"2017")</x:f>
      </x:c>
    </x:row>
    <x:row r="2627" spans="1:10">
      <x:c r="A2627" s="1" t="s">
        <x:v>2636</x:v>
      </x:c>
      <x:c r="B2627" s="1">
        <x:f>IFERROR(__xludf.DUMMYFUNCTION("""COMPUTED_VALUE"""),"Emperador")</x:f>
      </x:c>
      <x:c r="C2627" s="1">
        <x:f>IFERROR(__xludf.DUMMYFUNCTION("""COMPUTED_VALUE"""),"2012")</x:f>
      </x:c>
    </x:row>
    <x:row r="2628" spans="1:10">
      <x:c r="A2628" s="1" t="s">
        <x:v>2637</x:v>
      </x:c>
      <x:c r="B2628" s="1">
        <x:f>IFERROR(__xludf.DUMMYFUNCTION("""COMPUTED_VALUE"""),"En algun lloc del temps")</x:f>
      </x:c>
      <x:c r="C2628" s="1">
        <x:f>IFERROR(__xludf.DUMMYFUNCTION("""COMPUTED_VALUE"""),"1980")</x:f>
      </x:c>
    </x:row>
    <x:row r="2629" spans="1:10">
      <x:c r="A2629" s="1" t="s">
        <x:v>2638</x:v>
      </x:c>
      <x:c r="B2629" s="1">
        <x:f>IFERROR(__xludf.DUMMYFUNCTION("""COMPUTED_VALUE"""),"En algun racó de la memòria")</x:f>
      </x:c>
      <x:c r="C2629" s="1">
        <x:f>IFERROR(__xludf.DUMMYFUNCTION("""COMPUTED_VALUE"""),"2007")</x:f>
      </x:c>
    </x:row>
    <x:row r="2630" spans="1:10">
      <x:c r="A2630" s="1" t="s">
        <x:v>2639</x:v>
      </x:c>
      <x:c r="B2630" s="1">
        <x:f>IFERROR(__xludf.DUMMYFUNCTION("""COMPUTED_VALUE"""),"En bones mans")</x:f>
      </x:c>
      <x:c r="C2630" s="1">
        <x:f>IFERROR(__xludf.DUMMYFUNCTION("""COMPUTED_VALUE"""),"2018")</x:f>
      </x:c>
    </x:row>
    <x:row r="2631" spans="1:10">
      <x:c r="A2631" s="1" t="s">
        <x:v>2640</x:v>
      </x:c>
      <x:c r="B2631" s="1">
        <x:f>IFERROR(__xludf.DUMMYFUNCTION("""COMPUTED_VALUE"""),"En companyia de llops")</x:f>
      </x:c>
      <x:c r="C2631" s="1">
        <x:f>IFERROR(__xludf.DUMMYFUNCTION("""COMPUTED_VALUE"""),"1984")</x:f>
      </x:c>
    </x:row>
    <x:row r="2632" spans="1:10">
      <x:c r="A2632" s="1" t="s">
        <x:v>2641</x:v>
      </x:c>
      <x:c r="B2632" s="1">
        <x:f>IFERROR(__xludf.DUMMYFUNCTION("""COMPUTED_VALUE"""),"En cos i anima")</x:f>
      </x:c>
      <x:c r="C2632" s="1">
        <x:f>IFERROR(__xludf.DUMMYFUNCTION("""COMPUTED_VALUE"""),"2017")</x:f>
      </x:c>
    </x:row>
    <x:row r="2633" spans="1:10">
      <x:c r="A2633" s="1" t="s">
        <x:v>2642</x:v>
      </x:c>
      <x:c r="B2633" s="1">
        <x:f>IFERROR(__xludf.DUMMYFUNCTION("""COMPUTED_VALUE"""),"En directe des de Bagdad")</x:f>
      </x:c>
      <x:c r="C2633" s="1">
        <x:f>IFERROR(__xludf.DUMMYFUNCTION("""COMPUTED_VALUE"""),"2002")</x:f>
      </x:c>
    </x:row>
    <x:row r="2634" spans="1:10">
      <x:c r="A2634" s="1" t="s">
        <x:v>2643</x:v>
      </x:c>
      <x:c r="B2634" s="1">
        <x:f>IFERROR(__xludf.DUMMYFUNCTION("""COMPUTED_VALUE"""),"En el calor de la nit")</x:f>
      </x:c>
      <x:c r="C2634" s="1">
        <x:f>IFERROR(__xludf.DUMMYFUNCTION("""COMPUTED_VALUE"""),"1967")</x:f>
      </x:c>
    </x:row>
    <x:row r="2635" spans="1:10">
      <x:c r="A2635" s="1" t="s">
        <x:v>2644</x:v>
      </x:c>
      <x:c r="B2635" s="1">
        <x:f>IFERROR(__xludf.DUMMYFUNCTION("""COMPUTED_VALUE"""),"En el camí")</x:f>
      </x:c>
      <x:c r="C2635" s="1">
        <x:f>IFERROR(__xludf.DUMMYFUNCTION("""COMPUTED_VALUE"""),"2010")</x:f>
      </x:c>
    </x:row>
    <x:row r="2636" spans="1:10">
      <x:c r="A2636" s="1" t="s">
        <x:v>2645</x:v>
      </x:c>
      <x:c r="B2636" s="1">
        <x:f>IFERROR(__xludf.DUMMYFUNCTION("""COMPUTED_VALUE"""),"En el centre de la tempesta")</x:f>
      </x:c>
      <x:c r="C2636" s="1">
        <x:f>IFERROR(__xludf.DUMMYFUNCTION("""COMPUTED_VALUE"""),"2009")</x:f>
      </x:c>
    </x:row>
    <x:row r="2637" spans="1:10">
      <x:c r="A2637" s="1" t="s">
        <x:v>2646</x:v>
      </x:c>
      <x:c r="B2637" s="1">
        <x:f>IFERROR(__xludf.DUMMYFUNCTION("""COMPUTED_VALUE"""),"En el llindar")</x:f>
      </x:c>
      <x:c r="C2637" s="1">
        <x:f>IFERROR(__xludf.DUMMYFUNCTION("""COMPUTED_VALUE"""),"2020")</x:f>
      </x:c>
    </x:row>
    <x:row r="2638" spans="1:10">
      <x:c r="A2638" s="1" t="s">
        <x:v>2647</x:v>
      </x:c>
      <x:c r="B2638" s="1">
        <x:f>IFERROR(__xludf.DUMMYFUNCTION("""COMPUTED_VALUE"""),"En el nom del pare")</x:f>
      </x:c>
      <x:c r="C2638" s="1">
        <x:f>IFERROR(__xludf.DUMMYFUNCTION("""COMPUTED_VALUE"""),"1993")</x:f>
      </x:c>
    </x:row>
    <x:row r="2639" spans="1:10">
      <x:c r="A2639" s="1" t="s">
        <x:v>2648</x:v>
      </x:c>
      <x:c r="B2639" s="1">
        <x:f>IFERROR(__xludf.DUMMYFUNCTION("""COMPUTED_VALUE"""),"En el nom del rei")</x:f>
      </x:c>
      <x:c r="C2639" s="1">
        <x:f>IFERROR(__xludf.DUMMYFUNCTION("""COMPUTED_VALUE"""),"2007")</x:f>
      </x:c>
    </x:row>
    <x:row r="2640" spans="1:10">
      <x:c r="A2640" s="1" t="s">
        <x:v>2649</x:v>
      </x:c>
      <x:c r="B2640" s="1">
        <x:f>IFERROR(__xludf.DUMMYFUNCTION("""COMPUTED_VALUE"""),"En el punt de mira")</x:f>
      </x:c>
      <x:c r="C2640" s="1">
        <x:f>IFERROR(__xludf.DUMMYFUNCTION("""COMPUTED_VALUE"""),"2008")</x:f>
      </x:c>
    </x:row>
    <x:row r="2641" spans="1:10">
      <x:c r="A2641" s="1" t="s">
        <x:v>2650</x:v>
      </x:c>
      <x:c r="B2641" s="1">
        <x:f>IFERROR(__xludf.DUMMYFUNCTION("""COMPUTED_VALUE"""),"En Flama i en Llimona")</x:f>
      </x:c>
      <x:c r="C2641" s="1">
        <x:f>IFERROR(__xludf.DUMMYFUNCTION("""COMPUTED_VALUE"""),"2008")</x:f>
      </x:c>
    </x:row>
    <x:row r="2642" spans="1:10">
      <x:c r="A2642" s="1" t="s">
        <x:v>2651</x:v>
      </x:c>
      <x:c r="B2642" s="1">
        <x:f>IFERROR(__xludf.DUMMYFUNCTION("""COMPUTED_VALUE"""),"En Garfield i la seva quadrilla")</x:f>
      </x:c>
      <x:c r="C2642" s="1">
        <x:f>IFERROR(__xludf.DUMMYFUNCTION("""COMPUTED_VALUE"""),"2009")</x:f>
      </x:c>
    </x:row>
    <x:row r="2643" spans="1:10">
      <x:c r="A2643" s="1" t="s">
        <x:v>2652</x:v>
      </x:c>
      <x:c r="B2643" s="1">
        <x:f>IFERROR(__xludf.DUMMYFUNCTION("""COMPUTED_VALUE"""),"En Gianni i les dones")</x:f>
      </x:c>
      <x:c r="C2643" s="1">
        <x:f>IFERROR(__xludf.DUMMYFUNCTION("""COMPUTED_VALUE"""),"2011")</x:f>
      </x:c>
    </x:row>
    <x:row r="2644" spans="1:10">
      <x:c r="A2644" s="1" t="s">
        <x:v>2653</x:v>
      </x:c>
      <x:c r="B2644" s="1">
        <x:f>IFERROR(__xludf.DUMMYFUNCTION("""COMPUTED_VALUE"""),"En Gordon i la Paddy")</x:f>
      </x:c>
      <x:c r="C2644" s="1">
        <x:f>IFERROR(__xludf.DUMMYFUNCTION("""COMPUTED_VALUE"""),"2017")</x:f>
      </x:c>
    </x:row>
    <x:row r="2645" spans="1:10">
      <x:c r="A2645" s="1" t="s">
        <x:v>2654</x:v>
      </x:c>
      <x:c r="B2645" s="1">
        <x:f>IFERROR(__xludf.DUMMYFUNCTION("""COMPUTED_VALUE"""),"En Jack i la seva germana bessona")</x:f>
      </x:c>
      <x:c r="C2645" s="1">
        <x:f>IFERROR(__xludf.DUMMYFUNCTION("""COMPUTED_VALUE"""),"2011")</x:f>
      </x:c>
    </x:row>
    <x:row r="2646" spans="1:10">
      <x:c r="A2646" s="1" t="s">
        <x:v>2655</x:v>
      </x:c>
      <x:c r="B2646" s="1">
        <x:f>IFERROR(__xludf.DUMMYFUNCTION("""COMPUTED_VALUE"""),"En John mor, al final")</x:f>
      </x:c>
      <x:c r="C2646" s="1">
        <x:f>IFERROR(__xludf.DUMMYFUNCTION("""COMPUTED_VALUE"""),"2012")</x:f>
      </x:c>
    </x:row>
    <x:row r="2647" spans="1:10">
      <x:c r="A2647" s="1" t="s">
        <x:v>2656</x:v>
      </x:c>
      <x:c r="B2647" s="1">
        <x:f>IFERROR(__xludf.DUMMYFUNCTION("""COMPUTED_VALUE"""),"En la foscor")</x:f>
      </x:c>
      <x:c r="C2647" s="1">
        <x:f>IFERROR(__xludf.DUMMYFUNCTION("""COMPUTED_VALUE"""),"2003")</x:f>
      </x:c>
    </x:row>
    <x:row r="2648" spans="1:10">
      <x:c r="A2648" s="1" t="s">
        <x:v>2657</x:v>
      </x:c>
      <x:c r="B2648" s="1">
        <x:f>IFERROR(__xludf.DUMMYFUNCTION("""COMPUTED_VALUE"""),"En la línia de foc")</x:f>
      </x:c>
      <x:c r="C2648" s="1">
        <x:f>IFERROR(__xludf.DUMMYFUNCTION("""COMPUTED_VALUE"""),"1993")</x:f>
      </x:c>
    </x:row>
    <x:row r="2649" spans="1:10">
      <x:c r="A2649" s="1" t="s">
        <x:v>2658</x:v>
      </x:c>
      <x:c r="B2649" s="1">
        <x:f>IFERROR(__xludf.DUMMYFUNCTION("""COMPUTED_VALUE"""),"En nom de la llei")</x:f>
      </x:c>
      <x:c r="C2649" s="1">
        <x:f>IFERROR(__xludf.DUMMYFUNCTION("""COMPUTED_VALUE"""),"1971")</x:f>
      </x:c>
    </x:row>
    <x:row r="2650" spans="1:10">
      <x:c r="A2650" s="1" t="s">
        <x:v>2659</x:v>
      </x:c>
      <x:c r="B2650" s="1">
        <x:f>IFERROR(__xludf.DUMMYFUNCTION("""COMPUTED_VALUE"""),"En nom de la terra")</x:f>
      </x:c>
      <x:c r="C2650" s="1">
        <x:f>IFERROR(__xludf.DUMMYFUNCTION("""COMPUTED_VALUE"""),"2023")</x:f>
      </x:c>
    </x:row>
    <x:row r="2651" spans="1:10">
      <x:c r="A2651" s="1" t="s">
        <x:v>2660</x:v>
      </x:c>
      <x:c r="B2651" s="1">
        <x:f>IFERROR(__xludf.DUMMYFUNCTION("""COMPUTED_VALUE"""),"En nom del cel")</x:f>
      </x:c>
      <x:c r="C2651" s="1">
        <x:f>IFERROR(__xludf.DUMMYFUNCTION("""COMPUTED_VALUE"""),"2022")</x:f>
      </x:c>
    </x:row>
    <x:row r="2652" spans="1:10">
      <x:c r="A2652" s="1" t="s">
        <x:v>2661</x:v>
      </x:c>
      <x:c r="B2652" s="1">
        <x:f>IFERROR(__xludf.DUMMYFUNCTION("""COMPUTED_VALUE"""),"En nom del cel!")</x:f>
      </x:c>
      <x:c r="C2652" s="1">
        <x:f>IFERROR(__xludf.DUMMYFUNCTION("""COMPUTED_VALUE"""),"2022")</x:f>
      </x:c>
    </x:row>
    <x:row r="2653" spans="1:10">
      <x:c r="A2653" s="1" t="s">
        <x:v>2662</x:v>
      </x:c>
      <x:c r="B2653" s="1">
        <x:f>IFERROR(__xludf.DUMMYFUNCTION("""COMPUTED_VALUE"""),"En perill constant")</x:f>
      </x:c>
      <x:c r="C2653" s="1">
        <x:f>IFERROR(__xludf.DUMMYFUNCTION("""COMPUTED_VALUE"""),"1997")</x:f>
      </x:c>
    </x:row>
    <x:row r="2654" spans="1:10">
      <x:c r="A2654" s="1" t="s">
        <x:v>2663</x:v>
      </x:c>
      <x:c r="B2654" s="1">
        <x:f>IFERROR(__xludf.DUMMYFUNCTION("""COMPUTED_VALUE"""),"En ple cor")</x:f>
      </x:c>
      <x:c r="C2654" s="1">
        <x:f>IFERROR(__xludf.DUMMYFUNCTION("""COMPUTED_VALUE"""),"2021")</x:f>
      </x:c>
    </x:row>
    <x:row r="2655" spans="1:10">
      <x:c r="A2655" s="1" t="s">
        <x:v>2664</x:v>
      </x:c>
      <x:c r="B2655" s="1">
        <x:f>IFERROR(__xludf.DUMMYFUNCTION("""COMPUTED_VALUE"""),"En Ralph destrueix Internet")</x:f>
      </x:c>
      <x:c r="C2655" s="1">
        <x:f>IFERROR(__xludf.DUMMYFUNCTION("""COMPUTED_VALUE"""),"2018")</x:f>
      </x:c>
    </x:row>
    <x:row r="2656" spans="1:10">
      <x:c r="A2656" s="1" t="s">
        <x:v>2665</x:v>
      </x:c>
      <x:c r="B2656" s="1">
        <x:f>IFERROR(__xludf.DUMMYFUNCTION("""COMPUTED_VALUE"""),"En Ralph, el destructor")</x:f>
      </x:c>
      <x:c r="C2656" s="1">
        <x:f>IFERROR(__xludf.DUMMYFUNCTION("""COMPUTED_VALUE"""),"2012")</x:f>
      </x:c>
    </x:row>
    <x:row r="2657" spans="1:10">
      <x:c r="A2657" s="1" t="s">
        <x:v>2666</x:v>
      </x:c>
      <x:c r="B2657" s="1">
        <x:f>IFERROR(__xludf.DUMMYFUNCTION("""COMPUTED_VALUE"""),"En realitat no has estat mai ací")</x:f>
      </x:c>
      <x:c r="C2657" s="1">
        <x:f>IFERROR(__xludf.DUMMYFUNCTION("""COMPUTED_VALUE"""),"2017")</x:f>
      </x:c>
    </x:row>
    <x:row r="2658" spans="1:10">
      <x:c r="A2658" s="1" t="s">
        <x:v>2667</x:v>
      </x:c>
      <x:c r="B2658" s="1">
        <x:f>IFERROR(__xludf.DUMMYFUNCTION("""COMPUTED_VALUE"""),"En Richard diu adeu")</x:f>
      </x:c>
      <x:c r="C2658" s="1">
        <x:f>IFERROR(__xludf.DUMMYFUNCTION("""COMPUTED_VALUE"""),"2018")</x:f>
      </x:c>
    </x:row>
    <x:row r="2659" spans="1:10">
      <x:c r="A2659" s="1" t="s">
        <x:v>2668</x:v>
      </x:c>
      <x:c r="B2659" s="1">
        <x:f>IFERROR(__xludf.DUMMYFUNCTION("""COMPUTED_VALUE"""),"En solitari")</x:f>
      </x:c>
      <x:c r="C2659" s="1">
        <x:f>IFERROR(__xludf.DUMMYFUNCTION("""COMPUTED_VALUE"""),"2013")</x:f>
      </x:c>
    </x:row>
    <x:row r="2660" spans="1:10">
      <x:c r="A2660" s="1" t="s">
        <x:v>2669</x:v>
      </x:c>
      <x:c r="B2660" s="1">
        <x:f>IFERROR(__xludf.DUMMYFUNCTION("""COMPUTED_VALUE"""),"En temps de bruixes")</x:f>
      </x:c>
      <x:c r="C2660" s="1">
        <x:f>IFERROR(__xludf.DUMMYFUNCTION("""COMPUTED_VALUE"""),"2011")</x:f>
      </x:c>
    </x:row>
    <x:row r="2661" spans="1:10">
      <x:c r="A2661" s="1" t="s">
        <x:v>2670</x:v>
      </x:c>
      <x:c r="B2661" s="1">
        <x:f>IFERROR(__xludf.DUMMYFUNCTION("""COMPUTED_VALUE"""),"En tercera persona")</x:f>
      </x:c>
      <x:c r="C2661" s="1">
        <x:f>IFERROR(__xludf.DUMMYFUNCTION("""COMPUTED_VALUE"""),"2013")</x:f>
      </x:c>
    </x:row>
    <x:row r="2662" spans="1:10">
      <x:c r="A2662" s="1" t="s">
        <x:v>2671</x:v>
      </x:c>
      <x:c r="B2662" s="1">
        <x:f>IFERROR(__xludf.DUMMYFUNCTION("""COMPUTED_VALUE"""),"En terra hostil")</x:f>
      </x:c>
      <x:c r="C2662" s="1">
        <x:f>IFERROR(__xludf.DUMMYFUNCTION("""COMPUTED_VALUE"""),"2008")</x:f>
      </x:c>
    </x:row>
    <x:row r="2663" spans="1:10">
      <x:c r="A2663" s="1" t="s">
        <x:v>2672</x:v>
      </x:c>
      <x:c r="B2663" s="1">
        <x:f>IFERROR(__xludf.DUMMYFUNCTION("""COMPUTED_VALUE"""),"En terra perillosa")</x:f>
      </x:c>
      <x:c r="C2663" s="1">
        <x:f>IFERROR(__xludf.DUMMYFUNCTION("""COMPUTED_VALUE"""),"1994")</x:f>
      </x:c>
    </x:row>
    <x:row r="2664" spans="1:10">
      <x:c r="A2664" s="1" t="s">
        <x:v>2673</x:v>
      </x:c>
      <x:c r="B2664" s="1">
        <x:f>IFERROR(__xludf.DUMMYFUNCTION("""COMPUTED_VALUE"""),"En un lloc sense llei")</x:f>
      </x:c>
      <x:c r="C2664" s="1">
        <x:f>IFERROR(__xludf.DUMMYFUNCTION("""COMPUTED_VALUE"""),"2013")</x:f>
      </x:c>
    </x:row>
    <x:row r="2665" spans="1:10">
      <x:c r="A2665" s="1" t="s">
        <x:v>2674</x:v>
      </x:c>
      <x:c r="B2665" s="1">
        <x:f>IFERROR(__xludf.DUMMYFUNCTION("""COMPUTED_VALUE"""),"En un moll de Normandia")</x:f>
      </x:c>
      <x:c r="C2665" s="1">
        <x:f>IFERROR(__xludf.DUMMYFUNCTION("""COMPUTED_VALUE"""),"2021")</x:f>
      </x:c>
    </x:row>
    <x:row r="2666" spans="1:10">
      <x:c r="A2666" s="1" t="s">
        <x:v>2675</x:v>
      </x:c>
      <x:c r="B2666" s="1">
        <x:f>IFERROR(__xludf.DUMMYFUNCTION("""COMPUTED_VALUE"""),"En un pati de París")</x:f>
      </x:c>
      <x:c r="C2666" s="1">
        <x:f>IFERROR(__xludf.DUMMYFUNCTION("""COMPUTED_VALUE"""),"2014")</x:f>
      </x:c>
    </x:row>
    <x:row r="2667" spans="1:10">
      <x:c r="A2667" s="1" t="s">
        <x:v>2676</x:v>
      </x:c>
      <x:c r="B2667" s="1">
        <x:f>IFERROR(__xludf.DUMMYFUNCTION("""COMPUTED_VALUE"""),"En un racó d'Àfrica")</x:f>
      </x:c>
      <x:c r="C2667" s="1">
        <x:f>IFERROR(__xludf.DUMMYFUNCTION("""COMPUTED_VALUE"""),"2009")</x:f>
      </x:c>
    </x:row>
    <x:row r="2668" spans="1:10">
      <x:c r="A2668" s="1" t="s">
        <x:v>2677</x:v>
      </x:c>
      <x:c r="B2668" s="1">
        <x:f>IFERROR(__xludf.DUMMYFUNCTION("""COMPUTED_VALUE"""),"En Wallace i en Gromit – Al zero – A Close Shave")</x:f>
      </x:c>
      <x:c r="C2668" s="1">
        <x:f>IFERROR(__xludf.DUMMYFUNCTION("""COMPUTED_VALUE"""),"1995")</x:f>
      </x:c>
    </x:row>
    <x:row r="2669" spans="1:10">
      <x:c r="A2669" s="1" t="s">
        <x:v>2678</x:v>
      </x:c>
      <x:c r="B2669" s="1">
        <x:f>IFERROR(__xludf.DUMMYFUNCTION("""COMPUTED_VALUE"""),"En Zack i la Miri fan una porno")</x:f>
      </x:c>
      <x:c r="C2669" s="1">
        <x:f>IFERROR(__xludf.DUMMYFUNCTION("""COMPUTED_VALUE"""),"2008")</x:f>
      </x:c>
    </x:row>
    <x:row r="2670" spans="1:10">
      <x:c r="A2670" s="1" t="s">
        <x:v>2679</x:v>
      </x:c>
      <x:c r="B2670" s="1">
        <x:f>IFERROR(__xludf.DUMMYFUNCTION("""COMPUTED_VALUE"""),"En/Femme")</x:f>
      </x:c>
      <x:c r="C2670" s="1">
        <x:f>IFERROR(__xludf.DUMMYFUNCTION("""COMPUTED_VALUE"""),"2018")</x:f>
      </x:c>
    </x:row>
    <x:row r="2671" spans="1:10">
      <x:c r="A2671" s="1" t="s">
        <x:v>2680</x:v>
      </x:c>
      <x:c r="B2671" s="1">
        <x:f>IFERROR(__xludf.DUMMYFUNCTION("""COMPUTED_VALUE"""),"Enamora't")</x:f>
      </x:c>
      <x:c r="C2671" s="1">
        <x:f>IFERROR(__xludf.DUMMYFUNCTION("""COMPUTED_VALUE"""),"2003")</x:f>
      </x:c>
    </x:row>
    <x:row r="2672" spans="1:10">
      <x:c r="A2672" s="1" t="s">
        <x:v>2681</x:v>
      </x:c>
      <x:c r="B2672" s="1">
        <x:f>IFERROR(__xludf.DUMMYFUNCTION("""COMPUTED_VALUE"""),"Enamorada de Figaro")</x:f>
      </x:c>
      <x:c r="C2672" s="1">
        <x:f>IFERROR(__xludf.DUMMYFUNCTION("""COMPUTED_VALUE"""),"2020")</x:f>
      </x:c>
    </x:row>
    <x:row r="2673" spans="1:10">
      <x:c r="A2673" s="1" t="s">
        <x:v>2682</x:v>
      </x:c>
      <x:c r="B2673" s="1">
        <x:f>IFERROR(__xludf.DUMMYFUNCTION("""COMPUTED_VALUE"""),"Enamorar-se")</x:f>
      </x:c>
      <x:c r="C2673" s="1">
        <x:f>IFERROR(__xludf.DUMMYFUNCTION("""COMPUTED_VALUE"""),"2013")</x:f>
      </x:c>
    </x:row>
    <x:row r="2674" spans="1:10">
      <x:c r="A2674" s="1" t="s">
        <x:v>2683</x:v>
      </x:c>
      <x:c r="B2674" s="1">
        <x:f>IFERROR(__xludf.DUMMYFUNCTION("""COMPUTED_VALUE"""),"Enamorat de la meva dona")</x:f>
      </x:c>
      <x:c r="C2674" s="1">
        <x:f>IFERROR(__xludf.DUMMYFUNCTION("""COMPUTED_VALUE"""),"2018")</x:f>
      </x:c>
    </x:row>
    <x:row r="2675" spans="1:10">
      <x:c r="A2675" s="1" t="s">
        <x:v>2684</x:v>
      </x:c>
      <x:c r="B2675" s="1">
        <x:f>IFERROR(__xludf.DUMMYFUNCTION("""COMPUTED_VALUE"""),"Enamorats a Croàcia")</x:f>
      </x:c>
      <x:c r="C2675" s="1">
        <x:f>IFERROR(__xludf.DUMMYFUNCTION("""COMPUTED_VALUE"""),"2020")</x:f>
      </x:c>
    </x:row>
    <x:row r="2676" spans="1:10">
      <x:c r="A2676" s="1" t="s">
        <x:v>2685</x:v>
      </x:c>
      <x:c r="B2676" s="1">
        <x:f>IFERROR(__xludf.DUMMYFUNCTION("""COMPUTED_VALUE"""),"Encadenat")</x:f>
      </x:c>
      <x:c r="C2676" s="1">
        <x:f>IFERROR(__xludf.DUMMYFUNCTION("""COMPUTED_VALUE"""),"1989")</x:f>
      </x:c>
    </x:row>
    <x:row r="2677" spans="1:10">
      <x:c r="A2677" s="1" t="s">
        <x:v>2686</x:v>
      </x:c>
      <x:c r="B2677" s="1">
        <x:f>IFERROR(__xludf.DUMMYFUNCTION("""COMPUTED_VALUE"""),"Encantats pel Nadal")</x:f>
      </x:c>
      <x:c r="C2677" s="1">
        <x:f>IFERROR(__xludf.DUMMYFUNCTION("""COMPUTED_VALUE"""),"2020")</x:f>
      </x:c>
    </x:row>
    <x:row r="2678" spans="1:10">
      <x:c r="A2678" s="1" t="s">
        <x:v>2687</x:v>
      </x:c>
      <x:c r="B2678" s="1">
        <x:f>IFERROR(__xludf.DUMMYFUNCTION("""COMPUTED_VALUE"""),"Encara hi ha algú al bosc")</x:f>
      </x:c>
      <x:c r="C2678" s="1">
        <x:f>IFERROR(__xludf.DUMMYFUNCTION("""COMPUTED_VALUE"""),"2021")</x:f>
      </x:c>
    </x:row>
    <x:row r="2679" spans="1:10">
      <x:c r="A2679" s="1" t="s">
        <x:v>2688</x:v>
      </x:c>
      <x:c r="B2679" s="1">
        <x:f>IFERROR(__xludf.DUMMYFUNCTION("""COMPUTED_VALUE"""),"Encara soc aquí")</x:f>
      </x:c>
      <x:c r="C2679" s="1">
        <x:f>IFERROR(__xludf.DUMMYFUNCTION("""COMPUTED_VALUE"""),"2024")</x:f>
      </x:c>
    </x:row>
    <x:row r="2680" spans="1:10">
      <x:c r="A2680" s="1" t="s">
        <x:v>2689</x:v>
      </x:c>
      <x:c r="B2680" s="1">
        <x:f>IFERROR(__xludf.DUMMYFUNCTION("""COMPUTED_VALUE"""),"Encis de lluna")</x:f>
      </x:c>
      <x:c r="C2680" s="1">
        <x:f>IFERROR(__xludf.DUMMYFUNCTION("""COMPUTED_VALUE"""),"1987")</x:f>
      </x:c>
    </x:row>
    <x:row r="2681" spans="1:10">
      <x:c r="A2681" s="1" t="s">
        <x:v>2690</x:v>
      </x:c>
      <x:c r="B2681" s="1">
        <x:f>IFERROR(__xludf.DUMMYFUNCTION("""COMPUTED_VALUE"""),"Encisat")</x:f>
      </x:c>
      <x:c r="C2681" s="1">
        <x:f>IFERROR(__xludf.DUMMYFUNCTION("""COMPUTED_VALUE"""),"1998")</x:f>
      </x:c>
    </x:row>
    <x:row r="2682" spans="1:10">
      <x:c r="A2682" s="1" t="s">
        <x:v>2691</x:v>
      </x:c>
      <x:c r="B2682" s="1">
        <x:f>IFERROR(__xludf.DUMMYFUNCTION("""COMPUTED_VALUE"""),"Encobridora")</x:f>
      </x:c>
      <x:c r="C2682" s="1">
        <x:f>IFERROR(__xludf.DUMMYFUNCTION("""COMPUTED_VALUE"""),"1952")</x:f>
      </x:c>
    </x:row>
    <x:row r="2683" spans="1:10">
      <x:c r="A2683" s="1" t="s">
        <x:v>2692</x:v>
      </x:c>
      <x:c r="B2683" s="1">
        <x:f>IFERROR(__xludf.DUMMYFUNCTION("""COMPUTED_VALUE"""),"Encontres a la tercera fase")</x:f>
      </x:c>
      <x:c r="C2683" s="1">
        <x:f>IFERROR(__xludf.DUMMYFUNCTION("""COMPUTED_VALUE"""),"1977")</x:f>
      </x:c>
    </x:row>
    <x:row r="2684" spans="1:10">
      <x:c r="A2684" s="1" t="s">
        <x:v>2693</x:v>
      </x:c>
      <x:c r="B2684" s="1">
        <x:f>IFERROR(__xludf.DUMMYFUNCTION("""COMPUTED_VALUE"""),"Encordades")</x:f>
      </x:c>
      <x:c r="C2684" s="1">
        <x:f>IFERROR(__xludf.DUMMYFUNCTION("""COMPUTED_VALUE"""),"2011")</x:f>
      </x:c>
    </x:row>
    <x:row r="2685" spans="1:10">
      <x:c r="A2685" s="1" t="s">
        <x:v>2694</x:v>
      </x:c>
      <x:c r="B2685" s="1">
        <x:f>IFERROR(__xludf.DUMMYFUNCTION("""COMPUTED_VALUE"""),"Endevina qui ve a sopar")</x:f>
      </x:c>
      <x:c r="C2685" s="1">
        <x:f>IFERROR(__xludf.DUMMYFUNCTION("""COMPUTED_VALUE"""),"1967")</x:f>
      </x:c>
    </x:row>
    <x:row r="2686" spans="1:10">
      <x:c r="A2686" s="1" t="s">
        <x:v>2695</x:v>
      </x:c>
      <x:c r="B2686" s="1">
        <x:f>IFERROR(__xludf.DUMMYFUNCTION("""COMPUTED_VALUE"""),"Enemic a les portes")</x:f>
      </x:c>
      <x:c r="C2686" s="1">
        <x:f>IFERROR(__xludf.DUMMYFUNCTION("""COMPUTED_VALUE"""),"2001")</x:f>
      </x:c>
    </x:row>
    <x:row r="2687" spans="1:10">
      <x:c r="A2687" s="1" t="s">
        <x:v>2696</x:v>
      </x:c>
      <x:c r="B2687" s="1">
        <x:f>IFERROR(__xludf.DUMMYFUNCTION("""COMPUTED_VALUE"""),"Enemic meu")</x:f>
      </x:c>
      <x:c r="C2687" s="1">
        <x:f>IFERROR(__xludf.DUMMYFUNCTION("""COMPUTED_VALUE"""),"1985")</x:f>
      </x:c>
    </x:row>
    <x:row r="2688" spans="1:10">
      <x:c r="A2688" s="1" t="s">
        <x:v>2697</x:v>
      </x:c>
      <x:c r="B2688" s="1">
        <x:f>IFERROR(__xludf.DUMMYFUNCTION("""COMPUTED_VALUE"""),"Enemics íntims")</x:f>
      </x:c>
      <x:c r="C2688" s="1">
        <x:f>IFERROR(__xludf.DUMMYFUNCTION("""COMPUTED_VALUE"""),"2006")</x:f>
      </x:c>
    </x:row>
    <x:row r="2689" spans="1:10">
      <x:c r="A2689" s="1" t="s">
        <x:v>2698</x:v>
      </x:c>
      <x:c r="B2689" s="1">
        <x:f>IFERROR(__xludf.DUMMYFUNCTION("""COMPUTED_VALUE"""),"EnFemme")</x:f>
      </x:c>
      <x:c r="C2689" s="1">
        <x:f>IFERROR(__xludf.DUMMYFUNCTION("""COMPUTED_VALUE"""),"2017")</x:f>
      </x:c>
    </x:row>
    <x:row r="2690" spans="1:10">
      <x:c r="A2690" s="1" t="s">
        <x:v>2699</x:v>
      </x:c>
      <x:c r="B2690" s="1">
        <x:f>IFERROR(__xludf.DUMMYFUNCTION("""COMPUTED_VALUE"""),"Enfrontats")</x:f>
      </x:c>
      <x:c r="C2690" s="1">
        <x:f>IFERROR(__xludf.DUMMYFUNCTION("""COMPUTED_VALUE"""),"2006")</x:f>
      </x:c>
    </x:row>
    <x:row r="2691" spans="1:10">
      <x:c r="A2691" s="1" t="s">
        <x:v>2700</x:v>
      </x:c>
      <x:c r="B2691" s="1">
        <x:f>IFERROR(__xludf.DUMMYFUNCTION("""COMPUTED_VALUE"""),"Enganya'm")</x:f>
      </x:c>
      <x:c r="C2691" s="1">
        <x:f>IFERROR(__xludf.DUMMYFUNCTION("""COMPUTED_VALUE"""),"2024")</x:f>
      </x:c>
    </x:row>
    <x:row r="2692" spans="1:10">
      <x:c r="A2692" s="1" t="s">
        <x:v>2701</x:v>
      </x:c>
      <x:c r="B2692" s="1">
        <x:f>IFERROR(__xludf.DUMMYFUNCTION("""COMPUTED_VALUE"""),"Enganyada")</x:f>
      </x:c>
      <x:c r="C2692" s="1">
        <x:f>IFERROR(__xludf.DUMMYFUNCTION("""COMPUTED_VALUE"""),"2015")</x:f>
      </x:c>
    </x:row>
    <x:row r="2693" spans="1:10">
      <x:c r="A2693" s="1" t="s">
        <x:v>2702</x:v>
      </x:c>
      <x:c r="B2693" s="1">
        <x:f>IFERROR(__xludf.DUMMYFUNCTION("""COMPUTED_VALUE"""),"Enigma")</x:f>
      </x:c>
      <x:c r="C2693" s="1">
        <x:f>IFERROR(__xludf.DUMMYFUNCTION("""COMPUTED_VALUE"""),"1982")</x:f>
      </x:c>
    </x:row>
    <x:row r="2694" spans="1:10">
      <x:c r="A2694" s="1" t="s">
        <x:v>2703</x:v>
      </x:c>
      <x:c r="B2694" s="1">
        <x:f>IFERROR(__xludf.DUMMYFUNCTION("""COMPUTED_VALUE"""),"Enllaços i companyia")</x:f>
      </x:c>
      <x:c r="C2694" s="1">
        <x:f>IFERROR(__xludf.DUMMYFUNCTION("""COMPUTED_VALUE"""),"2011")</x:f>
      </x:c>
    </x:row>
    <x:row r="2695" spans="1:10">
      <x:c r="A2695" s="1" t="s">
        <x:v>2704</x:v>
      </x:c>
      <x:c r="B2695" s="1">
        <x:f>IFERROR(__xludf.DUMMYFUNCTION("""COMPUTED_VALUE"""),"Ennio, il maestro")</x:f>
      </x:c>
      <x:c r="C2695" s="1">
        <x:f>IFERROR(__xludf.DUMMYFUNCTION("""COMPUTED_VALUE"""),"2021")</x:f>
      </x:c>
    </x:row>
    <x:row r="2696" spans="1:10">
      <x:c r="A2696" s="1" t="s">
        <x:v>2705</x:v>
      </x:c>
      <x:c r="B2696" s="1">
        <x:f>IFERROR(__xludf.DUMMYFUNCTION("""COMPUTED_VALUE"""),"Ens veurem allà dalt")</x:f>
      </x:c>
      <x:c r="C2696" s="1">
        <x:f>IFERROR(__xludf.DUMMYFUNCTION("""COMPUTED_VALUE"""),"2017")</x:f>
      </x:c>
    </x:row>
    <x:row r="2697" spans="1:10">
      <x:c r="A2697" s="1" t="s">
        <x:v>2706</x:v>
      </x:c>
      <x:c r="B2697" s="1">
        <x:f>IFERROR(__xludf.DUMMYFUNCTION("""COMPUTED_VALUE"""),"Enterreu el meu cor a Wounded Knee")</x:f>
      </x:c>
      <x:c r="C2697" s="1">
        <x:f>IFERROR(__xludf.DUMMYFUNCTION("""COMPUTED_VALUE"""),"2007")</x:f>
      </x:c>
    </x:row>
    <x:row r="2698" spans="1:10">
      <x:c r="A2698" s="1" t="s">
        <x:v>2707</x:v>
      </x:c>
      <x:c r="B2698" s="1">
        <x:f>IFERROR(__xludf.DUMMYFUNCTION("""COMPUTED_VALUE"""),"Entre amics")</x:f>
      </x:c>
      <x:c r="C2698" s="1">
        <x:f>IFERROR(__xludf.DUMMYFUNCTION("""COMPUTED_VALUE"""),"2015")</x:f>
      </x:c>
    </x:row>
    <x:row r="2699" spans="1:10">
      <x:c r="A2699" s="1" t="s">
        <x:v>2708</x:v>
      </x:c>
      <x:c r="B2699" s="1">
        <x:f>IFERROR(__xludf.DUMMYFUNCTION("""COMPUTED_VALUE"""),"Entre copes")</x:f>
      </x:c>
      <x:c r="C2699" s="1">
        <x:f>IFERROR(__xludf.DUMMYFUNCTION("""COMPUTED_VALUE"""),"2004")</x:f>
      </x:c>
    </x:row>
    <x:row r="2700" spans="1:10">
      <x:c r="A2700" s="1" t="s">
        <x:v>2709</x:v>
      </x:c>
      <x:c r="B2700" s="1">
        <x:f>IFERROR(__xludf.DUMMYFUNCTION("""COMPUTED_VALUE"""),"Entre dones")</x:f>
      </x:c>
      <x:c r="C2700" s="1">
        <x:f>IFERROR(__xludf.DUMMYFUNCTION("""COMPUTED_VALUE"""),"2007")</x:f>
      </x:c>
    </x:row>
    <x:row r="2701" spans="1:10">
      <x:c r="A2701" s="1" t="s">
        <x:v>2710</x:v>
      </x:c>
      <x:c r="B2701" s="1">
        <x:f>IFERROR(__xludf.DUMMYFUNCTION("""COMPUTED_VALUE"""),"Entre dues mares")</x:f>
      </x:c>
      <x:c r="C2701" s="1">
        <x:f>IFERROR(__xludf.DUMMYFUNCTION("""COMPUTED_VALUE"""),"2016")</x:f>
      </x:c>
    </x:row>
    <x:row r="2702" spans="1:10">
      <x:c r="A2702" s="1" t="s">
        <x:v>2711</x:v>
      </x:c>
      <x:c r="B2702" s="1">
        <x:f>IFERROR(__xludf.DUMMYFUNCTION("""COMPUTED_VALUE"""),"Entre elles")</x:f>
      </x:c>
      <x:c r="C2702" s="1">
        <x:f>IFERROR(__xludf.DUMMYFUNCTION("""COMPUTED_VALUE"""),"2016")</x:f>
      </x:c>
    </x:row>
    <x:row r="2703" spans="1:10">
      <x:c r="A2703" s="1" t="s">
        <x:v>2712</x:v>
      </x:c>
      <x:c r="B2703" s="1">
        <x:f>IFERROR(__xludf.DUMMYFUNCTION("""COMPUTED_VALUE"""),"Entre nosaltres")</x:f>
      </x:c>
      <x:c r="C2703" s="1">
        <x:f>IFERROR(__xludf.DUMMYFUNCTION("""COMPUTED_VALUE"""),"2019")</x:f>
      </x:c>
    </x:row>
    <x:row r="2704" spans="1:10">
      <x:c r="A2704" s="1" t="s">
        <x:v>2713</x:v>
      </x:c>
      <x:c r="B2704" s="1">
        <x:f>IFERROR(__xludf.DUMMYFUNCTION("""COMPUTED_VALUE"""),"Entre ombres")</x:f>
      </x:c>
      <x:c r="C2704" s="1">
        <x:f>IFERROR(__xludf.DUMMYFUNCTION("""COMPUTED_VALUE"""),"2017")</x:f>
      </x:c>
    </x:row>
    <x:row r="2705" spans="1:10">
      <x:c r="A2705" s="1" t="s">
        <x:v>2714</x:v>
      </x:c>
      <x:c r="B2705" s="1">
        <x:f>IFERROR(__xludf.DUMMYFUNCTION("""COMPUTED_VALUE"""),"Entrevista amb el vampir")</x:f>
      </x:c>
      <x:c r="C2705" s="1">
        <x:f>IFERROR(__xludf.DUMMYFUNCTION("""COMPUTED_VALUE"""),"1994")</x:f>
      </x:c>
    </x:row>
    <x:row r="2706" spans="1:10">
      <x:c r="A2706" s="1" t="s">
        <x:v>2715</x:v>
      </x:c>
      <x:c r="B2706" s="1">
        <x:f>IFERROR(__xludf.DUMMYFUNCTION("""COMPUTED_VALUE"""),"Enveja sana")</x:f>
      </x:c>
      <x:c r="C2706" s="1">
        <x:f>IFERROR(__xludf.DUMMYFUNCTION("""COMPUTED_VALUE"""),"2020")</x:f>
      </x:c>
    </x:row>
    <x:row r="2707" spans="1:10">
      <x:c r="A2707" s="1" t="s">
        <x:v>2716</x:v>
      </x:c>
      <x:c r="B2707" s="1">
        <x:f>IFERROR(__xludf.DUMMYFUNCTION("""COMPUTED_VALUE"""),"Enviat especial")</x:f>
      </x:c>
      <x:c r="C2707" s="1">
        <x:f>IFERROR(__xludf.DUMMYFUNCTION("""COMPUTED_VALUE"""),"1940")</x:f>
      </x:c>
    </x:row>
    <x:row r="2708" spans="1:10">
      <x:c r="A2708" s="1" t="s">
        <x:v>2717</x:v>
      </x:c>
      <x:c r="B2708" s="1">
        <x:f>IFERROR(__xludf.DUMMYFUNCTION("""COMPUTED_VALUE"""),"Enxaneta")</x:f>
      </x:c>
      <x:c r="C2708" s="1">
        <x:f>IFERROR(__xludf.DUMMYFUNCTION("""COMPUTED_VALUE"""),"2011")</x:f>
      </x:c>
    </x:row>
    <x:row r="2709" spans="1:10">
      <x:c r="A2709" s="1" t="s">
        <x:v>2718</x:v>
      </x:c>
      <x:c r="B2709" s="1">
        <x:f>IFERROR(__xludf.DUMMYFUNCTION("""COMPUTED_VALUE"""),"Epic")</x:f>
      </x:c>
      <x:c r="C2709" s="1">
        <x:f>IFERROR(__xludf.DUMMYFUNCTION("""COMPUTED_VALUE"""),"2013")</x:f>
      </x:c>
    </x:row>
    <x:row r="2710" spans="1:10">
      <x:c r="A2710" s="1" t="s">
        <x:v>2719</x:v>
      </x:c>
      <x:c r="B2710" s="1">
        <x:f>IFERROR(__xludf.DUMMYFUNCTION("""COMPUTED_VALUE"""),"Equilibrium")</x:f>
      </x:c>
      <x:c r="C2710" s="1">
        <x:f>IFERROR(__xludf.DUMMYFUNCTION("""COMPUTED_VALUE"""),"2002")</x:f>
      </x:c>
    </x:row>
    <x:row r="2711" spans="1:10">
      <x:c r="A2711" s="1" t="s">
        <x:v>2720</x:v>
      </x:c>
      <x:c r="B2711" s="1">
        <x:f>IFERROR(__xludf.DUMMYFUNCTION("""COMPUTED_VALUE"""),"Equip Tigre: la muntanya dels 1.000 dracs")</x:f>
      </x:c>
      <x:c r="C2711" s="1">
        <x:f>IFERROR(__xludf.DUMMYFUNCTION("""COMPUTED_VALUE"""),"2010")</x:f>
      </x:c>
    </x:row>
    <x:row r="2712" spans="1:10">
      <x:c r="A2712" s="1" t="s">
        <x:v>2721</x:v>
      </x:c>
      <x:c r="B2712" s="1">
        <x:f>IFERROR(__xludf.DUMMYFUNCTION("""COMPUTED_VALUE"""),"Equus")</x:f>
      </x:c>
      <x:c r="C2712" s="1">
        <x:f>IFERROR(__xludf.DUMMYFUNCTION("""COMPUTED_VALUE"""),"1977")</x:f>
      </x:c>
    </x:row>
    <x:row r="2713" spans="1:10">
      <x:c r="A2713" s="1" t="s">
        <x:v>2722</x:v>
      </x:c>
      <x:c r="B2713" s="1">
        <x:f>IFERROR(__xludf.DUMMYFUNCTION("""COMPUTED_VALUE"""),"Eragon")</x:f>
      </x:c>
      <x:c r="C2713" s="1">
        <x:f>IFERROR(__xludf.DUMMYFUNCTION("""COMPUTED_VALUE"""),"2006")</x:f>
      </x:c>
    </x:row>
    <x:row r="2714" spans="1:10">
      <x:c r="A2714" s="1" t="s">
        <x:v>2723</x:v>
      </x:c>
      <x:c r="B2714" s="1">
        <x:f>IFERROR(__xludf.DUMMYFUNCTION("""COMPUTED_VALUE"""),"Eraser eliminador")</x:f>
      </x:c>
      <x:c r="C2714" s="1">
        <x:f>IFERROR(__xludf.DUMMYFUNCTION("""COMPUTED_VALUE"""),"1996")</x:f>
      </x:c>
    </x:row>
    <x:row r="2715" spans="1:10">
      <x:c r="A2715" s="1" t="s">
        <x:v>2724</x:v>
      </x:c>
      <x:c r="B2715" s="1">
        <x:f>IFERROR(__xludf.DUMMYFUNCTION("""COMPUTED_VALUE"""),"Eraserhead [VOSC]")</x:f>
      </x:c>
      <x:c r="C2715" s="1">
        <x:f>IFERROR(__xludf.DUMMYFUNCTION("""COMPUTED_VALUE"""),"1976")</x:f>
      </x:c>
    </x:row>
    <x:row r="2716" spans="1:10">
      <x:c r="A2716" s="1" t="s">
        <x:v>2725</x:v>
      </x:c>
      <x:c r="B2716" s="1">
        <x:f>IFERROR(__xludf.DUMMYFUNCTION("""COMPUTED_VALUE"""),"Erik, cor de pedra")</x:f>
      </x:c>
      <x:c r="C2716" s="1">
        <x:f>IFERROR(__xludf.DUMMYFUNCTION("""COMPUTED_VALUE"""),"2022")</x:f>
      </x:c>
    </x:row>
    <x:row r="2717" spans="1:10">
      <x:c r="A2717" s="1" t="s">
        <x:v>2726</x:v>
      </x:c>
      <x:c r="B2717" s="1">
        <x:f>IFERROR(__xludf.DUMMYFUNCTION("""COMPUTED_VALUE"""),"Erin Brockovich")</x:f>
      </x:c>
      <x:c r="C2717" s="1">
        <x:f>IFERROR(__xludf.DUMMYFUNCTION("""COMPUTED_VALUE"""),"2000")</x:f>
      </x:c>
    </x:row>
    <x:row r="2718" spans="1:10">
      <x:c r="A2718" s="1" t="s">
        <x:v>2727</x:v>
      </x:c>
      <x:c r="B2718" s="1">
        <x:f>IFERROR(__xludf.DUMMYFUNCTION("""COMPUTED_VALUE"""),"Ernest &amp; Celestine")</x:f>
      </x:c>
      <x:c r="C2718" s="1">
        <x:f>IFERROR(__xludf.DUMMYFUNCTION("""COMPUTED_VALUE"""),"2012")</x:f>
      </x:c>
    </x:row>
    <x:row r="2719" spans="1:10">
      <x:c r="A2719" s="1" t="s">
        <x:v>2728</x:v>
      </x:c>
      <x:c r="B2719" s="1">
        <x:f>IFERROR(__xludf.DUMMYFUNCTION("""COMPUTED_VALUE"""),"Error terminal")</x:f>
      </x:c>
      <x:c r="C2719" s="1">
        <x:f>IFERROR(__xludf.DUMMYFUNCTION("""COMPUTED_VALUE"""),"2002")</x:f>
      </x:c>
    </x:row>
    <x:row r="2720" spans="1:10">
      <x:c r="A2720" s="1" t="s">
        <x:v>2729</x:v>
      </x:c>
      <x:c r="B2720" s="1">
        <x:f>IFERROR(__xludf.DUMMYFUNCTION("""COMPUTED_VALUE"""),"És quan dormo que hi veig clar")</x:f>
      </x:c>
      <x:c r="C2720" s="1">
        <x:f>IFERROR(__xludf.DUMMYFUNCTION("""COMPUTED_VALUE"""),"1988")</x:f>
      </x:c>
    </x:row>
    <x:row r="2721" spans="1:10">
      <x:c r="A2721" s="1" t="s">
        <x:v>2730</x:v>
      </x:c>
      <x:c r="B2721" s="1">
        <x:f>IFERROR(__xludf.DUMMYFUNCTION("""COMPUTED_VALUE"""),"Esborrant la identitat")</x:f>
      </x:c>
      <x:c r="C2721" s="1">
        <x:f>IFERROR(__xludf.DUMMYFUNCTION("""COMPUTED_VALUE"""),"2024")</x:f>
      </x:c>
    </x:row>
    <x:row r="2722" spans="1:10">
      <x:c r="A2722" s="1" t="s">
        <x:v>2731</x:v>
      </x:c>
      <x:c r="B2722" s="1">
        <x:f>IFERROR(__xludf.DUMMYFUNCTION("""COMPUTED_VALUE"""),"Escaflowne")</x:f>
      </x:c>
      <x:c r="C2722" s="1">
        <x:f>IFERROR(__xludf.DUMMYFUNCTION("""COMPUTED_VALUE"""),"2000")</x:f>
      </x:c>
    </x:row>
    <x:row r="2723" spans="1:10">
      <x:c r="A2723" s="1" t="s">
        <x:v>2732</x:v>
      </x:c>
      <x:c r="B2723" s="1">
        <x:f>IFERROR(__xludf.DUMMYFUNCTION("""COMPUTED_VALUE"""),"Escàndol a París")</x:f>
      </x:c>
      <x:c r="C2723" s="1">
        <x:f>IFERROR(__xludf.DUMMYFUNCTION("""COMPUTED_VALUE"""),"1946")</x:f>
      </x:c>
    </x:row>
    <x:row r="2724" spans="1:10">
      <x:c r="A2724" s="1" t="s">
        <x:v>2733</x:v>
      </x:c>
      <x:c r="B2724" s="1">
        <x:f>IFERROR(__xludf.DUMMYFUNCTION("""COMPUTED_VALUE"""),"Escanyapobres")</x:f>
      </x:c>
      <x:c r="C2724" s="1">
        <x:f>IFERROR(__xludf.DUMMYFUNCTION("""COMPUTED_VALUE"""),"2024")</x:f>
      </x:c>
    </x:row>
    <x:row r="2725" spans="1:10">
      <x:c r="A2725" s="1" t="s">
        <x:v>2734</x:v>
      </x:c>
      <x:c r="B2725" s="1">
        <x:f>IFERROR(__xludf.DUMMYFUNCTION("""COMPUTED_VALUE"""),"Escapada final")</x:f>
      </x:c>
      <x:c r="C2725" s="1">
        <x:f>IFERROR(__xludf.DUMMYFUNCTION("""COMPUTED_VALUE"""),"1985")</x:f>
      </x:c>
    </x:row>
    <x:row r="2726" spans="1:10">
      <x:c r="A2726" s="1" t="s">
        <x:v>2735</x:v>
      </x:c>
      <x:c r="B2726" s="1">
        <x:f>IFERROR(__xludf.DUMMYFUNCTION("""COMPUTED_VALUE"""),"Escape Room: La pel·lícula")</x:f>
      </x:c>
      <x:c r="C2726" s="1">
        <x:f>IFERROR(__xludf.DUMMYFUNCTION("""COMPUTED_VALUE"""),"2021")</x:f>
      </x:c>
    </x:row>
    <x:row r="2727" spans="1:10">
      <x:c r="A2727" s="1" t="s">
        <x:v>2736</x:v>
      </x:c>
      <x:c r="B2727" s="1">
        <x:f>IFERROR(__xludf.DUMMYFUNCTION("""COMPUTED_VALUE"""),"Escenes d'una orgía a Formentera")</x:f>
      </x:c>
      <x:c r="C2727" s="1">
        <x:f>IFERROR(__xludf.DUMMYFUNCTION("""COMPUTED_VALUE"""),"1996")</x:f>
      </x:c>
    </x:row>
    <x:row r="2728" spans="1:10">
      <x:c r="A2728" s="1" t="s">
        <x:v>2737</x:v>
      </x:c>
      <x:c r="B2728" s="1">
        <x:f>IFERROR(__xludf.DUMMYFUNCTION("""COMPUTED_VALUE"""),"Esclat")</x:f>
      </x:c>
      <x:c r="C2728" s="1">
        <x:f>IFERROR(__xludf.DUMMYFUNCTION("""COMPUTED_VALUE"""),"1995")</x:f>
      </x:c>
    </x:row>
    <x:row r="2729" spans="1:10">
      <x:c r="A2729" s="1" t="s">
        <x:v>2738</x:v>
      </x:c>
      <x:c r="B2729" s="1">
        <x:f>IFERROR(__xludf.DUMMYFUNCTION("""COMPUTED_VALUE"""),"Escobar: Paradís perdut")</x:f>
      </x:c>
      <x:c r="C2729" s="1">
        <x:f>IFERROR(__xludf.DUMMYFUNCTION("""COMPUTED_VALUE"""),"2014")</x:f>
      </x:c>
    </x:row>
    <x:row r="2730" spans="1:10">
      <x:c r="A2730" s="1" t="s">
        <x:v>2739</x:v>
      </x:c>
      <x:c r="B2730" s="1">
        <x:f>IFERROR(__xludf.DUMMYFUNCTION("""COMPUTED_VALUE"""),"Escòria")</x:f>
      </x:c>
      <x:c r="C2730" s="1">
        <x:f>IFERROR(__xludf.DUMMYFUNCTION("""COMPUTED_VALUE"""),"1979")</x:f>
      </x:c>
    </x:row>
    <x:row r="2731" spans="1:10">
      <x:c r="A2731" s="1" t="s">
        <x:v>2740</x:v>
      </x:c>
      <x:c r="B2731" s="1">
        <x:f>IFERROR(__xludf.DUMMYFUNCTION("""COMPUTED_VALUE"""),"Esfera")</x:f>
      </x:c>
      <x:c r="C2731" s="1">
        <x:f>IFERROR(__xludf.DUMMYFUNCTION("""COMPUTED_VALUE"""),"1998")</x:f>
      </x:c>
    </x:row>
    <x:row r="2732" spans="1:10">
      <x:c r="A2732" s="1" t="s">
        <x:v>2741</x:v>
      </x:c>
      <x:c r="B2732" s="1">
        <x:f>IFERROR(__xludf.DUMMYFUNCTION("""COMPUTED_VALUE"""),"Eskalofrío")</x:f>
      </x:c>
      <x:c r="C2732" s="1">
        <x:f>IFERROR(__xludf.DUMMYFUNCTION("""COMPUTED_VALUE"""),"2008")</x:f>
      </x:c>
    </x:row>
    <x:row r="2733" spans="1:10">
      <x:c r="A2733" s="1" t="s">
        <x:v>2742</x:v>
      </x:c>
      <x:c r="B2733" s="1">
        <x:f>IFERROR(__xludf.DUMMYFUNCTION("""COMPUTED_VALUE"""),"Esmorzar a Plutó")</x:f>
      </x:c>
      <x:c r="C2733" s="1">
        <x:f>IFERROR(__xludf.DUMMYFUNCTION("""COMPUTED_VALUE"""),"2005")</x:f>
      </x:c>
    </x:row>
    <x:row r="2734" spans="1:10">
      <x:c r="A2734" s="1" t="s">
        <x:v>2743</x:v>
      </x:c>
      <x:c r="B2734" s="1">
        <x:f>IFERROR(__xludf.DUMMYFUNCTION("""COMPUTED_VALUE"""),"Esmorzar amb diamants")</x:f>
      </x:c>
      <x:c r="C2734" s="1">
        <x:f>IFERROR(__xludf.DUMMYFUNCTION("""COMPUTED_VALUE"""),"1961")</x:f>
      </x:c>
    </x:row>
    <x:row r="2735" spans="1:10">
      <x:c r="A2735" s="1" t="s">
        <x:v>2744</x:v>
      </x:c>
      <x:c r="B2735" s="1">
        <x:f>IFERROR(__xludf.DUMMYFUNCTION("""COMPUTED_VALUE"""),"Especial sequera: canvi de cicle")</x:f>
      </x:c>
      <x:c r="C2735" s="1">
        <x:f>IFERROR(__xludf.DUMMYFUNCTION("""COMPUTED_VALUE"""),"2024")</x:f>
      </x:c>
    </x:row>
    <x:row r="2736" spans="1:10">
      <x:c r="A2736" s="1" t="s">
        <x:v>2745</x:v>
      </x:c>
      <x:c r="B2736" s="1">
        <x:f>IFERROR(__xludf.DUMMYFUNCTION("""COMPUTED_VALUE"""),"Especial Sopa de Cabra - La Gran Onada")</x:f>
      </x:c>
      <x:c r="C2736" s="1">
        <x:f>IFERROR(__xludf.DUMMYFUNCTION("""COMPUTED_VALUE"""),"2020")</x:f>
      </x:c>
    </x:row>
    <x:row r="2737" spans="1:10">
      <x:c r="A2737" s="1" t="s">
        <x:v>2746</x:v>
      </x:c>
      <x:c r="B2737" s="1">
        <x:f>IFERROR(__xludf.DUMMYFUNCTION("""COMPUTED_VALUE"""),"Especials")</x:f>
      </x:c>
      <x:c r="C2737" s="1">
        <x:f>IFERROR(__xludf.DUMMYFUNCTION("""COMPUTED_VALUE"""),"2019")</x:f>
      </x:c>
    </x:row>
    <x:row r="2738" spans="1:10">
      <x:c r="A2738" s="1" t="s">
        <x:v>2747</x:v>
      </x:c>
      <x:c r="B2738" s="1">
        <x:f>IFERROR(__xludf.DUMMYFUNCTION("""COMPUTED_VALUE"""),"Espectres")</x:f>
      </x:c>
      <x:c r="C2738" s="1">
        <x:f>IFERROR(__xludf.DUMMYFUNCTION("""COMPUTED_VALUE"""),"1978")</x:f>
      </x:c>
    </x:row>
    <x:row r="2739" spans="1:10">
      <x:c r="A2739" s="1" t="s">
        <x:v>2748</x:v>
      </x:c>
      <x:c r="B2739" s="1">
        <x:f>IFERROR(__xludf.DUMMYFUNCTION("""COMPUTED_VALUE"""),"Esperant Dalí")</x:f>
      </x:c>
      <x:c r="C2739" s="1">
        <x:f>IFERROR(__xludf.DUMMYFUNCTION("""COMPUTED_VALUE"""),"2022")</x:f>
      </x:c>
    </x:row>
    <x:row r="2740" spans="1:10">
      <x:c r="A2740" s="1" t="s">
        <x:v>2749</x:v>
      </x:c>
      <x:c r="B2740" s="1">
        <x:f>IFERROR(__xludf.DUMMYFUNCTION("""COMPUTED_VALUE"""),"Esperant un miracle")</x:f>
      </x:c>
      <x:c r="C2740" s="1">
        <x:f>IFERROR(__xludf.DUMMYFUNCTION("""COMPUTED_VALUE"""),"2021")</x:f>
      </x:c>
    </x:row>
    <x:row r="2741" spans="1:10">
      <x:c r="A2741" s="1" t="s">
        <x:v>2750</x:v>
      </x:c>
      <x:c r="B2741" s="1">
        <x:f>IFERROR(__xludf.DUMMYFUNCTION("""COMPUTED_VALUE"""),"Espies de veritat: la pel·lícula")</x:f>
      </x:c>
      <x:c r="C2741" s="1">
        <x:f>IFERROR(__xludf.DUMMYFUNCTION("""COMPUTED_VALUE"""),"2009")</x:f>
      </x:c>
    </x:row>
    <x:row r="2742" spans="1:10">
      <x:c r="A2742" s="1" t="s">
        <x:v>2751</x:v>
      </x:c>
      <x:c r="B2742" s="1">
        <x:f>IFERROR(__xludf.DUMMYFUNCTION("""COMPUTED_VALUE"""),"Espies des del cel")</x:f>
      </x:c>
      <x:c r="C2742" s="1">
        <x:f>IFERROR(__xludf.DUMMYFUNCTION("""COMPUTED_VALUE"""),"2015")</x:f>
      </x:c>
    </x:row>
    <x:row r="2743" spans="1:10">
      <x:c r="A2743" s="1" t="s">
        <x:v>2752</x:v>
      </x:c>
      <x:c r="B2743" s="1">
        <x:f>IFERROR(__xludf.DUMMYFUNCTION("""COMPUTED_VALUE"""),"Espies disfressats")</x:f>
      </x:c>
      <x:c r="C2743" s="1">
        <x:f>IFERROR(__xludf.DUMMYFUNCTION("""COMPUTED_VALUE"""),"2019")</x:f>
      </x:c>
    </x:row>
    <x:row r="2744" spans="1:10">
      <x:c r="A2744" s="1" t="s">
        <x:v>2753</x:v>
      </x:c>
      <x:c r="B2744" s="1">
        <x:f>IFERROR(__xludf.DUMMYFUNCTION("""COMPUTED_VALUE"""),"Espies entre les ombres")</x:f>
      </x:c>
      <x:c r="C2744" s="1">
        <x:f>IFERROR(__xludf.DUMMYFUNCTION("""COMPUTED_VALUE"""),"2008")</x:f>
      </x:c>
    </x:row>
    <x:row r="2745" spans="1:10">
      <x:c r="A2745" s="1" t="s">
        <x:v>2754</x:v>
      </x:c>
      <x:c r="B2745" s="1">
        <x:f>IFERROR(__xludf.DUMMYFUNCTION("""COMPUTED_VALUE"""),"Espui")</x:f>
      </x:c>
      <x:c r="C2745" s="1">
        <x:f>IFERROR(__xludf.DUMMYFUNCTION("""COMPUTED_VALUE"""),"2012")</x:f>
      </x:c>
    </x:row>
    <x:row r="2746" spans="1:10">
      <x:c r="A2746" s="1" t="s">
        <x:v>2755</x:v>
      </x:c>
      <x:c r="B2746" s="1">
        <x:f>IFERROR(__xludf.DUMMYFUNCTION("""COMPUTED_VALUE"""),"Essencials")</x:f>
      </x:c>
      <x:c r="C2746" s="1">
        <x:f>IFERROR(__xludf.DUMMYFUNCTION("""COMPUTED_VALUE"""),"2023")</x:f>
      </x:c>
    </x:row>
    <x:row r="2747" spans="1:10">
      <x:c r="A2747" s="1" t="s">
        <x:v>2756</x:v>
      </x:c>
      <x:c r="B2747" s="1">
        <x:f>IFERROR(__xludf.DUMMYFUNCTION("""COMPUTED_VALUE"""),"Estació central del Brasil [VOSC]")</x:f>
      </x:c>
      <x:c r="C2747" s="1">
        <x:f>IFERROR(__xludf.DUMMYFUNCTION("""COMPUTED_VALUE"""),"1998")</x:f>
      </x:c>
    </x:row>
    <x:row r="2748" spans="1:10">
      <x:c r="A2748" s="1" t="s">
        <x:v>2757</x:v>
      </x:c>
      <x:c r="B2748" s="1">
        <x:f>IFERROR(__xludf.DUMMYFUNCTION("""COMPUTED_VALUE"""),"Estació comanxe")</x:f>
      </x:c>
      <x:c r="C2748" s="1">
        <x:f>IFERROR(__xludf.DUMMYFUNCTION("""COMPUTED_VALUE"""),"1960")</x:f>
      </x:c>
    </x:row>
    <x:row r="2749" spans="1:10">
      <x:c r="A2749" s="1" t="s">
        <x:v>2758</x:v>
      </x:c>
      <x:c r="B2749" s="1">
        <x:f>IFERROR(__xludf.DUMMYFUNCTION("""COMPUTED_VALUE"""),"Estació polar Zebra")</x:f>
      </x:c>
      <x:c r="C2749" s="1">
        <x:f>IFERROR(__xludf.DUMMYFUNCTION("""COMPUTED_VALUE"""),"1968")</x:f>
      </x:c>
    </x:row>
    <x:row r="2750" spans="1:10">
      <x:c r="A2750" s="1" t="s">
        <x:v>2759</x:v>
      </x:c>
      <x:c r="B2750" s="1">
        <x:f>IFERROR(__xludf.DUMMYFUNCTION("""COMPUTED_VALUE"""),"Estafadores de Wall Street")</x:f>
      </x:c>
      <x:c r="C2750" s="1">
        <x:f>IFERROR(__xludf.DUMMYFUNCTION("""COMPUTED_VALUE"""),"2019")</x:f>
      </x:c>
    </x:row>
    <x:row r="2751" spans="1:10">
      <x:c r="A2751" s="1" t="s">
        <x:v>2760</x:v>
      </x:c>
      <x:c r="B2751" s="1">
        <x:f>IFERROR(__xludf.DUMMYFUNCTION("""COMPUTED_VALUE"""),"Estafats")</x:f>
      </x:c>
      <x:c r="C2751" s="1">
        <x:f>IFERROR(__xludf.DUMMYFUNCTION("""COMPUTED_VALUE"""),"2025")</x:f>
      </x:c>
    </x:row>
    <x:row r="2752" spans="1:10">
      <x:c r="A2752" s="1" t="s">
        <x:v>2761</x:v>
      </x:c>
      <x:c r="B2752" s="1">
        <x:f>IFERROR(__xludf.DUMMYFUNCTION("""COMPUTED_VALUE"""),"Estan tocant la nostra cançó")</x:f>
      </x:c>
      <x:c r="C2752" s="1">
        <x:f>IFERROR(__xludf.DUMMYFUNCTION("""COMPUTED_VALUE"""),"1991")</x:f>
      </x:c>
    </x:row>
    <x:row r="2753" spans="1:10">
      <x:c r="A2753" s="1" t="s">
        <x:v>2762</x:v>
      </x:c>
      <x:c r="B2753" s="1">
        <x:f>IFERROR(__xludf.DUMMYFUNCTION("""COMPUTED_VALUE"""),"Estàs fresc, Scooby-Doo!")</x:f>
      </x:c>
      <x:c r="C2753" s="1">
        <x:f>IFERROR(__xludf.DUMMYFUNCTION("""COMPUTED_VALUE"""),"2007")</x:f>
      </x:c>
    </x:row>
    <x:row r="2754" spans="1:10">
      <x:c r="A2754" s="1" t="s">
        <x:v>2763</x:v>
      </x:c>
      <x:c r="B2754" s="1">
        <x:f>IFERROR(__xludf.DUMMYFUNCTION("""COMPUTED_VALUE"""),"Estat elèctric")</x:f>
      </x:c>
      <x:c r="C2754" s="1">
        <x:f>IFERROR(__xludf.DUMMYFUNCTION("""COMPUTED_VALUE"""),"2025")</x:f>
      </x:c>
    </x:row>
    <x:row r="2755" spans="1:10">
      <x:c r="A2755" s="1" t="s">
        <x:v>2764</x:v>
      </x:c>
      <x:c r="B2755" s="1">
        <x:f>IFERROR(__xludf.DUMMYFUNCTION("""COMPUTED_VALUE"""),"Estats Units, setge a la immigració")</x:f>
      </x:c>
      <x:c r="C2755" s="1">
        <x:f>IFERROR(__xludf.DUMMYFUNCTION("""COMPUTED_VALUE"""),"2025")</x:f>
      </x:c>
    </x:row>
    <x:row r="2756" spans="1:10">
      <x:c r="A2756" s="1" t="s">
        <x:v>2765</x:v>
      </x:c>
      <x:c r="B2756" s="1">
        <x:f>IFERROR(__xludf.DUMMYFUNCTION("""COMPUTED_VALUE"""),"Estem voltats de pocavergonyes")</x:f>
      </x:c>
      <x:c r="C2756" s="1">
        <x:f>IFERROR(__xludf.DUMMYFUNCTION("""COMPUTED_VALUE"""),"2019")</x:f>
      </x:c>
    </x:row>
    <x:row r="2757" spans="1:10">
      <x:c r="A2757" s="1" t="s">
        <x:v>2766</x:v>
      </x:c>
      <x:c r="B2757" s="1">
        <x:f>IFERROR(__xludf.DUMMYFUNCTION("""COMPUTED_VALUE"""),"Estigmes")</x:f>
      </x:c>
      <x:c r="C2757" s="1">
        <x:f>IFERROR(__xludf.DUMMYFUNCTION("""COMPUTED_VALUE"""),"2009")</x:f>
      </x:c>
    </x:row>
    <x:row r="2758" spans="1:10">
      <x:c r="A2758" s="1" t="s">
        <x:v>2767</x:v>
      </x:c>
      <x:c r="B2758" s="1">
        <x:f>IFERROR(__xludf.DUMMYFUNCTION("""COMPUTED_VALUE"""),"Estima la teva veïna")</x:f>
      </x:c>
      <x:c r="C2758" s="1">
        <x:f>IFERROR(__xludf.DUMMYFUNCTION("""COMPUTED_VALUE"""),"2006")</x:f>
      </x:c>
    </x:row>
    <x:row r="2759" spans="1:10">
      <x:c r="A2759" s="1" t="s">
        <x:v>2768</x:v>
      </x:c>
      <x:c r="B2759" s="1">
        <x:f>IFERROR(__xludf.DUMMYFUNCTION("""COMPUTED_VALUE"""),"Estimada àvia")</x:f>
      </x:c>
      <x:c r="C2759" s="1">
        <x:f>IFERROR(__xludf.DUMMYFUNCTION("""COMPUTED_VALUE"""),"2020")</x:f>
      </x:c>
    </x:row>
    <x:row r="2760" spans="1:10">
      <x:c r="A2760" s="1" t="s">
        <x:v>2769</x:v>
      </x:c>
      <x:c r="B2760" s="1">
        <x:f>IFERROR(__xludf.DUMMYFUNCTION("""COMPUTED_VALUE"""),"Estimat John")</x:f>
      </x:c>
      <x:c r="C2760" s="1">
        <x:f>IFERROR(__xludf.DUMMYFUNCTION("""COMPUTED_VALUE"""),"2010")</x:f>
      </x:c>
    </x:row>
    <x:row r="2761" spans="1:10">
      <x:c r="A2761" s="1" t="s">
        <x:v>2770</x:v>
      </x:c>
      <x:c r="B2761" s="1">
        <x:f>IFERROR(__xludf.DUMMYFUNCTION("""COMPUTED_VALUE"""),"Estiu 1993")</x:f>
      </x:c>
      <x:c r="C2761" s="1">
        <x:f>IFERROR(__xludf.DUMMYFUNCTION("""COMPUTED_VALUE"""),"2017")</x:f>
      </x:c>
    </x:row>
    <x:row r="2762" spans="1:10">
      <x:c r="A2762" s="1" t="s">
        <x:v>2771</x:v>
      </x:c>
      <x:c r="B2762" s="1">
        <x:f>IFERROR(__xludf.DUMMYFUNCTION("""COMPUTED_VALUE"""),"Estiu del 42")</x:f>
      </x:c>
      <x:c r="C2762" s="1">
        <x:f>IFERROR(__xludf.DUMMYFUNCTION("""COMPUTED_VALUE"""),"1971")</x:f>
      </x:c>
    </x:row>
    <x:row r="2763" spans="1:10">
      <x:c r="A2763" s="1" t="s">
        <x:v>2772</x:v>
      </x:c>
      <x:c r="B2763" s="1">
        <x:f>IFERROR(__xludf.DUMMYFUNCTION("""COMPUTED_VALUE"""),"Estómac")</x:f>
      </x:c>
      <x:c r="C2763" s="1">
        <x:f>IFERROR(__xludf.DUMMYFUNCTION("""COMPUTED_VALUE"""),"2007")</x:f>
      </x:c>
    </x:row>
    <x:row r="2764" spans="1:10">
      <x:c r="A2764" s="1" t="s">
        <x:v>2773</x:v>
      </x:c>
      <x:c r="B2764" s="1">
        <x:f>IFERROR(__xludf.DUMMYFUNCTION("""COMPUTED_VALUE"""),"Estrany riu")</x:f>
      </x:c>
      <x:c r="C2764" s="1">
        <x:f>IFERROR(__xludf.DUMMYFUNCTION("""COMPUTED_VALUE"""),"2025")</x:f>
      </x:c>
    </x:row>
    <x:row r="2765" spans="1:10">
      <x:c r="A2765" s="1" t="s">
        <x:v>2774</x:v>
      </x:c>
      <x:c r="B2765" s="1">
        <x:f>IFERROR(__xludf.DUMMYFUNCTION("""COMPUTED_VALUE"""),"Estrany, però cert")</x:f>
      </x:c>
      <x:c r="C2765" s="1">
        <x:f>IFERROR(__xludf.DUMMYFUNCTION("""COMPUTED_VALUE"""),"2019")</x:f>
      </x:c>
    </x:row>
    <x:row r="2766" spans="1:10">
      <x:c r="A2766" s="1" t="s">
        <x:v>2775</x:v>
      </x:c>
      <x:c r="B2766" s="1">
        <x:f>IFERROR(__xludf.DUMMYFUNCTION("""COMPUTED_VALUE"""),"Estranys en un tren")</x:f>
      </x:c>
      <x:c r="C2766" s="1">
        <x:f>IFERROR(__xludf.DUMMYFUNCTION("""COMPUTED_VALUE"""),"1951")</x:f>
      </x:c>
    </x:row>
    <x:row r="2767" spans="1:10">
      <x:c r="A2767" s="1" t="s">
        <x:v>2776</x:v>
      </x:c>
      <x:c r="B2767" s="1">
        <x:f>IFERROR(__xludf.DUMMYFUNCTION("""COMPUTED_VALUE"""),"Estrictament confidencial")</x:f>
      </x:c>
      <x:c r="C2767" s="1">
        <x:f>IFERROR(__xludf.DUMMYFUNCTION("""COMPUTED_VALUE"""),"1934")</x:f>
      </x:c>
    </x:row>
    <x:row r="2768" spans="1:10">
      <x:c r="A2768" s="1" t="s">
        <x:v>2777</x:v>
      </x:c>
      <x:c r="B2768" s="1">
        <x:f>IFERROR(__xludf.DUMMYFUNCTION("""COMPUTED_VALUE"""),"Et dec una nit de divendres")</x:f>
      </x:c>
      <x:c r="C2768" s="1">
        <x:f>IFERROR(__xludf.DUMMYFUNCTION("""COMPUTED_VALUE"""),"2013")</x:f>
      </x:c>
    </x:row>
    <x:row r="2769" spans="1:10">
      <x:c r="A2769" s="1" t="s">
        <x:v>2778</x:v>
      </x:c>
      <x:c r="B2769" s="1">
        <x:f>IFERROR(__xludf.DUMMYFUNCTION("""COMPUTED_VALUE"""),"Et faran un home")</x:f>
      </x:c>
      <x:c r="C2769" s="1">
        <x:f>IFERROR(__xludf.DUMMYFUNCTION("""COMPUTED_VALUE"""),"2024")</x:f>
      </x:c>
    </x:row>
    <x:row r="2770" spans="1:10">
      <x:c r="A2770" s="1" t="s">
        <x:v>2779</x:v>
      </x:c>
      <x:c r="B2770" s="1">
        <x:f>IFERROR(__xludf.DUMMYFUNCTION("""COMPUTED_VALUE"""),"Et faran un home. Morts silenciades")</x:f>
      </x:c>
      <x:c r="C2770" s="1">
        <x:f>IFERROR(__xludf.DUMMYFUNCTION("""COMPUTED_VALUE"""),"2026")</x:f>
      </x:c>
    </x:row>
    <x:row r="2771" spans="1:10">
      <x:c r="A2771" s="1" t="s">
        <x:v>2780</x:v>
      </x:c>
      <x:c r="B2771" s="1">
        <x:f>IFERROR(__xludf.DUMMYFUNCTION("""COMPUTED_VALUE"""),"Et vigilo")</x:f>
      </x:c>
      <x:c r="C2771" s="1">
        <x:f>IFERROR(__xludf.DUMMYFUNCTION("""COMPUTED_VALUE"""),"2016")</x:f>
      </x:c>
    </x:row>
    <x:row r="2772" spans="1:10">
      <x:c r="A2772" s="1" t="s">
        <x:v>2781</x:v>
      </x:c>
      <x:c r="B2772" s="1">
        <x:f>IFERROR(__xludf.DUMMYFUNCTION("""COMPUTED_VALUE"""),"ETA a la ciutat dels sants. Un atemptat al cor de Catalunya")</x:f>
      </x:c>
      <x:c r="C2772" s="1">
        <x:f>IFERROR(__xludf.DUMMYFUNCTION("""COMPUTED_VALUE"""),"2011")</x:f>
      </x:c>
    </x:row>
    <x:row r="2773" spans="1:10">
      <x:c r="A2773" s="1" t="s">
        <x:v>2782</x:v>
      </x:c>
      <x:c r="B2773" s="1">
        <x:f>IFERROR(__xludf.DUMMYFUNCTION("""COMPUTED_VALUE"""),"Eternal")</x:f>
      </x:c>
      <x:c r="C2773" s="1">
        <x:f>IFERROR(__xludf.DUMMYFUNCTION("""COMPUTED_VALUE"""),"2015")</x:f>
      </x:c>
    </x:row>
    <x:row r="2774" spans="1:10">
      <x:c r="A2774" s="1" t="s">
        <x:v>2783</x:v>
      </x:c>
      <x:c r="B2774" s="1">
        <x:f>IFERROR(__xludf.DUMMYFUNCTION("""COMPUTED_VALUE"""),"Eternament enamorats")</x:f>
      </x:c>
      <x:c r="C2774" s="1">
        <x:f>IFERROR(__xludf.DUMMYFUNCTION("""COMPUTED_VALUE"""),"2019")</x:f>
      </x:c>
    </x:row>
    <x:row r="2775" spans="1:10">
      <x:c r="A2775" s="1" t="s">
        <x:v>2784</x:v>
      </x:c>
      <x:c r="B2775" s="1">
        <x:f>IFERROR(__xludf.DUMMYFUNCTION("""COMPUTED_VALUE"""),"Eternament jove")</x:f>
      </x:c>
      <x:c r="C2775" s="1">
        <x:f>IFERROR(__xludf.DUMMYFUNCTION("""COMPUTED_VALUE"""),"1992")</x:f>
      </x:c>
    </x:row>
    <x:row r="2776" spans="1:10">
      <x:c r="A2776" s="1" t="s">
        <x:v>2785</x:v>
      </x:c>
      <x:c r="B2776" s="1">
        <x:f>IFERROR(__xludf.DUMMYFUNCTION("""COMPUTED_VALUE"""),"Eternitat")</x:f>
      </x:c>
      <x:c r="C2776" s="1">
        <x:f>IFERROR(__xludf.DUMMYFUNCTION("""COMPUTED_VALUE"""),"2016")</x:f>
      </x:c>
    </x:row>
    <x:row r="2777" spans="1:10">
      <x:c r="A2777" s="1" t="s">
        <x:v>2786</x:v>
      </x:c>
      <x:c r="B2777" s="1">
        <x:f>IFERROR(__xludf.DUMMYFUNCTION("""COMPUTED_VALUE"""),"Ets molt guapo")</x:f>
      </x:c>
      <x:c r="C2777" s="1">
        <x:f>IFERROR(__xludf.DUMMYFUNCTION("""COMPUTED_VALUE"""),"2005")</x:f>
      </x:c>
    </x:row>
    <x:row r="2778" spans="1:10">
      <x:c r="A2778" s="1" t="s">
        <x:v>2787</x:v>
      </x:c>
      <x:c r="B2778" s="1">
        <x:f>IFERROR(__xludf.DUMMYFUNCTION("""COMPUTED_VALUE"""),"Eugeni, cinc millor que dos")</x:f>
      </x:c>
      <x:c r="C2778" s="1">
        <x:f>IFERROR(__xludf.DUMMYFUNCTION("""COMPUTED_VALUE"""),"1986")</x:f>
      </x:c>
    </x:row>
    <x:row r="2779" spans="1:10">
      <x:c r="A2779" s="1" t="s">
        <x:v>2788</x:v>
      </x:c>
      <x:c r="B2779" s="1">
        <x:f>IFERROR(__xludf.DUMMYFUNCTION("""COMPUTED_VALUE"""),"Eugenio")</x:f>
      </x:c>
      <x:c r="C2779" s="1">
        <x:f>IFERROR(__xludf.DUMMYFUNCTION("""COMPUTED_VALUE"""),"2018")</x:f>
      </x:c>
    </x:row>
    <x:row r="2780" spans="1:10">
      <x:c r="A2780" s="1" t="s">
        <x:v>2789</x:v>
      </x:c>
      <x:c r="B2780" s="1">
        <x:f>IFERROR(__xludf.DUMMYFUNCTION("""COMPUTED_VALUE"""),"Eva")</x:f>
      </x:c>
      <x:c r="C2780" s="1">
        <x:f>IFERROR(__xludf.DUMMYFUNCTION("""COMPUTED_VALUE"""),"2011")</x:f>
      </x:c>
    </x:row>
    <x:row r="2781" spans="1:10">
      <x:c r="A2781" s="1" t="s">
        <x:v>2790</x:v>
      </x:c>
      <x:c r="B2781" s="1">
        <x:f>IFERROR(__xludf.DUMMYFUNCTION("""COMPUTED_VALUE"""),"Evangelion 1.0")</x:f>
      </x:c>
      <x:c r="C2781" s="1">
        <x:f>IFERROR(__xludf.DUMMYFUNCTION("""COMPUTED_VALUE"""),"2007")</x:f>
      </x:c>
    </x:row>
    <x:row r="2782" spans="1:10">
      <x:c r="A2782" s="1" t="s">
        <x:v>2791</x:v>
      </x:c>
      <x:c r="B2782" s="1">
        <x:f>IFERROR(__xludf.DUMMYFUNCTION("""COMPUTED_VALUE"""),"Evangelion 2.0")</x:f>
      </x:c>
      <x:c r="C2782" s="1">
        <x:f>IFERROR(__xludf.DUMMYFUNCTION("""COMPUTED_VALUE"""),"2009")</x:f>
      </x:c>
    </x:row>
    <x:row r="2783" spans="1:10">
      <x:c r="A2783" s="1" t="s">
        <x:v>2792</x:v>
      </x:c>
      <x:c r="B2783" s="1">
        <x:f>IFERROR(__xludf.DUMMYFUNCTION("""COMPUTED_VALUE"""),"Evangelion: 3.0 You Can (Not) Redo")</x:f>
      </x:c>
      <x:c r="C2783" s="1">
        <x:f>IFERROR(__xludf.DUMMYFUNCTION("""COMPUTED_VALUE"""),"2012")</x:f>
      </x:c>
    </x:row>
    <x:row r="2784" spans="1:10">
      <x:c r="A2784" s="1" t="s">
        <x:v>2793</x:v>
      </x:c>
      <x:c r="B2784" s="1">
        <x:f>IFERROR(__xludf.DUMMYFUNCTION("""COMPUTED_VALUE"""),"Evasio d'Absolom")</x:f>
      </x:c>
      <x:c r="C2784" s="1">
        <x:f>IFERROR(__xludf.DUMMYFUNCTION("""COMPUTED_VALUE"""),"1994")</x:f>
      </x:c>
    </x:row>
    <x:row r="2785" spans="1:10">
      <x:c r="A2785" s="1" t="s">
        <x:v>2794</x:v>
      </x:c>
      <x:c r="B2785" s="1">
        <x:f>IFERROR(__xludf.DUMMYFUNCTION("""COMPUTED_VALUE"""),"Evelyn")</x:f>
      </x:c>
      <x:c r="C2785" s="1">
        <x:f>IFERROR(__xludf.DUMMYFUNCTION("""COMPUTED_VALUE"""),"2002")</x:f>
      </x:c>
    </x:row>
    <x:row r="2786" spans="1:10">
      <x:c r="A2786" s="1" t="s">
        <x:v>2795</x:v>
      </x:c>
      <x:c r="B2786" s="1">
        <x:f>IFERROR(__xludf.DUMMYFUNCTION("""COMPUTED_VALUE"""),"Everest")</x:f>
      </x:c>
      <x:c r="C2786" s="1">
        <x:f>IFERROR(__xludf.DUMMYFUNCTION("""COMPUTED_VALUE"""),"2015")</x:f>
      </x:c>
    </x:row>
    <x:row r="2787" spans="1:10">
      <x:c r="A2787" s="1" t="s">
        <x:v>2796</x:v>
      </x:c>
      <x:c r="B2787" s="1">
        <x:f>IFERROR(__xludf.DUMMYFUNCTION("""COMPUTED_VALUE"""),"Everest Green")</x:f>
      </x:c>
      <x:c r="C2787" s="1">
        <x:f>IFERROR(__xludf.DUMMYFUNCTION("""COMPUTED_VALUE"""),"2018")</x:f>
      </x:c>
    </x:row>
    <x:row r="2788" spans="1:10">
      <x:c r="A2788" s="1" t="s">
        <x:v>2797</x:v>
      </x:c>
      <x:c r="B2788" s="1">
        <x:f>IFERROR(__xludf.DUMMYFUNCTION("""COMPUTED_VALUE"""),"Evil")</x:f>
      </x:c>
      <x:c r="C2788" s="1">
        <x:f>IFERROR(__xludf.DUMMYFUNCTION("""COMPUTED_VALUE"""),"2003")</x:f>
      </x:c>
    </x:row>
    <x:row r="2789" spans="1:10">
      <x:c r="A2789" s="1" t="s">
        <x:v>2798</x:v>
      </x:c>
      <x:c r="B2789" s="1">
        <x:f>IFERROR(__xludf.DUMMYFUNCTION("""COMPUTED_VALUE"""),"Evolució")</x:f>
      </x:c>
      <x:c r="C2789" s="1">
        <x:f>IFERROR(__xludf.DUMMYFUNCTION("""COMPUTED_VALUE"""),"2001")</x:f>
      </x:c>
    </x:row>
    <x:row r="2790" spans="1:10">
      <x:c r="A2790" s="1" t="s">
        <x:v>2799</x:v>
      </x:c>
      <x:c r="B2790" s="1">
        <x:f>IFERROR(__xludf.DUMMYFUNCTION("""COMPUTED_VALUE"""),"Ex")</x:f>
      </x:c>
      <x:c r="C2790" s="1">
        <x:f>IFERROR(__xludf.DUMMYFUNCTION("""COMPUTED_VALUE"""),"2009")</x:f>
      </x:c>
    </x:row>
    <x:row r="2791" spans="1:10">
      <x:c r="A2791" s="1" t="s">
        <x:v>2800</x:v>
      </x:c>
      <x:c r="B2791" s="1">
        <x:f>IFERROR(__xludf.DUMMYFUNCTION("""COMPUTED_VALUE"""),"Excalibur")</x:f>
      </x:c>
      <x:c r="C2791" s="1">
        <x:f>IFERROR(__xludf.DUMMYFUNCTION("""COMPUTED_VALUE"""),"1981")</x:f>
      </x:c>
    </x:row>
    <x:row r="2792" spans="1:10">
      <x:c r="A2792" s="1" t="s">
        <x:v>2801</x:v>
      </x:c>
      <x:c r="B2792" s="1">
        <x:f>IFERROR(__xludf.DUMMYFUNCTION("""COMPUTED_VALUE"""),"Excuses!")</x:f>
      </x:c>
      <x:c r="C2792" s="1">
        <x:f>IFERROR(__xludf.DUMMYFUNCTION("""COMPUTED_VALUE"""),"2003")</x:f>
      </x:c>
    </x:row>
    <x:row r="2793" spans="1:10">
      <x:c r="A2793" s="1" t="s">
        <x:v>2802</x:v>
      </x:c>
      <x:c r="B2793" s="1">
        <x:f>IFERROR(__xludf.DUMMYFUNCTION("""COMPUTED_VALUE"""),"Execució imminent")</x:f>
      </x:c>
      <x:c r="C2793" s="1">
        <x:f>IFERROR(__xludf.DUMMYFUNCTION("""COMPUTED_VALUE"""),"1999")</x:f>
      </x:c>
    </x:row>
    <x:row r="2794" spans="1:10">
      <x:c r="A2794" s="1" t="s">
        <x:v>2803</x:v>
      </x:c>
      <x:c r="B2794" s="1">
        <x:f>IFERROR(__xludf.DUMMYFUNCTION("""COMPUTED_VALUE"""),"Executiu, executor")</x:f>
      </x:c>
      <x:c r="C2794" s="1">
        <x:f>IFERROR(__xludf.DUMMYFUNCTION("""COMPUTED_VALUE"""),"1990")</x:f>
      </x:c>
    </x:row>
    <x:row r="2795" spans="1:10">
      <x:c r="A2795" s="1" t="s">
        <x:v>2804</x:v>
      </x:c>
      <x:c r="B2795" s="1">
        <x:f>IFERROR(__xludf.DUMMYFUNCTION("""COMPUTED_VALUE"""),"Executiva amb problemes")</x:f>
      </x:c>
      <x:c r="C2795" s="1">
        <x:f>IFERROR(__xludf.DUMMYFUNCTION("""COMPUTED_VALUE"""),"2009")</x:f>
      </x:c>
    </x:row>
    <x:row r="2796" spans="1:10">
      <x:c r="A2796" s="1" t="s">
        <x:v>2805</x:v>
      </x:c>
      <x:c r="B2796" s="1">
        <x:f>IFERROR(__xludf.DUMMYFUNCTION("""COMPUTED_VALUE"""),"Exit")</x:f>
      </x:c>
      <x:c r="C2796" s="1">
        <x:f>IFERROR(__xludf.DUMMYFUNCTION("""COMPUTED_VALUE"""),"1984")</x:f>
      </x:c>
    </x:row>
    <x:row r="2797" spans="1:10">
      <x:c r="A2797" s="1" t="s">
        <x:v>2806</x:v>
      </x:c>
      <x:c r="B2797" s="1">
        <x:f>IFERROR(__xludf.DUMMYFUNCTION("""COMPUTED_VALUE"""),"Èxit a qualsevol preu")</x:f>
      </x:c>
      <x:c r="C2797" s="1">
        <x:f>IFERROR(__xludf.DUMMYFUNCTION("""COMPUTED_VALUE"""),"1992")</x:f>
      </x:c>
    </x:row>
    <x:row r="2798" spans="1:10">
      <x:c r="A2798" s="1" t="s">
        <x:v>2807</x:v>
      </x:c>
      <x:c r="B2798" s="1">
        <x:f>IFERROR(__xludf.DUMMYFUNCTION("""COMPUTED_VALUE"""),"Èxode")</x:f>
      </x:c>
      <x:c r="C2798" s="1">
        <x:f>IFERROR(__xludf.DUMMYFUNCTION("""COMPUTED_VALUE"""),"1960")</x:f>
      </x:c>
    </x:row>
    <x:row r="2799" spans="1:10">
      <x:c r="A2799" s="1" t="s">
        <x:v>2808</x:v>
      </x:c>
      <x:c r="B2799" s="1">
        <x:f>IFERROR(__xludf.DUMMYFUNCTION("""COMPUTED_VALUE"""),"Èxode")</x:f>
      </x:c>
      <x:c r="C2799" s="1">
        <x:f>IFERROR(__xludf.DUMMYFUNCTION("""COMPUTED_VALUE"""),"2019")</x:f>
      </x:c>
    </x:row>
    <x:row r="2800" spans="1:10">
      <x:c r="A2800" s="1" t="s">
        <x:v>2809</x:v>
      </x:c>
      <x:c r="B2800" s="1">
        <x:f>IFERROR(__xludf.DUMMYFUNCTION("""COMPUTED_VALUE"""),"Exorcisme a Connecticut")</x:f>
      </x:c>
      <x:c r="C2800" s="1">
        <x:f>IFERROR(__xludf.DUMMYFUNCTION("""COMPUTED_VALUE"""),"2009")</x:f>
      </x:c>
    </x:row>
    <x:row r="2801" spans="1:10">
      <x:c r="A2801" s="1" t="s">
        <x:v>2810</x:v>
      </x:c>
      <x:c r="B2801" s="1">
        <x:f>IFERROR(__xludf.DUMMYFUNCTION("""COMPUTED_VALUE"""),"Exorcisme a Georgia")</x:f>
      </x:c>
      <x:c r="C2801" s="1">
        <x:f>IFERROR(__xludf.DUMMYFUNCTION("""COMPUTED_VALUE"""),"2013")</x:f>
      </x:c>
    </x:row>
    <x:row r="2802" spans="1:10">
      <x:c r="A2802" s="1" t="s">
        <x:v>2811</x:v>
      </x:c>
      <x:c r="B2802" s="1">
        <x:f>IFERROR(__xludf.DUMMYFUNCTION("""COMPUTED_VALUE"""),"Expansives")</x:f>
      </x:c>
      <x:c r="C2802" s="1">
        <x:f>IFERROR(__xludf.DUMMYFUNCTION("""COMPUTED_VALUE"""),"2021")</x:f>
      </x:c>
    </x:row>
    <x:row r="2803" spans="1:10">
      <x:c r="A2803" s="1" t="s">
        <x:v>2812</x:v>
      </x:c>
      <x:c r="B2803" s="1">
        <x:f>IFERROR(__xludf.DUMMYFUNCTION("""COMPUTED_VALUE"""),"Expats")</x:f>
      </x:c>
      <x:c r="C2803" s="1">
        <x:f>IFERROR(__xludf.DUMMYFUNCTION("""COMPUTED_VALUE"""),"2025")</x:f>
      </x:c>
    </x:row>
    <x:row r="2804" spans="1:10">
      <x:c r="A2804" s="1" t="s">
        <x:v>2813</x:v>
      </x:c>
      <x:c r="B2804" s="1">
        <x:f>IFERROR(__xludf.DUMMYFUNCTION("""COMPUTED_VALUE"""),"Experta en crisis")</x:f>
      </x:c>
      <x:c r="C2804" s="1">
        <x:f>IFERROR(__xludf.DUMMYFUNCTION("""COMPUTED_VALUE"""),"2015")</x:f>
      </x:c>
    </x:row>
    <x:row r="2805" spans="1:10">
      <x:c r="A2805" s="1" t="s">
        <x:v>2814</x:v>
      </x:c>
      <x:c r="B2805" s="1">
        <x:f>IFERROR(__xludf.DUMMYFUNCTION("""COMPUTED_VALUE"""),"Expiació")</x:f>
      </x:c>
      <x:c r="C2805" s="1">
        <x:f>IFERROR(__xludf.DUMMYFUNCTION("""COMPUTED_VALUE"""),"2007")</x:f>
      </x:c>
    </x:row>
    <x:row r="2806" spans="1:10">
      <x:c r="A2806" s="1" t="s">
        <x:v>2815</x:v>
      </x:c>
      <x:c r="B2806" s="1">
        <x:f>IFERROR(__xludf.DUMMYFUNCTION("""COMPUTED_VALUE"""),"Exploradors")</x:f>
      </x:c>
      <x:c r="C2806" s="1">
        <x:f>IFERROR(__xludf.DUMMYFUNCTION("""COMPUTED_VALUE"""),"1985")</x:f>
      </x:c>
    </x:row>
    <x:row r="2807" spans="1:10">
      <x:c r="A2807" s="1" t="s">
        <x:v>2816</x:v>
      </x:c>
      <x:c r="B2807" s="1">
        <x:f>IFERROR(__xludf.DUMMYFUNCTION("""COMPUTED_VALUE"""),"Eyes wide shut [VOSC]")</x:f>
      </x:c>
      <x:c r="C2807" s="1">
        <x:f>IFERROR(__xludf.DUMMYFUNCTION("""COMPUTED_VALUE"""),"1999")</x:f>
      </x:c>
    </x:row>
    <x:row r="2808" spans="1:10">
      <x:c r="A2808" s="1" t="s">
        <x:v>2817</x:v>
      </x:c>
      <x:c r="B2808" s="1">
        <x:f>IFERROR(__xludf.DUMMYFUNCTION("""COMPUTED_VALUE"""),"F de Flint")</x:f>
      </x:c>
      <x:c r="C2808" s="1">
        <x:f>IFERROR(__xludf.DUMMYFUNCTION("""COMPUTED_VALUE"""),"1967")</x:f>
      </x:c>
    </x:row>
    <x:row r="2809" spans="1:10">
      <x:c r="A2809" s="1" t="s">
        <x:v>2818</x:v>
      </x:c>
      <x:c r="B2809" s="1">
        <x:f>IFERROR(__xludf.DUMMYFUNCTION("""COMPUTED_VALUE"""),"F.I.S.T")</x:f>
      </x:c>
      <x:c r="C2809" s="1">
        <x:f>IFERROR(__xludf.DUMMYFUNCTION("""COMPUTED_VALUE"""),"1978")</x:f>
      </x:c>
    </x:row>
    <x:row r="2810" spans="1:10">
      <x:c r="A2810" s="1" t="s">
        <x:v>2819</x:v>
      </x:c>
      <x:c r="B2810" s="1">
        <x:f>IFERROR(__xludf.DUMMYFUNCTION("""COMPUTED_VALUE"""),"Fabricant l'home perfecte")</x:f>
      </x:c>
      <x:c r="C2810" s="1">
        <x:f>IFERROR(__xludf.DUMMYFUNCTION("""COMPUTED_VALUE"""),"1987")</x:f>
      </x:c>
    </x:row>
    <x:row r="2811" spans="1:10">
      <x:c r="A2811" s="1" t="s">
        <x:v>2820</x:v>
      </x:c>
      <x:c r="B2811" s="1">
        <x:f>IFERROR(__xludf.DUMMYFUNCTION("""COMPUTED_VALUE"""),"Fahrenheit 451 [VOSC]")</x:f>
      </x:c>
      <x:c r="C2811" s="1">
        <x:f>IFERROR(__xludf.DUMMYFUNCTION("""COMPUTED_VALUE"""),"1966")</x:f>
      </x:c>
    </x:row>
    <x:row r="2812" spans="1:10">
      <x:c r="A2812" s="1" t="s">
        <x:v>2821</x:v>
      </x:c>
      <x:c r="B2812" s="1">
        <x:f>IFERROR(__xludf.DUMMYFUNCTION("""COMPUTED_VALUE"""),"Fake Orgasm [VOSC]")</x:f>
      </x:c>
      <x:c r="C2812" s="1">
        <x:f>IFERROR(__xludf.DUMMYFUNCTION("""COMPUTED_VALUE"""),"2010")</x:f>
      </x:c>
    </x:row>
    <x:row r="2813" spans="1:10">
      <x:c r="A2813" s="1" t="s">
        <x:v>2822</x:v>
      </x:c>
      <x:c r="B2813" s="1">
        <x:f>IFERROR(__xludf.DUMMYFUNCTION("""COMPUTED_VALUE"""),"Falcon Lake")</x:f>
      </x:c>
      <x:c r="C2813" s="1">
        <x:f>IFERROR(__xludf.DUMMYFUNCTION("""COMPUTED_VALUE"""),"2022")</x:f>
      </x:c>
    </x:row>
    <x:row r="2814" spans="1:10">
      <x:c r="A2814" s="1" t="s">
        <x:v>2823</x:v>
      </x:c>
      <x:c r="B2814" s="1">
        <x:f>IFERROR(__xludf.DUMMYFUNCTION("""COMPUTED_VALUE"""),"Faldilles d'acer")</x:f>
      </x:c>
      <x:c r="C2814" s="1">
        <x:f>IFERROR(__xludf.DUMMYFUNCTION("""COMPUTED_VALUE"""),"1956")</x:f>
      </x:c>
    </x:row>
    <x:row r="2815" spans="1:10">
      <x:c r="A2815" s="1" t="s">
        <x:v>2824</x:v>
      </x:c>
      <x:c r="B2815" s="1">
        <x:f>IFERROR(__xludf.DUMMYFUNCTION("""COMPUTED_VALUE"""),"Fallen")</x:f>
      </x:c>
      <x:c r="C2815" s="1">
        <x:f>IFERROR(__xludf.DUMMYFUNCTION("""COMPUTED_VALUE"""),"1998")</x:f>
      </x:c>
    </x:row>
    <x:row r="2816" spans="1:10">
      <x:c r="A2816" s="1" t="s">
        <x:v>2825</x:v>
      </x:c>
      <x:c r="B2816" s="1">
        <x:f>IFERROR(__xludf.DUMMYFUNCTION("""COMPUTED_VALUE"""),"Falling")</x:f>
      </x:c>
      <x:c r="C2816" s="1">
        <x:f>IFERROR(__xludf.DUMMYFUNCTION("""COMPUTED_VALUE"""),"2020")</x:f>
      </x:c>
    </x:row>
    <x:row r="2817" spans="1:10">
      <x:c r="A2817" s="1" t="s">
        <x:v>2826</x:v>
      </x:c>
      <x:c r="B2817" s="1">
        <x:f>IFERROR(__xludf.DUMMYFUNCTION("""COMPUTED_VALUE"""),"Fals culpable")</x:f>
      </x:c>
      <x:c r="C2817" s="1">
        <x:f>IFERROR(__xludf.DUMMYFUNCTION("""COMPUTED_VALUE"""),"2011")</x:f>
      </x:c>
    </x:row>
    <x:row r="2818" spans="1:10">
      <x:c r="A2818" s="1" t="s">
        <x:v>2827</x:v>
      </x:c>
      <x:c r="B2818" s="1">
        <x:f>IFERROR(__xludf.DUMMYFUNCTION("""COMPUTED_VALUE"""),"Falsa culpable")</x:f>
      </x:c>
      <x:c r="C2818" s="1">
        <x:f>IFERROR(__xludf.DUMMYFUNCTION("""COMPUTED_VALUE"""),"2003")</x:f>
      </x:c>
    </x:row>
    <x:row r="2819" spans="1:10">
      <x:c r="A2819" s="1" t="s">
        <x:v>2828</x:v>
      </x:c>
      <x:c r="B2819" s="1">
        <x:f>IFERROR(__xludf.DUMMYFUNCTION("""COMPUTED_VALUE"""),"Falsa identitat")</x:f>
      </x:c>
      <x:c r="C2819" s="1">
        <x:f>IFERROR(__xludf.DUMMYFUNCTION("""COMPUTED_VALUE"""),"2001")</x:f>
      </x:c>
    </x:row>
    <x:row r="2820" spans="1:10">
      <x:c r="A2820" s="1" t="s">
        <x:v>2829</x:v>
      </x:c>
      <x:c r="B2820" s="1">
        <x:f>IFERROR(__xludf.DUMMYFUNCTION("""COMPUTED_VALUE"""),"Faltes lleus")</x:f>
      </x:c>
      <x:c r="C2820" s="1">
        <x:f>IFERROR(__xludf.DUMMYFUNCTION("""COMPUTED_VALUE"""),"2006")</x:f>
      </x:c>
    </x:row>
    <x:row r="2821" spans="1:10">
      <x:c r="A2821" s="1" t="s">
        <x:v>2830</x:v>
      </x:c>
      <x:c r="B2821" s="1">
        <x:f>IFERROR(__xludf.DUMMYFUNCTION("""COMPUTED_VALUE"""),"Fama")</x:f>
      </x:c>
      <x:c r="C2821" s="1">
        <x:f>IFERROR(__xludf.DUMMYFUNCTION("""COMPUTED_VALUE"""),"2009")</x:f>
      </x:c>
    </x:row>
    <x:row r="2822" spans="1:10">
      <x:c r="A2822" s="1" t="s">
        <x:v>2831</x:v>
      </x:c>
      <x:c r="B2822" s="1">
        <x:f>IFERROR(__xludf.DUMMYFUNCTION("""COMPUTED_VALUE"""),"Fama fatal")</x:f>
      </x:c>
      <x:c r="C2822" s="1">
        <x:f>IFERROR(__xludf.DUMMYFUNCTION("""COMPUTED_VALUE"""),"2018")</x:f>
      </x:c>
    </x:row>
    <x:row r="2823" spans="1:10">
      <x:c r="A2823" s="1" t="s">
        <x:v>2832</x:v>
      </x:c>
      <x:c r="B2823" s="1">
        <x:f>IFERROR(__xludf.DUMMYFUNCTION("""COMPUTED_VALUE"""),"Família a l'instant")</x:f>
      </x:c>
      <x:c r="C2823" s="1">
        <x:f>IFERROR(__xludf.DUMMYFUNCTION("""COMPUTED_VALUE"""),"2018")</x:f>
      </x:c>
    </x:row>
    <x:row r="2824" spans="1:10">
      <x:c r="A2824" s="1" t="s">
        <x:v>2833</x:v>
      </x:c>
      <x:c r="B2824" s="1">
        <x:f>IFERROR(__xludf.DUMMYFUNCTION("""COMPUTED_VALUE"""),"Family Man")</x:f>
      </x:c>
      <x:c r="C2824" s="1">
        <x:f>IFERROR(__xludf.DUMMYFUNCTION("""COMPUTED_VALUE"""),"2000")</x:f>
      </x:c>
    </x:row>
    <x:row r="2825" spans="1:10">
      <x:c r="A2825" s="1" t="s">
        <x:v>2834</x:v>
      </x:c>
      <x:c r="B2825" s="1">
        <x:f>IFERROR(__xludf.DUMMYFUNCTION("""COMPUTED_VALUE"""),"Family Plot-La trama")</x:f>
      </x:c>
      <x:c r="C2825" s="1">
        <x:f>IFERROR(__xludf.DUMMYFUNCTION("""COMPUTED_VALUE"""),"1976")</x:f>
      </x:c>
    </x:row>
    <x:row r="2826" spans="1:10">
      <x:c r="A2826" s="1" t="s">
        <x:v>2835</x:v>
      </x:c>
      <x:c r="B2826" s="1">
        <x:f>IFERROR(__xludf.DUMMYFUNCTION("""COMPUTED_VALUE"""),"Fanàtic")</x:f>
      </x:c>
      <x:c r="C2826" s="1">
        <x:f>IFERROR(__xludf.DUMMYFUNCTION("""COMPUTED_VALUE"""),"2019")</x:f>
      </x:c>
    </x:row>
    <x:row r="2827" spans="1:10">
      <x:c r="A2827" s="1" t="s">
        <x:v>2836</x:v>
      </x:c>
      <x:c r="B2827" s="1">
        <x:f>IFERROR(__xludf.DUMMYFUNCTION("""COMPUTED_VALUE"""),"Fanfan la Tulipe")</x:f>
      </x:c>
      <x:c r="C2827" s="1">
        <x:f>IFERROR(__xludf.DUMMYFUNCTION("""COMPUTED_VALUE"""),"2003")</x:f>
      </x:c>
    </x:row>
    <x:row r="2828" spans="1:10">
      <x:c r="A2828" s="1" t="s">
        <x:v>2837</x:v>
      </x:c>
      <x:c r="B2828" s="1">
        <x:f>IFERROR(__xludf.DUMMYFUNCTION("""COMPUTED_VALUE"""),"Fanny")</x:f>
      </x:c>
      <x:c r="C2828" s="1">
        <x:f>IFERROR(__xludf.DUMMYFUNCTION("""COMPUTED_VALUE"""),"1961")</x:f>
      </x:c>
    </x:row>
    <x:row r="2829" spans="1:10">
      <x:c r="A2829" s="1" t="s">
        <x:v>2838</x:v>
      </x:c>
      <x:c r="B2829" s="1">
        <x:f>IFERROR(__xludf.DUMMYFUNCTION("""COMPUTED_VALUE"""),"Fanny i Alexander [VOSC]")</x:f>
      </x:c>
      <x:c r="C2829" s="1">
        <x:f>IFERROR(__xludf.DUMMYFUNCTION("""COMPUTED_VALUE"""),"1982")</x:f>
      </x:c>
    </x:row>
    <x:row r="2830" spans="1:10">
      <x:c r="A2830" s="1" t="s">
        <x:v>2839</x:v>
      </x:c>
      <x:c r="B2830" s="1">
        <x:f>IFERROR(__xludf.DUMMYFUNCTION("""COMPUTED_VALUE"""),"Fantasies d'un escriptor")</x:f>
      </x:c>
      <x:c r="C2830" s="1">
        <x:f>IFERROR(__xludf.DUMMYFUNCTION("""COMPUTED_VALUE"""),"2021")</x:f>
      </x:c>
    </x:row>
    <x:row r="2831" spans="1:10">
      <x:c r="A2831" s="1" t="s">
        <x:v>2840</x:v>
      </x:c>
      <x:c r="B2831" s="1">
        <x:f>IFERROR(__xludf.DUMMYFUNCTION("""COMPUTED_VALUE"""),"Fantasmes de Mart")</x:f>
      </x:c>
      <x:c r="C2831" s="1">
        <x:f>IFERROR(__xludf.DUMMYFUNCTION("""COMPUTED_VALUE"""),"2001")</x:f>
      </x:c>
    </x:row>
    <x:row r="2832" spans="1:10">
      <x:c r="A2832" s="1" t="s">
        <x:v>2841</x:v>
      </x:c>
      <x:c r="B2832" s="1">
        <x:f>IFERROR(__xludf.DUMMYFUNCTION("""COMPUTED_VALUE"""),"Fantasmes del passat")</x:f>
      </x:c>
      <x:c r="C2832" s="1">
        <x:f>IFERROR(__xludf.DUMMYFUNCTION("""COMPUTED_VALUE"""),"1996")</x:f>
      </x:c>
    </x:row>
    <x:row r="2833" spans="1:10">
      <x:c r="A2833" s="1" t="s">
        <x:v>2842</x:v>
      </x:c>
      <x:c r="B2833" s="1">
        <x:f>IFERROR(__xludf.DUMMYFUNCTION("""COMPUTED_VALUE"""),"Fantomas contra Scotland Yard")</x:f>
      </x:c>
      <x:c r="C2833" s="1">
        <x:f>IFERROR(__xludf.DUMMYFUNCTION("""COMPUTED_VALUE"""),"1967")</x:f>
      </x:c>
    </x:row>
    <x:row r="2834" spans="1:10">
      <x:c r="A2834" s="1" t="s">
        <x:v>2843</x:v>
      </x:c>
      <x:c r="B2834" s="1">
        <x:f>IFERROR(__xludf.DUMMYFUNCTION("""COMPUTED_VALUE"""),"Fargo")</x:f>
      </x:c>
      <x:c r="C2834" s="1">
        <x:f>IFERROR(__xludf.DUMMYFUNCTION("""COMPUTED_VALUE"""),"1996")</x:f>
      </x:c>
    </x:row>
    <x:row r="2835" spans="1:10">
      <x:c r="A2835" s="1" t="s">
        <x:v>2844</x:v>
      </x:c>
      <x:c r="B2835" s="1">
        <x:f>IFERROR(__xludf.DUMMYFUNCTION("""COMPUTED_VALUE"""),"Farming")</x:f>
      </x:c>
      <x:c r="C2835" s="1">
        <x:f>IFERROR(__xludf.DUMMYFUNCTION("""COMPUTED_VALUE"""),"2018")</x:f>
      </x:c>
    </x:row>
    <x:row r="2836" spans="1:10">
      <x:c r="A2836" s="1" t="s">
        <x:v>2845</x:v>
      </x:c>
      <x:c r="B2836" s="1">
        <x:f>IFERROR(__xludf.DUMMYFUNCTION("""COMPUTED_VALUE"""),"Fassman, l'increïble home radar")</x:f>
      </x:c>
      <x:c r="C2836" s="1">
        <x:f>IFERROR(__xludf.DUMMYFUNCTION("""COMPUTED_VALUE"""),"2015")</x:f>
      </x:c>
    </x:row>
    <x:row r="2837" spans="1:10">
      <x:c r="A2837" s="1" t="s">
        <x:v>2846</x:v>
      </x:c>
      <x:c r="B2837" s="1">
        <x:f>IFERROR(__xludf.DUMMYFUNCTION("""COMPUTED_VALUE"""),"Fast and Furious 4: encara més ràpid")</x:f>
      </x:c>
      <x:c r="C2837" s="1">
        <x:f>IFERROR(__xludf.DUMMYFUNCTION("""COMPUTED_VALUE"""),"2009")</x:f>
      </x:c>
    </x:row>
    <x:row r="2838" spans="1:10">
      <x:c r="A2838" s="1" t="s">
        <x:v>2847</x:v>
      </x:c>
      <x:c r="B2838" s="1">
        <x:f>IFERROR(__xludf.DUMMYFUNCTION("""COMPUTED_VALUE"""),"Fast Food Nation")</x:f>
      </x:c>
      <x:c r="C2838" s="1">
        <x:f>IFERROR(__xludf.DUMMYFUNCTION("""COMPUTED_VALUE"""),"2006")</x:f>
      </x:c>
    </x:row>
    <x:row r="2839" spans="1:10">
      <x:c r="A2839" s="1" t="s">
        <x:v>2848</x:v>
      </x:c>
      <x:c r="B2839" s="1">
        <x:f>IFERROR(__xludf.DUMMYFUNCTION("""COMPUTED_VALUE"""),"Fata Morgana")</x:f>
      </x:c>
      <x:c r="C2839" s="1">
        <x:f>IFERROR(__xludf.DUMMYFUNCTION("""COMPUTED_VALUE"""),"1971")</x:f>
      </x:c>
    </x:row>
    <x:row r="2840" spans="1:10">
      <x:c r="A2840" s="1" t="s">
        <x:v>2849</x:v>
      </x:c>
      <x:c r="B2840" s="1">
        <x:f>IFERROR(__xludf.DUMMYFUNCTION("""COMPUTED_VALUE"""),"Fàtima")</x:f>
      </x:c>
      <x:c r="C2840" s="1">
        <x:f>IFERROR(__xludf.DUMMYFUNCTION("""COMPUTED_VALUE"""),"2020")</x:f>
      </x:c>
    </x:row>
    <x:row r="2841" spans="1:10">
      <x:c r="A2841" s="1" t="s">
        <x:v>2850</x:v>
      </x:c>
      <x:c r="B2841" s="1">
        <x:f>IFERROR(__xludf.DUMMYFUNCTION("""COMPUTED_VALUE"""),"Faust 5.0")</x:f>
      </x:c>
      <x:c r="C2841" s="1">
        <x:f>IFERROR(__xludf.DUMMYFUNCTION("""COMPUTED_VALUE"""),"2001")</x:f>
      </x:c>
    </x:row>
    <x:row r="2842" spans="1:10">
      <x:c r="A2842" s="1" t="s">
        <x:v>2851</x:v>
      </x:c>
      <x:c r="B2842" s="1">
        <x:f>IFERROR(__xludf.DUMMYFUNCTION("""COMPUTED_VALUE"""),"Faust: l'amor dels condemnats")</x:f>
      </x:c>
      <x:c r="C2842" s="1">
        <x:f>IFERROR(__xludf.DUMMYFUNCTION("""COMPUTED_VALUE"""),"2000")</x:f>
      </x:c>
    </x:row>
    <x:row r="2843" spans="1:10">
      <x:c r="A2843" s="1" t="s">
        <x:v>2852</x:v>
      </x:c>
      <x:c r="B2843" s="1">
        <x:f>IFERROR(__xludf.DUMMYFUNCTION("""COMPUTED_VALUE"""),"Fe a la xarxa")</x:f>
      </x:c>
      <x:c r="C2843" s="1">
        <x:f>IFERROR(__xludf.DUMMYFUNCTION("""COMPUTED_VALUE"""),"2026")</x:f>
      </x:c>
    </x:row>
    <x:row r="2844" spans="1:10">
      <x:c r="A2844" s="1" t="s">
        <x:v>2853</x:v>
      </x:c>
      <x:c r="B2844" s="1">
        <x:f>IFERROR(__xludf.DUMMYFUNCTION("""COMPUTED_VALUE"""),"Febre de venjança")</x:f>
      </x:c>
      <x:c r="C2844" s="1">
        <x:f>IFERROR(__xludf.DUMMYFUNCTION("""COMPUTED_VALUE"""),"1953")</x:f>
      </x:c>
    </x:row>
    <x:row r="2845" spans="1:10">
      <x:c r="A2845" s="1" t="s">
        <x:v>2854</x:v>
      </x:c>
      <x:c r="B2845" s="1">
        <x:f>IFERROR(__xludf.DUMMYFUNCTION("""COMPUTED_VALUE"""),"Febrer")</x:f>
      </x:c>
      <x:c r="C2845" s="1">
        <x:f>IFERROR(__xludf.DUMMYFUNCTION("""COMPUTED_VALUE"""),"2004")</x:f>
      </x:c>
    </x:row>
    <x:row r="2846" spans="1:10">
      <x:c r="A2846" s="1" t="s">
        <x:v>2855</x:v>
      </x:c>
      <x:c r="B2846" s="1">
        <x:f>IFERROR(__xludf.DUMMYFUNCTION("""COMPUTED_VALUE"""),"Feliços 50!")</x:f>
      </x:c>
      <x:c r="C2846" s="1">
        <x:f>IFERROR(__xludf.DUMMYFUNCTION("""COMPUTED_VALUE"""),"2022")</x:f>
      </x:c>
    </x:row>
    <x:row r="2847" spans="1:10">
      <x:c r="A2847" s="1" t="s">
        <x:v>2856</x:v>
      </x:c>
      <x:c r="B2847" s="1">
        <x:f>IFERROR(__xludf.DUMMYFUNCTION("""COMPUTED_VALUE"""),"Felix Kersten, el metge del diable")</x:f>
      </x:c>
      <x:c r="C2847" s="1">
        <x:f>IFERROR(__xludf.DUMMYFUNCTION("""COMPUTED_VALUE"""),"2007")</x:f>
      </x:c>
    </x:row>
    <x:row r="2848" spans="1:10">
      <x:c r="A2848" s="1" t="s">
        <x:v>2857</x:v>
      </x:c>
      <x:c r="B2848" s="1">
        <x:f>IFERROR(__xludf.DUMMYFUNCTION("""COMPUTED_VALUE"""),"Fellini 8½")</x:f>
      </x:c>
      <x:c r="C2848" s="1">
        <x:f>IFERROR(__xludf.DUMMYFUNCTION("""COMPUTED_VALUE"""),"1963")</x:f>
      </x:c>
    </x:row>
    <x:row r="2849" spans="1:10">
      <x:c r="A2849" s="1" t="s">
        <x:v>2858</x:v>
      </x:c>
      <x:c r="B2849" s="1">
        <x:f>IFERROR(__xludf.DUMMYFUNCTION("""COMPUTED_VALUE"""),"Fem Via!")</x:f>
      </x:c>
      <x:c r="C2849" s="1">
        <x:f>IFERROR(__xludf.DUMMYFUNCTION("""COMPUTED_VALUE"""),"2013")</x:f>
      </x:c>
    </x:row>
    <x:row r="2850" spans="1:10">
      <x:c r="A2850" s="1" t="s">
        <x:v>2859</x:v>
      </x:c>
      <x:c r="B2850" s="1">
        <x:f>IFERROR(__xludf.DUMMYFUNCTION("""COMPUTED_VALUE"""),"Femen, dones guerreres")</x:f>
      </x:c>
      <x:c r="C2850" s="1">
        <x:f>IFERROR(__xludf.DUMMYFUNCTION("""COMPUTED_VALUE"""),"2014")</x:f>
      </x:c>
    </x:row>
    <x:row r="2851" spans="1:10">
      <x:c r="A2851" s="1" t="s">
        <x:v>2860</x:v>
      </x:c>
      <x:c r="B2851" s="1">
        <x:f>IFERROR(__xludf.DUMMYFUNCTION("""COMPUTED_VALUE"""),"Fènix 11*23")</x:f>
      </x:c>
      <x:c r="C2851" s="1">
        <x:f>IFERROR(__xludf.DUMMYFUNCTION("""COMPUTED_VALUE"""),"2012")</x:f>
      </x:c>
    </x:row>
    <x:row r="2852" spans="1:10">
      <x:c r="A2852" s="1" t="s">
        <x:v>2861</x:v>
      </x:c>
      <x:c r="B2852" s="1">
        <x:f>IFERROR(__xludf.DUMMYFUNCTION("""COMPUTED_VALUE"""),"Fentanil, la droga més barata i mortal")</x:f>
      </x:c>
      <x:c r="C2852" s="1">
        <x:f>IFERROR(__xludf.DUMMYFUNCTION("""COMPUTED_VALUE"""),"2020")</x:f>
      </x:c>
    </x:row>
    <x:row r="2853" spans="1:10">
      <x:c r="A2853" s="1" t="s">
        <x:v>2862</x:v>
      </x:c>
      <x:c r="B2853" s="1">
        <x:f>IFERROR(__xludf.DUMMYFUNCTION("""COMPUTED_VALUE"""),"Ferida")</x:f>
      </x:c>
      <x:c r="C2853" s="1">
        <x:f>IFERROR(__xludf.DUMMYFUNCTION("""COMPUTED_VALUE"""),"1992")</x:f>
      </x:c>
    </x:row>
    <x:row r="2854" spans="1:10">
      <x:c r="A2854" s="1" t="s">
        <x:v>2863</x:v>
      </x:c>
      <x:c r="B2854" s="1">
        <x:f>IFERROR(__xludf.DUMMYFUNCTION("""COMPUTED_VALUE"""),"Ferran Latorre. Més enllà dels 8.000")</x:f>
      </x:c>
      <x:c r="C2854" s="1">
        <x:f>IFERROR(__xludf.DUMMYFUNCTION("""COMPUTED_VALUE"""),"2020")</x:f>
      </x:c>
    </x:row>
    <x:row r="2855" spans="1:10">
      <x:c r="A2855" s="1" t="s">
        <x:v>2864</x:v>
      </x:c>
      <x:c r="B2855" s="1">
        <x:f>IFERROR(__xludf.DUMMYFUNCTION("""COMPUTED_VALUE"""),"Fes-me un petó, Guido")</x:f>
      </x:c>
      <x:c r="C2855" s="1">
        <x:f>IFERROR(__xludf.DUMMYFUNCTION("""COMPUTED_VALUE"""),"1997")</x:f>
      </x:c>
    </x:row>
    <x:row r="2856" spans="1:10">
      <x:c r="A2856" s="1" t="s">
        <x:v>2865</x:v>
      </x:c>
      <x:c r="B2856" s="1">
        <x:f>IFERROR(__xludf.DUMMYFUNCTION("""COMPUTED_VALUE"""),"Festival Internacional de Màgia, Memorial Li-Chang")</x:f>
      </x:c>
      <x:c r="C2856" s="1">
        <x:f>IFERROR(__xludf.DUMMYFUNCTION("""COMPUTED_VALUE"""),"2009")</x:f>
      </x:c>
    </x:row>
    <x:row r="2857" spans="1:10">
      <x:c r="A2857" s="1" t="s">
        <x:v>2866</x:v>
      </x:c>
      <x:c r="B2857" s="1">
        <x:f>IFERROR(__xludf.DUMMYFUNCTION("""COMPUTED_VALUE"""),"Festival Internacional de Màgia, Memorial Li-Chang")</x:f>
      </x:c>
      <x:c r="C2857" s="1">
        <x:f>IFERROR(__xludf.DUMMYFUNCTION("""COMPUTED_VALUE"""),"2010")</x:f>
      </x:c>
    </x:row>
    <x:row r="2858" spans="1:10">
      <x:c r="A2858" s="1" t="s">
        <x:v>2867</x:v>
      </x:c>
      <x:c r="B2858" s="1">
        <x:f>IFERROR(__xludf.DUMMYFUNCTION("""COMPUTED_VALUE"""),"Festival Internacional de Màgia, Memorial Li-Chang")</x:f>
      </x:c>
      <x:c r="C2858" s="1">
        <x:f>IFERROR(__xludf.DUMMYFUNCTION("""COMPUTED_VALUE"""),"2011")</x:f>
      </x:c>
    </x:row>
    <x:row r="2859" spans="1:10">
      <x:c r="A2859" s="1" t="s">
        <x:v>2868</x:v>
      </x:c>
      <x:c r="B2859" s="1">
        <x:f>IFERROR(__xludf.DUMMYFUNCTION("""COMPUTED_VALUE"""),"Festival Internacional de Màgia, Memorial Li-Chang")</x:f>
      </x:c>
      <x:c r="C2859" s="1">
        <x:f>IFERROR(__xludf.DUMMYFUNCTION("""COMPUTED_VALUE"""),"2020")</x:f>
      </x:c>
    </x:row>
    <x:row r="2860" spans="1:10">
      <x:c r="A2860" s="1" t="s">
        <x:v>2869</x:v>
      </x:c>
      <x:c r="B2860" s="1">
        <x:f>IFERROR(__xludf.DUMMYFUNCTION("""COMPUTED_VALUE"""),"Festival Internacional de Màgia, Memorial Li-Chang")</x:f>
      </x:c>
      <x:c r="C2860" s="1">
        <x:f>IFERROR(__xludf.DUMMYFUNCTION("""COMPUTED_VALUE"""),"2021")</x:f>
      </x:c>
    </x:row>
    <x:row r="2861" spans="1:10">
      <x:c r="A2861" s="1" t="s">
        <x:v>2870</x:v>
      </x:c>
      <x:c r="B2861" s="1">
        <x:f>IFERROR(__xludf.DUMMYFUNCTION("""COMPUTED_VALUE"""),"Festival Internacional de Màgia, Memorial Li-Chang")</x:f>
      </x:c>
      <x:c r="C2861" s="1">
        <x:f>IFERROR(__xludf.DUMMYFUNCTION("""COMPUTED_VALUE"""),"2022")</x:f>
      </x:c>
    </x:row>
    <x:row r="2862" spans="1:10">
      <x:c r="A2862" s="1" t="s">
        <x:v>2871</x:v>
      </x:c>
      <x:c r="B2862" s="1">
        <x:f>IFERROR(__xludf.DUMMYFUNCTION("""COMPUTED_VALUE"""),"Festival Internacional de Màgia, Memorial Li-Chang")</x:f>
      </x:c>
      <x:c r="C2862" s="1">
        <x:f>IFERROR(__xludf.DUMMYFUNCTION("""COMPUTED_VALUE"""),"2023")</x:f>
      </x:c>
    </x:row>
    <x:row r="2863" spans="1:10">
      <x:c r="A2863" s="1" t="s">
        <x:v>2872</x:v>
      </x:c>
      <x:c r="B2863" s="1">
        <x:f>IFERROR(__xludf.DUMMYFUNCTION("""COMPUTED_VALUE"""),"Festival Internacional de Màgia, Memorial Li-Chang")</x:f>
      </x:c>
      <x:c r="C2863" s="1">
        <x:f>IFERROR(__xludf.DUMMYFUNCTION("""COMPUTED_VALUE"""),"2024")</x:f>
      </x:c>
    </x:row>
    <x:row r="2864" spans="1:10">
      <x:c r="A2864" s="1" t="s">
        <x:v>2873</x:v>
      </x:c>
      <x:c r="B2864" s="1">
        <x:f>IFERROR(__xludf.DUMMYFUNCTION("""COMPUTED_VALUE"""),"Festival Internacional de Màgia, Memorial Li-Chang")</x:f>
      </x:c>
      <x:c r="C2864" s="1">
        <x:f>IFERROR(__xludf.DUMMYFUNCTION("""COMPUTED_VALUE"""),"2025")</x:f>
      </x:c>
    </x:row>
    <x:row r="2865" spans="1:10">
      <x:c r="A2865" s="1" t="s">
        <x:v>2874</x:v>
      </x:c>
      <x:c r="B2865" s="1">
        <x:f>IFERROR(__xludf.DUMMYFUNCTION("""COMPUTED_VALUE"""),"Fet a Etiòpia")</x:f>
      </x:c>
      <x:c r="C2865" s="1">
        <x:f>IFERROR(__xludf.DUMMYFUNCTION("""COMPUTED_VALUE"""),"2024")</x:f>
      </x:c>
    </x:row>
    <x:row r="2866" spans="1:10">
      <x:c r="A2866" s="1" t="s">
        <x:v>2875</x:v>
      </x:c>
      <x:c r="B2866" s="1">
        <x:f>IFERROR(__xludf.DUMMYFUNCTION("""COMPUTED_VALUE"""),"Fet i amagar")</x:f>
      </x:c>
      <x:c r="C2866" s="1">
        <x:f>IFERROR(__xludf.DUMMYFUNCTION("""COMPUTED_VALUE"""),"2005")</x:f>
      </x:c>
    </x:row>
    <x:row r="2867" spans="1:10">
      <x:c r="A2867" s="1" t="s">
        <x:v>2876</x:v>
      </x:c>
      <x:c r="B2867" s="1">
        <x:f>IFERROR(__xludf.DUMMYFUNCTION("""COMPUTED_VALUE"""),"Fi")</x:f>
      </x:c>
      <x:c r="C2867" s="1">
        <x:f>IFERROR(__xludf.DUMMYFUNCTION("""COMPUTED_VALUE"""),"2012")</x:f>
      </x:c>
    </x:row>
    <x:row r="2868" spans="1:10">
      <x:c r="A2868" s="1" t="s">
        <x:v>2877</x:v>
      </x:c>
      <x:c r="B2868" s="1">
        <x:f>IFERROR(__xludf.DUMMYFUNCTION("""COMPUTED_VALUE"""),"Ficció")</x:f>
      </x:c>
      <x:c r="C2868" s="1">
        <x:f>IFERROR(__xludf.DUMMYFUNCTION("""COMPUTED_VALUE"""),"2006")</x:f>
      </x:c>
    </x:row>
    <x:row r="2869" spans="1:10">
      <x:c r="A2869" s="1" t="s">
        <x:v>2878</x:v>
      </x:c>
      <x:c r="B2869" s="1">
        <x:f>IFERROR(__xludf.DUMMYFUNCTION("""COMPUTED_VALUE"""),"Fievel se'n va a l'Oest")</x:f>
      </x:c>
      <x:c r="C2869" s="1">
        <x:f>IFERROR(__xludf.DUMMYFUNCTION("""COMPUTED_VALUE"""),"1991")</x:f>
      </x:c>
    </x:row>
    <x:row r="2870" spans="1:10">
      <x:c r="A2870" s="1" t="s">
        <x:v>2879</x:v>
      </x:c>
      <x:c r="B2870" s="1">
        <x:f>IFERROR(__xludf.DUMMYFUNCTION("""COMPUTED_VALUE"""),"Filip")</x:f>
      </x:c>
      <x:c r="C2870" s="1">
        <x:f>IFERROR(__xludf.DUMMYFUNCTION("""COMPUTED_VALUE"""),"2022")</x:f>
      </x:c>
    </x:row>
    <x:row r="2871" spans="1:10">
      <x:c r="A2871" s="1" t="s">
        <x:v>2880</x:v>
      </x:c>
      <x:c r="B2871" s="1">
        <x:f>IFERROR(__xludf.DUMMYFUNCTION("""COMPUTED_VALUE"""),"Fill d'una altra mare")</x:f>
      </x:c>
      <x:c r="C2871" s="1">
        <x:f>IFERROR(__xludf.DUMMYFUNCTION("""COMPUTED_VALUE"""),"2017")</x:f>
      </x:c>
    </x:row>
    <x:row r="2872" spans="1:10">
      <x:c r="A2872" s="1" t="s">
        <x:v>2881</x:v>
      </x:c>
      <x:c r="B2872" s="1">
        <x:f>IFERROR(__xludf.DUMMYFUNCTION("""COMPUTED_VALUE"""),"Fill de Caín")</x:f>
      </x:c>
      <x:c r="C2872" s="1">
        <x:f>IFERROR(__xludf.DUMMYFUNCTION("""COMPUTED_VALUE"""),"2013")</x:f>
      </x:c>
    </x:row>
    <x:row r="2873" spans="1:10">
      <x:c r="A2873" s="1" t="s">
        <x:v>2882</x:v>
      </x:c>
      <x:c r="B2873" s="1">
        <x:f>IFERROR(__xludf.DUMMYFUNCTION("""COMPUTED_VALUE"""),"Filla del dolor")</x:f>
      </x:c>
      <x:c r="C2873" s="1">
        <x:f>IFERROR(__xludf.DUMMYFUNCTION("""COMPUTED_VALUE"""),"2013")</x:f>
      </x:c>
    </x:row>
    <x:row r="2874" spans="1:10">
      <x:c r="A2874" s="1" t="s">
        <x:v>2883</x:v>
      </x:c>
      <x:c r="B2874" s="1">
        <x:f>IFERROR(__xludf.DUMMYFUNCTION("""COMPUTED_VALUE"""),"Fills del sol")</x:f>
      </x:c>
      <x:c r="C2874" s="1">
        <x:f>IFERROR(__xludf.DUMMYFUNCTION("""COMPUTED_VALUE"""),"2020")</x:f>
      </x:c>
    </x:row>
    <x:row r="2875" spans="1:10">
      <x:c r="A2875" s="1" t="s">
        <x:v>2884</x:v>
      </x:c>
      <x:c r="B2875" s="1">
        <x:f>IFERROR(__xludf.DUMMYFUNCTION("""COMPUTED_VALUE"""),"Final de la Lliga de Campions a Roma")</x:f>
      </x:c>
      <x:c r="C2875" s="1">
        <x:f>IFERROR(__xludf.DUMMYFUNCTION("""COMPUTED_VALUE"""),"2009")</x:f>
      </x:c>
    </x:row>
    <x:row r="2876" spans="1:10">
      <x:c r="A2876" s="1" t="s">
        <x:v>2885</x:v>
      </x:c>
      <x:c r="B2876" s="1">
        <x:f>IFERROR(__xludf.DUMMYFUNCTION("""COMPUTED_VALUE"""),"Finançament: més enllà dels diners")</x:f>
      </x:c>
      <x:c r="C2876" s="1">
        <x:f>IFERROR(__xludf.DUMMYFUNCTION("""COMPUTED_VALUE"""),"2025")</x:f>
      </x:c>
    </x:row>
    <x:row r="2877" spans="1:10">
      <x:c r="A2877" s="1" t="s">
        <x:v>2886</x:v>
      </x:c>
      <x:c r="B2877" s="1">
        <x:f>IFERROR(__xludf.DUMMYFUNCTION("""COMPUTED_VALUE"""),"Fineta, una foqueta la mar de salada")</x:f>
      </x:c>
      <x:c r="C2877" s="1">
        <x:f>IFERROR(__xludf.DUMMYFUNCTION("""COMPUTED_VALUE"""),"2006")</x:f>
      </x:c>
    </x:row>
    <x:row r="2878" spans="1:10">
      <x:c r="A2878" s="1" t="s">
        <x:v>2887</x:v>
      </x:c>
      <x:c r="B2878" s="1">
        <x:f>IFERROR(__xludf.DUMMYFUNCTION("""COMPUTED_VALUE"""),"Fins a perdre el senderi")</x:f>
      </x:c>
      <x:c r="C2878" s="1">
        <x:f>IFERROR(__xludf.DUMMYFUNCTION("""COMPUTED_VALUE"""),"2012")</x:f>
      </x:c>
    </x:row>
    <x:row r="2879" spans="1:10">
      <x:c r="A2879" s="1" t="s">
        <x:v>2888</x:v>
      </x:c>
      <x:c r="B2879" s="1">
        <x:f>IFERROR(__xludf.DUMMYFUNCTION("""COMPUTED_VALUE"""),"Fins aviat, Don Glees")</x:f>
      </x:c>
      <x:c r="C2879" s="1">
        <x:f>IFERROR(__xludf.DUMMYFUNCTION("""COMPUTED_VALUE"""),"2021")</x:f>
      </x:c>
    </x:row>
    <x:row r="2880" spans="1:10">
      <x:c r="A2880" s="1" t="s">
        <x:v>2889</x:v>
      </x:c>
      <x:c r="B2880" s="1">
        <x:f>IFERROR(__xludf.DUMMYFUNCTION("""COMPUTED_VALUE"""),"Firecreek")</x:f>
      </x:c>
      <x:c r="C2880" s="1">
        <x:f>IFERROR(__xludf.DUMMYFUNCTION("""COMPUTED_VALUE"""),"1968")</x:f>
      </x:c>
    </x:row>
    <x:row r="2881" spans="1:10">
      <x:c r="A2881" s="1" t="s">
        <x:v>2890</x:v>
      </x:c>
      <x:c r="B2881" s="1">
        <x:f>IFERROR(__xludf.DUMMYFUNCTION("""COMPUTED_VALUE"""),"Firefox")</x:f>
      </x:c>
      <x:c r="C2881" s="1">
        <x:f>IFERROR(__xludf.DUMMYFUNCTION("""COMPUTED_VALUE"""),"1982")</x:f>
      </x:c>
    </x:row>
    <x:row r="2882" spans="1:10">
      <x:c r="A2882" s="1" t="s">
        <x:v>2891</x:v>
      </x:c>
      <x:c r="B2882" s="1">
        <x:f>IFERROR(__xludf.DUMMYFUNCTION("""COMPUTED_VALUE"""),"Firewall")</x:f>
      </x:c>
      <x:c r="C2882" s="1">
        <x:f>IFERROR(__xludf.DUMMYFUNCTION("""COMPUTED_VALUE"""),"2006")</x:f>
      </x:c>
    </x:row>
    <x:row r="2883" spans="1:10">
      <x:c r="A2883" s="1" t="s">
        <x:v>2892</x:v>
      </x:c>
      <x:c r="B2883" s="1">
        <x:f>IFERROR(__xludf.DUMMYFUNCTION("""COMPUTED_VALUE"""),"First Light")</x:f>
      </x:c>
      <x:c r="C2883" s="1">
        <x:f>IFERROR(__xludf.DUMMYFUNCTION("""COMPUTED_VALUE"""),"2018")</x:f>
      </x:c>
    </x:row>
    <x:row r="2884" spans="1:10">
      <x:c r="A2884" s="1" t="s">
        <x:v>2893</x:v>
      </x:c>
      <x:c r="B2884" s="1">
        <x:f>IFERROR(__xludf.DUMMYFUNCTION("""COMPUTED_VALUE"""),"Fish Tank")</x:f>
      </x:c>
      <x:c r="C2884" s="1">
        <x:f>IFERROR(__xludf.DUMMYFUNCTION("""COMPUTED_VALUE"""),"2009")</x:f>
      </x:c>
    </x:row>
    <x:row r="2885" spans="1:10">
      <x:c r="A2885" s="1" t="s">
        <x:v>2894</x:v>
      </x:c>
      <x:c r="B2885" s="1">
        <x:f>IFERROR(__xludf.DUMMYFUNCTION("""COMPUTED_VALUE"""),"Fisherman's Friends")</x:f>
      </x:c>
      <x:c r="C2885" s="1">
        <x:f>IFERROR(__xludf.DUMMYFUNCTION("""COMPUTED_VALUE"""),"2019")</x:f>
      </x:c>
    </x:row>
    <x:row r="2886" spans="1:10">
      <x:c r="A2886" s="1" t="s">
        <x:v>2895</x:v>
      </x:c>
      <x:c r="B2886" s="1">
        <x:f>IFERROR(__xludf.DUMMYFUNCTION("""COMPUTED_VALUE"""),"Five days to dance [VOSC]")</x:f>
      </x:c>
      <x:c r="C2886" s="1">
        <x:f>IFERROR(__xludf.DUMMYFUNCTION("""COMPUTED_VALUE"""),"2014")</x:f>
      </x:c>
    </x:row>
    <x:row r="2887" spans="1:10">
      <x:c r="A2887" s="1" t="s">
        <x:v>2896</x:v>
      </x:c>
      <x:c r="B2887" s="1">
        <x:f>IFERROR(__xludf.DUMMYFUNCTION("""COMPUTED_VALUE"""),"Flash Gordon")</x:f>
      </x:c>
      <x:c r="C2887" s="1">
        <x:f>IFERROR(__xludf.DUMMYFUNCTION("""COMPUTED_VALUE"""),"1980")</x:f>
      </x:c>
    </x:row>
    <x:row r="2888" spans="1:10">
      <x:c r="A2888" s="1" t="s">
        <x:v>2897</x:v>
      </x:c>
      <x:c r="B2888" s="1">
        <x:f>IFERROR(__xludf.DUMMYFUNCTION("""COMPUTED_VALUE"""),"Flashback Estiu sagnant")</x:f>
      </x:c>
      <x:c r="C2888" s="1">
        <x:f>IFERROR(__xludf.DUMMYFUNCTION("""COMPUTED_VALUE"""),"2000")</x:f>
      </x:c>
    </x:row>
    <x:row r="2889" spans="1:10">
      <x:c r="A2889" s="1" t="s">
        <x:v>2898</x:v>
      </x:c>
      <x:c r="B2889" s="1">
        <x:f>IFERROR(__xludf.DUMMYFUNCTION("""COMPUTED_VALUE"""),"Flashmob per la Independència de Catalunya")</x:f>
      </x:c>
      <x:c r="C2889" s="1">
        <x:f>IFERROR(__xludf.DUMMYFUNCTION("""COMPUTED_VALUE"""),"2012")</x:f>
      </x:c>
    </x:row>
    <x:row r="2890" spans="1:10">
      <x:c r="A2890" s="1" t="s">
        <x:v>2899</x:v>
      </x:c>
      <x:c r="B2890" s="1">
        <x:f>IFERROR(__xludf.DUMMYFUNCTION("""COMPUTED_VALUE"""),"Fletxa trencada")</x:f>
      </x:c>
      <x:c r="C2890" s="1">
        <x:f>IFERROR(__xludf.DUMMYFUNCTION("""COMPUTED_VALUE"""),"1950")</x:f>
      </x:c>
    </x:row>
    <x:row r="2891" spans="1:10">
      <x:c r="A2891" s="1" t="s">
        <x:v>2900</x:v>
      </x:c>
      <x:c r="B2891" s="1">
        <x:f>IFERROR(__xludf.DUMMYFUNCTION("""COMPUTED_VALUE"""),"Flint, agent secret")</x:f>
      </x:c>
      <x:c r="C2891" s="1">
        <x:f>IFERROR(__xludf.DUMMYFUNCTION("""COMPUTED_VALUE"""),"1966")</x:f>
      </x:c>
    </x:row>
    <x:row r="2892" spans="1:10">
      <x:c r="A2892" s="1" t="s">
        <x:v>2901</x:v>
      </x:c>
      <x:c r="B2892" s="1">
        <x:f>IFERROR(__xludf.DUMMYFUNCTION("""COMPUTED_VALUE"""),"Floquet de Neu - L'únic goril·la albí")</x:f>
      </x:c>
      <x:c r="C2892" s="1">
        <x:f>IFERROR(__xludf.DUMMYFUNCTION("""COMPUTED_VALUE"""),"2014")</x:f>
      </x:c>
    </x:row>
    <x:row r="2893" spans="1:10">
      <x:c r="A2893" s="1" t="s">
        <x:v>2902</x:v>
      </x:c>
      <x:c r="B2893" s="1">
        <x:f>IFERROR(__xludf.DUMMYFUNCTION("""COMPUTED_VALUE"""),"Floquet de Neu")</x:f>
      </x:c>
      <x:c r="C2893" s="1">
        <x:f>IFERROR(__xludf.DUMMYFUNCTION("""COMPUTED_VALUE"""),"2011")</x:f>
      </x:c>
    </x:row>
    <x:row r="2894" spans="1:10">
      <x:c r="A2894" s="1" t="s">
        <x:v>2903</x:v>
      </x:c>
      <x:c r="B2894" s="1">
        <x:f>IFERROR(__xludf.DUMMYFUNCTION("""COMPUTED_VALUE"""),"Flor de cactus")</x:f>
      </x:c>
      <x:c r="C2894" s="1">
        <x:f>IFERROR(__xludf.DUMMYFUNCTION("""COMPUTED_VALUE"""),"1969")</x:f>
      </x:c>
    </x:row>
    <x:row r="2895" spans="1:10">
      <x:c r="A2895" s="1" t="s">
        <x:v>2904</x:v>
      </x:c>
      <x:c r="B2895" s="1">
        <x:f>IFERROR(__xludf.DUMMYFUNCTION("""COMPUTED_VALUE"""),"Flor de Nit")</x:f>
      </x:c>
      <x:c r="C2895" s="1">
        <x:f>IFERROR(__xludf.DUMMYFUNCTION("""COMPUTED_VALUE"""),"1993")</x:f>
      </x:c>
    </x:row>
    <x:row r="2896" spans="1:10">
      <x:c r="A2896" s="1" t="s">
        <x:v>2905</x:v>
      </x:c>
      <x:c r="B2896" s="1">
        <x:f>IFERROR(__xludf.DUMMYFUNCTION("""COMPUTED_VALUE"""),"Florence Foster Jenkins")</x:f>
      </x:c>
      <x:c r="C2896" s="1">
        <x:f>IFERROR(__xludf.DUMMYFUNCTION("""COMPUTED_VALUE"""),"2016")</x:f>
      </x:c>
    </x:row>
    <x:row r="2897" spans="1:10">
      <x:c r="A2897" s="1" t="s">
        <x:v>2906</x:v>
      </x:c>
      <x:c r="B2897" s="1">
        <x:f>IFERROR(__xludf.DUMMYFUNCTION("""COMPUTED_VALUE"""),"Flors negres")</x:f>
      </x:c>
      <x:c r="C2897" s="1">
        <x:f>IFERROR(__xludf.DUMMYFUNCTION("""COMPUTED_VALUE"""),"2009")</x:f>
      </x:c>
    </x:row>
    <x:row r="2898" spans="1:10">
      <x:c r="A2898" s="1" t="s">
        <x:v>2907</x:v>
      </x:c>
      <x:c r="B2898" s="1">
        <x:f>IFERROR(__xludf.DUMMYFUNCTION("""COMPUTED_VALUE"""),"Flow")</x:f>
      </x:c>
      <x:c r="C2898" s="1">
        <x:f>IFERROR(__xludf.DUMMYFUNCTION("""COMPUTED_VALUE"""),"2024")</x:f>
      </x:c>
    </x:row>
    <x:row r="2899" spans="1:10">
      <x:c r="A2899" s="1" t="s">
        <x:v>2908</x:v>
      </x:c>
      <x:c r="B2899" s="1">
        <x:f>IFERROR(__xludf.DUMMYFUNCTION("""COMPUTED_VALUE"""),"Flyboys: Herois de l'aire")</x:f>
      </x:c>
      <x:c r="C2899" s="1">
        <x:f>IFERROR(__xludf.DUMMYFUNCTION("""COMPUTED_VALUE"""),"2006")</x:f>
      </x:c>
    </x:row>
    <x:row r="2900" spans="1:10">
      <x:c r="A2900" s="1" t="s">
        <x:v>2909</x:v>
      </x:c>
      <x:c r="B2900" s="1">
        <x:f>IFERROR(__xludf.DUMMYFUNCTION("""COMPUTED_VALUE"""),"Foc")</x:f>
      </x:c>
      <x:c r="C2900" s="1">
        <x:f>IFERROR(__xludf.DUMMYFUNCTION("""COMPUTED_VALUE"""),"2014")</x:f>
      </x:c>
    </x:row>
    <x:row r="2901" spans="1:10">
      <x:c r="A2901" s="1" t="s">
        <x:v>2910</x:v>
      </x:c>
      <x:c r="B2901" s="1">
        <x:f>IFERROR(__xludf.DUMMYFUNCTION("""COMPUTED_VALUE"""),"Foc mort")</x:f>
      </x:c>
      <x:c r="C2901" s="1">
        <x:f>IFERROR(__xludf.DUMMYFUNCTION("""COMPUTED_VALUE"""),"1997")</x:f>
      </x:c>
    </x:row>
    <x:row r="2902" spans="1:10">
      <x:c r="A2902" s="1" t="s">
        <x:v>2911</x:v>
      </x:c>
      <x:c r="B2902" s="1">
        <x:f>IFERROR(__xludf.DUMMYFUNCTION("""COMPUTED_VALUE"""),"Focus")</x:f>
      </x:c>
      <x:c r="C2902" s="1">
        <x:f>IFERROR(__xludf.DUMMYFUNCTION("""COMPUTED_VALUE"""),"2015")</x:f>
      </x:c>
    </x:row>
    <x:row r="2903" spans="1:10">
      <x:c r="A2903" s="1" t="s">
        <x:v>2912</x:v>
      </x:c>
      <x:c r="B2903" s="1">
        <x:f>IFERROR(__xludf.DUMMYFUNCTION("""COMPUTED_VALUE"""),"Fondre a negre")</x:f>
      </x:c>
      <x:c r="C2903" s="1">
        <x:f>IFERROR(__xludf.DUMMYFUNCTION("""COMPUTED_VALUE"""),"2006")</x:f>
      </x:c>
    </x:row>
    <x:row r="2904" spans="1:10">
      <x:c r="A2904" s="1" t="s">
        <x:v>2913</x:v>
      </x:c>
      <x:c r="B2904" s="1">
        <x:f>IFERROR(__xludf.DUMMYFUNCTION("""COMPUTED_VALUE"""),"For Evita. Una astracanada musical")</x:f>
      </x:c>
      <x:c r="C2904" s="1">
        <x:f>IFERROR(__xludf.DUMMYFUNCTION("""COMPUTED_VALUE"""),"2023")</x:f>
      </x:c>
    </x:row>
    <x:row r="2905" spans="1:10">
      <x:c r="A2905" s="1" t="s">
        <x:v>2914</x:v>
      </x:c>
      <x:c r="B2905" s="1">
        <x:f>IFERROR(__xludf.DUMMYFUNCTION("""COMPUTED_VALUE"""),"For the Love of Spock [VOSC]")</x:f>
      </x:c>
      <x:c r="C2905" s="1">
        <x:f>IFERROR(__xludf.DUMMYFUNCTION("""COMPUTED_VALUE"""),"2016")</x:f>
      </x:c>
    </x:row>
    <x:row r="2906" spans="1:10">
      <x:c r="A2906" s="1" t="s">
        <x:v>2915</x:v>
      </x:c>
      <x:c r="B2906" s="1">
        <x:f>IFERROR(__xludf.DUMMYFUNCTION("""COMPUTED_VALUE"""),"Fora de comptes")</x:f>
      </x:c>
      <x:c r="C2906" s="1">
        <x:f>IFERROR(__xludf.DUMMYFUNCTION("""COMPUTED_VALUE"""),"2010")</x:f>
      </x:c>
    </x:row>
    <x:row r="2907" spans="1:10">
      <x:c r="A2907" s="1" t="s">
        <x:v>2916</x:v>
      </x:c>
      <x:c r="B2907" s="1">
        <x:f>IFERROR(__xludf.DUMMYFUNCTION("""COMPUTED_VALUE"""),"Fora de joc")</x:f>
      </x:c>
      <x:c r="C2907" s="1">
        <x:f>IFERROR(__xludf.DUMMYFUNCTION("""COMPUTED_VALUE"""),"2010")</x:f>
      </x:c>
    </x:row>
    <x:row r="2908" spans="1:10">
      <x:c r="A2908" s="1" t="s">
        <x:v>2917</x:v>
      </x:c>
      <x:c r="B2908" s="1">
        <x:f>IFERROR(__xludf.DUMMYFUNCTION("""COMPUTED_VALUE"""),"Fora de joc")</x:f>
      </x:c>
      <x:c r="C2908" s="1">
        <x:f>IFERROR(__xludf.DUMMYFUNCTION("""COMPUTED_VALUE"""),"2024")</x:f>
      </x:c>
    </x:row>
    <x:row r="2909" spans="1:10">
      <x:c r="A2909" s="1" t="s">
        <x:v>2918</x:v>
      </x:c>
      <x:c r="B2909" s="1">
        <x:f>IFERROR(__xludf.DUMMYFUNCTION("""COMPUTED_VALUE"""),"Fora de la llei")</x:f>
      </x:c>
      <x:c r="C2909" s="1">
        <x:f>IFERROR(__xludf.DUMMYFUNCTION("""COMPUTED_VALUE"""),"1943")</x:f>
      </x:c>
    </x:row>
    <x:row r="2910" spans="1:10">
      <x:c r="A2910" s="1" t="s">
        <x:v>2919</x:v>
      </x:c>
      <x:c r="B2910" s="1">
        <x:f>IFERROR(__xludf.DUMMYFUNCTION("""COMPUTED_VALUE"""),"Fora l'amor")</x:f>
      </x:c>
      <x:c r="C2910" s="1">
        <x:f>IFERROR(__xludf.DUMMYFUNCTION("""COMPUTED_VALUE"""),"2003")</x:f>
      </x:c>
    </x:row>
    <x:row r="2911" spans="1:10">
      <x:c r="A2911" s="1" t="s">
        <x:v>2920</x:v>
      </x:c>
      <x:c r="B2911" s="1">
        <x:f>IFERROR(__xludf.DUMMYFUNCTION("""COMPUTED_VALUE"""),"Forasters")</x:f>
      </x:c>
      <x:c r="C2911" s="1">
        <x:f>IFERROR(__xludf.DUMMYFUNCTION("""COMPUTED_VALUE"""),"2008")</x:f>
      </x:c>
    </x:row>
    <x:row r="2912" spans="1:10">
      <x:c r="A2912" s="1" t="s">
        <x:v>2921</x:v>
      </x:c>
      <x:c r="B2912" s="1">
        <x:f>IFERROR(__xludf.DUMMYFUNCTION("""COMPUTED_VALUE"""),"Força 10 de Navarone")</x:f>
      </x:c>
      <x:c r="C2912" s="1">
        <x:f>IFERROR(__xludf.DUMMYFUNCTION("""COMPUTED_VALUE"""),"1978")</x:f>
      </x:c>
    </x:row>
    <x:row r="2913" spans="1:10">
      <x:c r="A2913" s="1" t="s">
        <x:v>2922</x:v>
      </x:c>
      <x:c r="B2913" s="1">
        <x:f>IFERROR(__xludf.DUMMYFUNCTION("""COMPUTED_VALUE"""),"Força de xoc")</x:f>
      </x:c>
      <x:c r="C2913" s="1">
        <x:f>IFERROR(__xludf.DUMMYFUNCTION("""COMPUTED_VALUE"""),"1999")</x:f>
      </x:c>
    </x:row>
    <x:row r="2914" spans="1:10">
      <x:c r="A2914" s="1" t="s">
        <x:v>2923</x:v>
      </x:c>
      <x:c r="B2914" s="1">
        <x:f>IFERROR(__xludf.DUMMYFUNCTION("""COMPUTED_VALUE"""),"Força major")</x:f>
      </x:c>
      <x:c r="C2914" s="1">
        <x:f>IFERROR(__xludf.DUMMYFUNCTION("""COMPUTED_VALUE"""),"2014")</x:f>
      </x:c>
    </x:row>
    <x:row r="2915" spans="1:10">
      <x:c r="A2915" s="1" t="s">
        <x:v>2924</x:v>
      </x:c>
      <x:c r="B2915" s="1">
        <x:f>IFERROR(__xludf.DUMMYFUNCTION("""COMPUTED_VALUE"""),"Força vital")</x:f>
      </x:c>
      <x:c r="C2915" s="1">
        <x:f>IFERROR(__xludf.DUMMYFUNCTION("""COMPUTED_VALUE"""),"1985")</x:f>
      </x:c>
    </x:row>
    <x:row r="2916" spans="1:10">
      <x:c r="A2916" s="1" t="s">
        <x:v>2925</x:v>
      </x:c>
      <x:c r="B2916" s="1">
        <x:f>IFERROR(__xludf.DUMMYFUNCTION("""COMPUTED_VALUE"""),"Forenses")</x:f>
      </x:c>
      <x:c r="C2916" s="1">
        <x:f>IFERROR(__xludf.DUMMYFUNCTION("""COMPUTED_VALUE"""),"2013")</x:f>
      </x:c>
    </x:row>
    <x:row r="2917" spans="1:10">
      <x:c r="A2917" s="1" t="s">
        <x:v>2926</x:v>
      </x:c>
      <x:c r="B2917" s="1">
        <x:f>IFERROR(__xludf.DUMMYFUNCTION("""COMPUTED_VALUE"""),"Forjadors de la diada")</x:f>
      </x:c>
      <x:c r="C2917" s="1">
        <x:f>IFERROR(__xludf.DUMMYFUNCTION("""COMPUTED_VALUE"""),"2008")</x:f>
      </x:c>
    </x:row>
    <x:row r="2918" spans="1:10">
      <x:c r="A2918" s="1" t="s">
        <x:v>2927</x:v>
      </x:c>
      <x:c r="B2918" s="1">
        <x:f>IFERROR(__xludf.DUMMYFUNCTION("""COMPUTED_VALUE"""),"Formentera Lady")</x:f>
      </x:c>
      <x:c r="C2918" s="1">
        <x:f>IFERROR(__xludf.DUMMYFUNCTION("""COMPUTED_VALUE"""),"2018")</x:f>
      </x:c>
    </x:row>
    <x:row r="2919" spans="1:10">
      <x:c r="A2919" s="1" t="s">
        <x:v>2928</x:v>
      </x:c>
      <x:c r="B2919" s="1">
        <x:f>IFERROR(__xludf.DUMMYFUNCTION("""COMPUTED_VALUE"""),"Forrest Gump")</x:f>
      </x:c>
      <x:c r="C2919" s="1">
        <x:f>IFERROR(__xludf.DUMMYFUNCTION("""COMPUTED_VALUE"""),"1994")</x:f>
      </x:c>
    </x:row>
    <x:row r="2920" spans="1:10">
      <x:c r="A2920" s="1" t="s">
        <x:v>2929</x:v>
      </x:c>
      <x:c r="B2920" s="1">
        <x:f>IFERROR(__xludf.DUMMYFUNCTION("""COMPUTED_VALUE"""),"Fort Bravo")</x:f>
      </x:c>
      <x:c r="C2920" s="1">
        <x:f>IFERROR(__xludf.DUMMYFUNCTION("""COMPUTED_VALUE"""),"1953")</x:f>
      </x:c>
    </x:row>
    <x:row r="2921" spans="1:10">
      <x:c r="A2921" s="1" t="s">
        <x:v>2930</x:v>
      </x:c>
      <x:c r="B2921" s="1">
        <x:f>IFERROR(__xludf.DUMMYFUNCTION("""COMPUTED_VALUE"""),"Fortalesa infernal 2")</x:f>
      </x:c>
      <x:c r="C2921" s="1">
        <x:f>IFERROR(__xludf.DUMMYFUNCTION("""COMPUTED_VALUE"""),"1999")</x:f>
      </x:c>
    </x:row>
    <x:row r="2922" spans="1:10">
      <x:c r="A2922" s="1" t="s">
        <x:v>2931</x:v>
      </x:c>
      <x:c r="B2922" s="1">
        <x:f>IFERROR(__xludf.DUMMYFUNCTION("""COMPUTED_VALUE"""),"Fortunata")</x:f>
      </x:c>
      <x:c r="C2922" s="1">
        <x:f>IFERROR(__xludf.DUMMYFUNCTION("""COMPUTED_VALUE"""),"2017")</x:f>
      </x:c>
    </x:row>
    <x:row r="2923" spans="1:10">
      <x:c r="A2923" s="1" t="s">
        <x:v>2932</x:v>
      </x:c>
      <x:c r="B2923" s="1">
        <x:f>IFERROR(__xludf.DUMMYFUNCTION("""COMPUTED_VALUE"""),"Fosques intencions")</x:f>
      </x:c>
      <x:c r="C2923" s="1">
        <x:f>IFERROR(__xludf.DUMMYFUNCTION("""COMPUTED_VALUE"""),"2015")</x:f>
      </x:c>
    </x:row>
    <x:row r="2924" spans="1:10">
      <x:c r="A2924" s="1" t="s">
        <x:v>2933</x:v>
      </x:c>
      <x:c r="B2924" s="1">
        <x:f>IFERROR(__xludf.DUMMYFUNCTION("""COMPUTED_VALUE"""),"Foto de família")</x:f>
      </x:c>
      <x:c r="C2924" s="1">
        <x:f>IFERROR(__xludf.DUMMYFUNCTION("""COMPUTED_VALUE"""),"2018")</x:f>
      </x:c>
    </x:row>
    <x:row r="2925" spans="1:10">
      <x:c r="A2925" s="1" t="s">
        <x:v>2934</x:v>
      </x:c>
      <x:c r="B2925" s="1">
        <x:f>IFERROR(__xludf.DUMMYFUNCTION("""COMPUTED_VALUE"""),"Four Lions")</x:f>
      </x:c>
      <x:c r="C2925" s="1">
        <x:f>IFERROR(__xludf.DUMMYFUNCTION("""COMPUTED_VALUE"""),"2010")</x:f>
      </x:c>
    </x:row>
    <x:row r="2926" spans="1:10">
      <x:c r="A2926" s="1" t="s">
        <x:v>2935</x:v>
      </x:c>
      <x:c r="B2926" s="1">
        <x:f>IFERROR(__xludf.DUMMYFUNCTION("""COMPUTED_VALUE"""),"Four Rooms")</x:f>
      </x:c>
      <x:c r="C2926" s="1">
        <x:f>IFERROR(__xludf.DUMMYFUNCTION("""COMPUTED_VALUE"""),"1995")</x:f>
      </x:c>
    </x:row>
    <x:row r="2927" spans="1:10">
      <x:c r="A2927" s="1" t="s">
        <x:v>2936</x:v>
      </x:c>
      <x:c r="B2927" s="1">
        <x:f>IFERROR(__xludf.DUMMYFUNCTION("""COMPUTED_VALUE"""),"Foxcatcher")</x:f>
      </x:c>
      <x:c r="C2927" s="1">
        <x:f>IFERROR(__xludf.DUMMYFUNCTION("""COMPUTED_VALUE"""),"2014")</x:f>
      </x:c>
    </x:row>
    <x:row r="2928" spans="1:10">
      <x:c r="A2928" s="1" t="s">
        <x:v>2937</x:v>
      </x:c>
      <x:c r="B2928" s="1">
        <x:f>IFERROR(__xludf.DUMMYFUNCTION("""COMPUTED_VALUE"""),"Foxfire: Confessions d'una banda de noies")</x:f>
      </x:c>
      <x:c r="C2928" s="1">
        <x:f>IFERROR(__xludf.DUMMYFUNCTION("""COMPUTED_VALUE"""),"2012")</x:f>
      </x:c>
    </x:row>
    <x:row r="2929" spans="1:10">
      <x:c r="A2929" s="1" t="s">
        <x:v>2938</x:v>
      </x:c>
      <x:c r="B2929" s="1">
        <x:f>IFERROR(__xludf.DUMMYFUNCTION("""COMPUTED_VALUE"""),"Fracture")</x:f>
      </x:c>
      <x:c r="C2929" s="1">
        <x:f>IFERROR(__xludf.DUMMYFUNCTION("""COMPUTED_VALUE"""),"2007")</x:f>
      </x:c>
    </x:row>
    <x:row r="2930" spans="1:10">
      <x:c r="A2930" s="1" t="s">
        <x:v>2939</x:v>
      </x:c>
      <x:c r="B2930" s="1">
        <x:f>IFERROR(__xludf.DUMMYFUNCTION("""COMPUTED_VALUE"""),"Fràgils")</x:f>
      </x:c>
      <x:c r="C2930" s="1">
        <x:f>IFERROR(__xludf.DUMMYFUNCTION("""COMPUTED_VALUE"""),"2005")</x:f>
      </x:c>
    </x:row>
    <x:row r="2931" spans="1:10">
      <x:c r="A2931" s="1" t="s">
        <x:v>2940</x:v>
      </x:c>
      <x:c r="B2931" s="1">
        <x:f>IFERROR(__xludf.DUMMYFUNCTION("""COMPUTED_VALUE"""),"França-Àfrica. Secrets d'un divorci")</x:f>
      </x:c>
      <x:c r="C2931" s="1">
        <x:f>IFERROR(__xludf.DUMMYFUNCTION("""COMPUTED_VALUE"""),"2025")</x:f>
      </x:c>
    </x:row>
    <x:row r="2932" spans="1:10">
      <x:c r="A2932" s="1" t="s">
        <x:v>2941</x:v>
      </x:c>
      <x:c r="B2932" s="1">
        <x:f>IFERROR(__xludf.DUMMYFUNCTION("""COMPUTED_VALUE"""),"Francesc Boix: Un fotògraf a l'infern")</x:f>
      </x:c>
      <x:c r="C2932" s="1">
        <x:f>IFERROR(__xludf.DUMMYFUNCTION("""COMPUTED_VALUE"""),"2002")</x:f>
      </x:c>
    </x:row>
    <x:row r="2933" spans="1:10">
      <x:c r="A2933" s="1" t="s">
        <x:v>2942</x:v>
      </x:c>
      <x:c r="B2933" s="1">
        <x:f>IFERROR(__xludf.DUMMYFUNCTION("""COMPUTED_VALUE"""),"Franco i Hollywood")</x:f>
      </x:c>
      <x:c r="C2933" s="1">
        <x:f>IFERROR(__xludf.DUMMYFUNCTION("""COMPUTED_VALUE"""),"2025")</x:f>
      </x:c>
    </x:row>
    <x:row r="2934" spans="1:10">
      <x:c r="A2934" s="1" t="s">
        <x:v>2943</x:v>
      </x:c>
      <x:c r="B2934" s="1">
        <x:f>IFERROR(__xludf.DUMMYFUNCTION("""COMPUTED_VALUE"""),"Franco, el sentinella d'Occident")</x:f>
      </x:c>
      <x:c r="C2934" s="1">
        <x:f>IFERROR(__xludf.DUMMYFUNCTION("""COMPUTED_VALUE"""),"2005")</x:f>
      </x:c>
    </x:row>
    <x:row r="2935" spans="1:10">
      <x:c r="A2935" s="1" t="s">
        <x:v>2944</x:v>
      </x:c>
      <x:c r="B2935" s="1">
        <x:f>IFERROR(__xludf.DUMMYFUNCTION("""COMPUTED_VALUE"""),"Frankenstein de Mary Shelley")</x:f>
      </x:c>
      <x:c r="C2935" s="1">
        <x:f>IFERROR(__xludf.DUMMYFUNCTION("""COMPUTED_VALUE"""),"1994")</x:f>
      </x:c>
    </x:row>
    <x:row r="2936" spans="1:10">
      <x:c r="A2936" s="1" t="s">
        <x:v>2945</x:v>
      </x:c>
      <x:c r="B2936" s="1">
        <x:f>IFERROR(__xludf.DUMMYFUNCTION("""COMPUTED_VALUE"""),"Franklin i el tresor del llac")</x:f>
      </x:c>
      <x:c r="C2936" s="1">
        <x:f>IFERROR(__xludf.DUMMYFUNCTION("""COMPUTED_VALUE"""),"2006")</x:f>
      </x:c>
    </x:row>
    <x:row r="2937" spans="1:10">
      <x:c r="A2937" s="1" t="s">
        <x:v>2946</x:v>
      </x:c>
      <x:c r="B2937" s="1">
        <x:f>IFERROR(__xludf.DUMMYFUNCTION("""COMPUTED_VALUE"""),"Franklyn")</x:f>
      </x:c>
      <x:c r="C2937" s="1">
        <x:f>IFERROR(__xludf.DUMMYFUNCTION("""COMPUTED_VALUE"""),"2008")</x:f>
      </x:c>
    </x:row>
    <x:row r="2938" spans="1:10">
      <x:c r="A2938" s="1" t="s">
        <x:v>2947</x:v>
      </x:c>
      <x:c r="B2938" s="1">
        <x:f>IFERROR(__xludf.DUMMYFUNCTION("""COMPUTED_VALUE"""),"Fred al juliol")</x:f>
      </x:c>
      <x:c r="C2938" s="1">
        <x:f>IFERROR(__xludf.DUMMYFUNCTION("""COMPUTED_VALUE"""),"2014")</x:f>
      </x:c>
    </x:row>
    <x:row r="2939" spans="1:10">
      <x:c r="A2939" s="1" t="s">
        <x:v>2948</x:v>
      </x:c>
      <x:c r="B2939" s="1">
        <x:f>IFERROR(__xludf.DUMMYFUNCTION("""COMPUTED_VALUE"""),"Frederica Montseny, la dona que parla")</x:f>
      </x:c>
      <x:c r="C2939" s="1">
        <x:f>IFERROR(__xludf.DUMMYFUNCTION("""COMPUTED_VALUE"""),"2021")</x:f>
      </x:c>
    </x:row>
    <x:row r="2940" spans="1:10">
      <x:c r="A2940" s="1" t="s">
        <x:v>2949</x:v>
      </x:c>
      <x:c r="B2940" s="1">
        <x:f>IFERROR(__xludf.DUMMYFUNCTION("""COMPUTED_VALUE"""),"Free Birds: La revolta dels galls dindis")</x:f>
      </x:c>
      <x:c r="C2940" s="1">
        <x:f>IFERROR(__xludf.DUMMYFUNCTION("""COMPUTED_VALUE"""),"2013")</x:f>
      </x:c>
    </x:row>
    <x:row r="2941" spans="1:10">
      <x:c r="A2941" s="1" t="s">
        <x:v>2950</x:v>
      </x:c>
      <x:c r="B2941" s="1">
        <x:f>IFERROR(__xludf.DUMMYFUNCTION("""COMPUTED_VALUE"""),"Freedom")</x:f>
      </x:c>
      <x:c r="C2941" s="1">
        <x:f>IFERROR(__xludf.DUMMYFUNCTION("""COMPUTED_VALUE"""),"2007")</x:f>
      </x:c>
    </x:row>
    <x:row r="2942" spans="1:10">
      <x:c r="A2942" s="1" t="s">
        <x:v>2951</x:v>
      </x:c>
      <x:c r="B2942" s="1">
        <x:f>IFERROR(__xludf.DUMMYFUNCTION("""COMPUTED_VALUE"""),"Freeheld")</x:f>
      </x:c>
      <x:c r="C2942" s="1">
        <x:f>IFERROR(__xludf.DUMMYFUNCTION("""COMPUTED_VALUE"""),"2015")</x:f>
      </x:c>
    </x:row>
    <x:row r="2943" spans="1:10">
      <x:c r="A2943" s="1" t="s">
        <x:v>2952</x:v>
      </x:c>
      <x:c r="B2943" s="1">
        <x:f>IFERROR(__xludf.DUMMYFUNCTION("""COMPUTED_VALUE"""),"Freightened. El preu real del transport marítim")</x:f>
      </x:c>
      <x:c r="C2943" s="1">
        <x:f>IFERROR(__xludf.DUMMYFUNCTION("""COMPUTED_VALUE"""),"2016")</x:f>
      </x:c>
    </x:row>
    <x:row r="2944" spans="1:10">
      <x:c r="A2944" s="1" t="s">
        <x:v>2953</x:v>
      </x:c>
      <x:c r="B2944" s="1">
        <x:f>IFERROR(__xludf.DUMMYFUNCTION("""COMPUTED_VALUE"""),"French Kiss")</x:f>
      </x:c>
      <x:c r="C2944" s="1">
        <x:f>IFERROR(__xludf.DUMMYFUNCTION("""COMPUTED_VALUE"""),"1995")</x:f>
      </x:c>
    </x:row>
    <x:row r="2945" spans="1:10">
      <x:c r="A2945" s="1" t="s">
        <x:v>2954</x:v>
      </x:c>
      <x:c r="B2945" s="1">
        <x:f>IFERROR(__xludf.DUMMYFUNCTION("""COMPUTED_VALUE"""),"Frenesí")</x:f>
      </x:c>
      <x:c r="C2945" s="1">
        <x:f>IFERROR(__xludf.DUMMYFUNCTION("""COMPUTED_VALUE"""),"1972")</x:f>
      </x:c>
    </x:row>
    <x:row r="2946" spans="1:10">
      <x:c r="A2946" s="1" t="s">
        <x:v>2955</x:v>
      </x:c>
      <x:c r="B2946" s="1">
        <x:f>IFERROR(__xludf.DUMMYFUNCTION("""COMPUTED_VALUE"""),"Frequency")</x:f>
      </x:c>
      <x:c r="C2946" s="1">
        <x:f>IFERROR(__xludf.DUMMYFUNCTION("""COMPUTED_VALUE"""),"2000")</x:f>
      </x:c>
    </x:row>
    <x:row r="2947" spans="1:10">
      <x:c r="A2947" s="1" t="s">
        <x:v>2956</x:v>
      </x:c>
      <x:c r="B2947" s="1">
        <x:f>IFERROR(__xludf.DUMMYFUNCTION("""COMPUTED_VALUE"""),"Fritzi: Un conte revolucionari")</x:f>
      </x:c>
      <x:c r="C2947" s="1">
        <x:f>IFERROR(__xludf.DUMMYFUNCTION("""COMPUTED_VALUE"""),"2019")</x:f>
      </x:c>
    </x:row>
    <x:row r="2948" spans="1:10">
      <x:c r="A2948" s="1" t="s">
        <x:v>2957</x:v>
      </x:c>
      <x:c r="B2948" s="1">
        <x:f>IFERROR(__xludf.DUMMYFUNCTION("""COMPUTED_VALUE"""),"Frontera")</x:f>
      </x:c>
      <x:c r="C2948" s="1">
        <x:f>IFERROR(__xludf.DUMMYFUNCTION("""COMPUTED_VALUE"""),"2025")</x:f>
      </x:c>
    </x:row>
    <x:row r="2949" spans="1:10">
      <x:c r="A2949" s="1" t="s">
        <x:v>2958</x:v>
      </x:c>
      <x:c r="B2949" s="1">
        <x:f>IFERROR(__xludf.DUMMYFUNCTION("""COMPUTED_VALUE"""),"Frozen I")</x:f>
      </x:c>
      <x:c r="C2949" s="1">
        <x:f>IFERROR(__xludf.DUMMYFUNCTION("""COMPUTED_VALUE"""),"2013")</x:f>
      </x:c>
    </x:row>
    <x:row r="2950" spans="1:10">
      <x:c r="A2950" s="1" t="s">
        <x:v>2959</x:v>
      </x:c>
      <x:c r="B2950" s="1">
        <x:f>IFERROR(__xludf.DUMMYFUNCTION("""COMPUTED_VALUE"""),"Frozen II")</x:f>
      </x:c>
      <x:c r="C2950" s="1">
        <x:f>IFERROR(__xludf.DUMMYFUNCTION("""COMPUTED_VALUE"""),"2019")</x:f>
      </x:c>
    </x:row>
    <x:row r="2951" spans="1:10">
      <x:c r="A2951" s="1" t="s">
        <x:v>2960</x:v>
      </x:c>
      <x:c r="B2951" s="1">
        <x:f>IFERROR(__xludf.DUMMYFUNCTION("""COMPUTED_VALUE"""),"Fúcsia la mini bruixa")</x:f>
      </x:c>
      <x:c r="C2951" s="1">
        <x:f>IFERROR(__xludf.DUMMYFUNCTION("""COMPUTED_VALUE"""),"2010")</x:f>
      </x:c>
    </x:row>
    <x:row r="2952" spans="1:10">
      <x:c r="A2952" s="1" t="s">
        <x:v>2961</x:v>
      </x:c>
      <x:c r="B2952" s="1">
        <x:f>IFERROR(__xludf.DUMMYFUNCTION("""COMPUTED_VALUE"""),"Fugida de Pretòria")</x:f>
      </x:c>
      <x:c r="C2952" s="1">
        <x:f>IFERROR(__xludf.DUMMYFUNCTION("""COMPUTED_VALUE"""),"2020")</x:f>
      </x:c>
    </x:row>
    <x:row r="2953" spans="1:10">
      <x:c r="A2953" s="1" t="s">
        <x:v>2962</x:v>
      </x:c>
      <x:c r="B2953" s="1">
        <x:f>IFERROR(__xludf.DUMMYFUNCTION("""COMPUTED_VALUE"""),"Fugida en auto")</x:f>
      </x:c>
      <x:c r="C2953" s="1">
        <x:f>IFERROR(__xludf.DUMMYFUNCTION("""COMPUTED_VALUE"""),"1915")</x:f>
      </x:c>
    </x:row>
    <x:row r="2954" spans="1:10">
      <x:c r="A2954" s="1" t="s">
        <x:v>2963</x:v>
      </x:c>
      <x:c r="B2954" s="1">
        <x:f>IFERROR(__xludf.DUMMYFUNCTION("""COMPUTED_VALUE"""),"Fugint de la foscor")</x:f>
      </x:c>
      <x:c r="C2954" s="1">
        <x:f>IFERROR(__xludf.DUMMYFUNCTION("""COMPUTED_VALUE"""),"2001")</x:f>
      </x:c>
    </x:row>
    <x:row r="2955" spans="1:10">
      <x:c r="A2955" s="1" t="s">
        <x:v>2964</x:v>
      </x:c>
      <x:c r="B2955" s="1">
        <x:f>IFERROR(__xludf.DUMMYFUNCTION("""COMPUTED_VALUE"""),"Fugir de Venus")</x:f>
      </x:c>
      <x:c r="C2955" s="1">
        <x:f>IFERROR(__xludf.DUMMYFUNCTION("""COMPUTED_VALUE"""),"2025")</x:f>
      </x:c>
    </x:row>
    <x:row r="2956" spans="1:10">
      <x:c r="A2956" s="1" t="s">
        <x:v>2965</x:v>
      </x:c>
      <x:c r="B2956" s="1">
        <x:f>IFERROR(__xludf.DUMMYFUNCTION("""COMPUTED_VALUE"""),"Fulles d'herba")</x:f>
      </x:c>
      <x:c r="C2956" s="1">
        <x:f>IFERROR(__xludf.DUMMYFUNCTION("""COMPUTED_VALUE"""),"2009")</x:f>
      </x:c>
    </x:row>
    <x:row r="2957" spans="1:10">
      <x:c r="A2957" s="1" t="s">
        <x:v>2966</x:v>
      </x:c>
      <x:c r="B2957" s="1">
        <x:f>IFERROR(__xludf.DUMMYFUNCTION("""COMPUTED_VALUE"""),"Fumata blanca")</x:f>
      </x:c>
      <x:c r="C2957" s="1">
        <x:f>IFERROR(__xludf.DUMMYFUNCTION("""COMPUTED_VALUE"""),"2002")</x:f>
      </x:c>
    </x:row>
    <x:row r="2958" spans="1:10">
      <x:c r="A2958" s="1" t="s">
        <x:v>2967</x:v>
      </x:c>
      <x:c r="B2958" s="1">
        <x:f>IFERROR(__xludf.DUMMYFUNCTION("""COMPUTED_VALUE"""),"Funan")</x:f>
      </x:c>
      <x:c r="C2958" s="1">
        <x:f>IFERROR(__xludf.DUMMYFUNCTION("""COMPUTED_VALUE"""),"2018")</x:f>
      </x:c>
    </x:row>
    <x:row r="2959" spans="1:10">
      <x:c r="A2959" s="1" t="s">
        <x:v>2968</x:v>
      </x:c>
      <x:c r="B2959" s="1">
        <x:f>IFERROR(__xludf.DUMMYFUNCTION("""COMPUTED_VALUE"""),"Funny Games")</x:f>
      </x:c>
      <x:c r="C2959" s="1">
        <x:f>IFERROR(__xludf.DUMMYFUNCTION("""COMPUTED_VALUE"""),"2007")</x:f>
      </x:c>
    </x:row>
    <x:row r="2960" spans="1:10">
      <x:c r="A2960" s="1" t="s">
        <x:v>2969</x:v>
      </x:c>
      <x:c r="B2960" s="1">
        <x:f>IFERROR(__xludf.DUMMYFUNCTION("""COMPUTED_VALUE"""),"Funny Games [VOSC]")</x:f>
      </x:c>
      <x:c r="C2960" s="1">
        <x:f>IFERROR(__xludf.DUMMYFUNCTION("""COMPUTED_VALUE"""),"1997")</x:f>
      </x:c>
    </x:row>
    <x:row r="2961" spans="1:10">
      <x:c r="A2961" s="1" t="s">
        <x:v>2970</x:v>
      </x:c>
      <x:c r="B2961" s="1">
        <x:f>IFERROR(__xludf.DUMMYFUNCTION("""COMPUTED_VALUE"""),"Funny Girl")</x:f>
      </x:c>
      <x:c r="C2961" s="1">
        <x:f>IFERROR(__xludf.DUMMYFUNCTION("""COMPUTED_VALUE"""),"1968")</x:f>
      </x:c>
    </x:row>
    <x:row r="2962" spans="1:10">
      <x:c r="A2962" s="1" t="s">
        <x:v>2971</x:v>
      </x:c>
      <x:c r="B2962" s="1">
        <x:f>IFERROR(__xludf.DUMMYFUNCTION("""COMPUTED_VALUE"""),"Fúria")</x:f>
      </x:c>
      <x:c r="C2962" s="1">
        <x:f>IFERROR(__xludf.DUMMYFUNCTION("""COMPUTED_VALUE"""),"2012")</x:f>
      </x:c>
    </x:row>
    <x:row r="2963" spans="1:10">
      <x:c r="A2963" s="1" t="s">
        <x:v>2972</x:v>
      </x:c>
      <x:c r="B2963" s="1">
        <x:f>IFERROR(__xludf.DUMMYFUNCTION("""COMPUTED_VALUE"""),"Fúria cega")</x:f>
      </x:c>
      <x:c r="C2963" s="1">
        <x:f>IFERROR(__xludf.DUMMYFUNCTION("""COMPUTED_VALUE"""),"2011")</x:f>
      </x:c>
    </x:row>
    <x:row r="2964" spans="1:10">
      <x:c r="A2964" s="1" t="s">
        <x:v>2973</x:v>
      </x:c>
      <x:c r="B2964" s="1">
        <x:f>IFERROR(__xludf.DUMMYFUNCTION("""COMPUTED_VALUE"""),"Fúria oriental")</x:f>
      </x:c>
      <x:c r="C2964" s="1">
        <x:f>IFERROR(__xludf.DUMMYFUNCTION("""COMPUTED_VALUE"""),"1972")</x:f>
      </x:c>
    </x:row>
    <x:row r="2965" spans="1:10">
      <x:c r="A2965" s="1" t="s">
        <x:v>2974</x:v>
      </x:c>
      <x:c r="B2965" s="1">
        <x:f>IFERROR(__xludf.DUMMYFUNCTION("""COMPUTED_VALUE"""),"Fúria silenciosa")</x:f>
      </x:c>
      <x:c r="C2965" s="1">
        <x:f>IFERROR(__xludf.DUMMYFUNCTION("""COMPUTED_VALUE"""),"1982")</x:f>
      </x:c>
    </x:row>
    <x:row r="2966" spans="1:10">
      <x:c r="A2966" s="1" t="s">
        <x:v>2975</x:v>
      </x:c>
      <x:c r="B2966" s="1">
        <x:f>IFERROR(__xludf.DUMMYFUNCTION("""COMPUTED_VALUE"""),"Futuresport")</x:f>
      </x:c>
      <x:c r="C2966" s="1">
        <x:f>IFERROR(__xludf.DUMMYFUNCTION("""COMPUTED_VALUE"""),"1998")</x:f>
      </x:c>
    </x:row>
    <x:row r="2967" spans="1:10">
      <x:c r="A2967" s="1" t="s">
        <x:v>2976</x:v>
      </x:c>
      <x:c r="B2967" s="1">
        <x:f>IFERROR(__xludf.DUMMYFUNCTION("""COMPUTED_VALUE"""),"Gàbia")</x:f>
      </x:c>
      <x:c r="C2967" s="1">
        <x:f>IFERROR(__xludf.DUMMYFUNCTION("""COMPUTED_VALUE"""),"2018")</x:f>
      </x:c>
    </x:row>
    <x:row r="2968" spans="1:10">
      <x:c r="A2968" s="1" t="s">
        <x:v>2977</x:v>
      </x:c>
      <x:c r="B2968" s="1">
        <x:f>IFERROR(__xludf.DUMMYFUNCTION("""COMPUTED_VALUE"""),"Gabo, la creació de Gabriel García Márquez")</x:f>
      </x:c>
      <x:c r="C2968" s="1">
        <x:f>IFERROR(__xludf.DUMMYFUNCTION("""COMPUTED_VALUE"""),"2015")</x:f>
      </x:c>
    </x:row>
    <x:row r="2969" spans="1:10">
      <x:c r="A2969" s="1" t="s">
        <x:v>2978</x:v>
      </x:c>
      <x:c r="B2969" s="1">
        <x:f>IFERROR(__xludf.DUMMYFUNCTION("""COMPUTED_VALUE"""),"Gabrielle")</x:f>
      </x:c>
      <x:c r="C2969" s="1">
        <x:f>IFERROR(__xludf.DUMMYFUNCTION("""COMPUTED_VALUE"""),"2013")</x:f>
      </x:c>
    </x:row>
    <x:row r="2970" spans="1:10">
      <x:c r="A2970" s="1" t="s">
        <x:v>2979</x:v>
      </x:c>
      <x:c r="B2970" s="1">
        <x:f>IFERROR(__xludf.DUMMYFUNCTION("""COMPUTED_VALUE"""),"Gàdor i els taurons")</x:f>
      </x:c>
      <x:c r="C2970" s="1">
        <x:f>IFERROR(__xludf.DUMMYFUNCTION("""COMPUTED_VALUE"""),"2024")</x:f>
      </x:c>
    </x:row>
    <x:row r="2971" spans="1:10">
      <x:c r="A2971" s="1" t="s">
        <x:v>2980</x:v>
      </x:c>
      <x:c r="B2971" s="1">
        <x:f>IFERROR(__xludf.DUMMYFUNCTION("""COMPUTED_VALUE"""),"#N/A")</x:f>
      </x:c>
      <x:c r="C2971" s="1"/>
    </x:row>
    <x:row r="2972" spans="1:10">
      <x:c r="A2972" s="1" t="s">
        <x:v>2981</x:v>
      </x:c>
      <x:c r="B2972" s="1">
        <x:f>IFERROR(__xludf.DUMMYFUNCTION("""COMPUTED_VALUE"""),"Gairebé impossible")</x:f>
      </x:c>
      <x:c r="C2972" s="1">
        <x:f>IFERROR(__xludf.DUMMYFUNCTION("""COMPUTED_VALUE"""),"2019")</x:f>
      </x:c>
    </x:row>
    <x:row r="2973" spans="1:10">
      <x:c r="A2973" s="1" t="s">
        <x:v>2982</x:v>
      </x:c>
      <x:c r="B2973" s="1">
        <x:f>IFERROR(__xludf.DUMMYFUNCTION("""COMPUTED_VALUE"""),"Gala")</x:f>
      </x:c>
      <x:c r="C2973" s="1">
        <x:f>IFERROR(__xludf.DUMMYFUNCTION("""COMPUTED_VALUE"""),"2003")</x:f>
      </x:c>
    </x:row>
    <x:row r="2974" spans="1:10">
      <x:c r="A2974" s="1" t="s">
        <x:v>2983</x:v>
      </x:c>
      <x:c r="B2974" s="1">
        <x:f>IFERROR(__xludf.DUMMYFUNCTION("""COMPUTED_VALUE"""),"Gal·lípoli")</x:f>
      </x:c>
      <x:c r="C2974" s="1">
        <x:f>IFERROR(__xludf.DUMMYFUNCTION("""COMPUTED_VALUE"""),"1981")</x:f>
      </x:c>
    </x:row>
    <x:row r="2975" spans="1:10">
      <x:c r="A2975" s="1" t="s">
        <x:v>2984</x:v>
      </x:c>
      <x:c r="B2975" s="1">
        <x:f>IFERROR(__xludf.DUMMYFUNCTION("""COMPUTED_VALUE"""),"Game Over")</x:f>
      </x:c>
      <x:c r="C2975" s="1">
        <x:f>IFERROR(__xludf.DUMMYFUNCTION("""COMPUTED_VALUE"""),"2015")</x:f>
      </x:c>
    </x:row>
    <x:row r="2976" spans="1:10">
      <x:c r="A2976" s="1" t="s">
        <x:v>2985</x:v>
      </x:c>
      <x:c r="B2976" s="1">
        <x:f>IFERROR(__xludf.DUMMYFUNCTION("""COMPUTED_VALUE"""),"Gamer")</x:f>
      </x:c>
      <x:c r="C2976" s="1">
        <x:f>IFERROR(__xludf.DUMMYFUNCTION("""COMPUTED_VALUE"""),"2009")</x:f>
      </x:c>
    </x:row>
    <x:row r="2977" spans="1:10">
      <x:c r="A2977" s="1" t="s">
        <x:v>2986</x:v>
      </x:c>
      <x:c r="B2977" s="1">
        <x:f>IFERROR(__xludf.DUMMYFUNCTION("""COMPUTED_VALUE"""),"Gangs of Wasseypur 1a part")</x:f>
      </x:c>
      <x:c r="C2977" s="1">
        <x:f>IFERROR(__xludf.DUMMYFUNCTION("""COMPUTED_VALUE"""),"2012")</x:f>
      </x:c>
    </x:row>
    <x:row r="2978" spans="1:10">
      <x:c r="A2978" s="1" t="s">
        <x:v>2987</x:v>
      </x:c>
      <x:c r="B2978" s="1">
        <x:f>IFERROR(__xludf.DUMMYFUNCTION("""COMPUTED_VALUE"""),"Gangs of Wasseypur 2a part")</x:f>
      </x:c>
      <x:c r="C2978" s="1">
        <x:f>IFERROR(__xludf.DUMMYFUNCTION("""COMPUTED_VALUE"""),"2012")</x:f>
      </x:c>
    </x:row>
    <x:row r="2979" spans="1:10">
      <x:c r="A2979" s="1" t="s">
        <x:v>2988</x:v>
      </x:c>
      <x:c r="B2979" s="1">
        <x:f>IFERROR(__xludf.DUMMYFUNCTION("""COMPUTED_VALUE"""),"Gangster Squad: Brigada d'elit")</x:f>
      </x:c>
      <x:c r="C2979" s="1">
        <x:f>IFERROR(__xludf.DUMMYFUNCTION("""COMPUTED_VALUE"""),"2013")</x:f>
      </x:c>
    </x:row>
    <x:row r="2980" spans="1:10">
      <x:c r="A2980" s="1" t="s">
        <x:v>2989</x:v>
      </x:c>
      <x:c r="B2980" s="1">
        <x:f>IFERROR(__xludf.DUMMYFUNCTION("""COMPUTED_VALUE"""),"Garbo, l'home que va salvar el món")</x:f>
      </x:c>
      <x:c r="C2980" s="1">
        <x:f>IFERROR(__xludf.DUMMYFUNCTION("""COMPUTED_VALUE"""),"2009")</x:f>
      </x:c>
    </x:row>
    <x:row r="2981" spans="1:10">
      <x:c r="A2981" s="1" t="s">
        <x:v>2990</x:v>
      </x:c>
      <x:c r="B2981" s="1">
        <x:f>IFERROR(__xludf.DUMMYFUNCTION("""COMPUTED_VALUE"""),"Garfield 2")</x:f>
      </x:c>
      <x:c r="C2981" s="1">
        <x:f>IFERROR(__xludf.DUMMYFUNCTION("""COMPUTED_VALUE"""),"2006")</x:f>
      </x:c>
    </x:row>
    <x:row r="2982" spans="1:10">
      <x:c r="A2982" s="1" t="s">
        <x:v>2991</x:v>
      </x:c>
      <x:c r="B2982" s="1">
        <x:f>IFERROR(__xludf.DUMMYFUNCTION("""COMPUTED_VALUE"""),"Garfield: la pel·lícula")</x:f>
      </x:c>
      <x:c r="C2982" s="1">
        <x:f>IFERROR(__xludf.DUMMYFUNCTION("""COMPUTED_VALUE"""),"2024")</x:f>
      </x:c>
    </x:row>
    <x:row r="2983" spans="1:10">
      <x:c r="A2983" s="1" t="s">
        <x:v>2992</x:v>
      </x:c>
      <x:c r="B2983" s="1">
        <x:f>IFERROR(__xludf.DUMMYFUNCTION("""COMPUTED_VALUE"""),"Garrick")</x:f>
      </x:c>
      <x:c r="C2983" s="1">
        <x:f>IFERROR(__xludf.DUMMYFUNCTION("""COMPUTED_VALUE"""),"2008")</x:f>
      </x:c>
    </x:row>
    <x:row r="2984" spans="1:10">
      <x:c r="A2984" s="1" t="s">
        <x:v>2993</x:v>
      </x:c>
      <x:c r="B2984" s="1">
        <x:f>IFERROR(__xludf.DUMMYFUNCTION("""COMPUTED_VALUE"""),"Gat negre, gat blanc")</x:f>
      </x:c>
      <x:c r="C2984" s="1">
        <x:f>IFERROR(__xludf.DUMMYFUNCTION("""COMPUTED_VALUE"""),"1998")</x:f>
      </x:c>
    </x:row>
    <x:row r="2985" spans="1:10">
      <x:c r="A2985" s="1" t="s">
        <x:v>2994</x:v>
      </x:c>
      <x:c r="B2985" s="1">
        <x:f>IFERROR(__xludf.DUMMYFUNCTION("""COMPUTED_VALUE"""),"Gats. Un viatge de tornada a casa")</x:f>
      </x:c>
      <x:c r="C2985" s="1">
        <x:f>IFERROR(__xludf.DUMMYFUNCTION("""COMPUTED_VALUE"""),"2016")</x:f>
      </x:c>
    </x:row>
    <x:row r="2986" spans="1:10">
      <x:c r="A2986" s="1" t="s">
        <x:v>2995</x:v>
      </x:c>
      <x:c r="B2986" s="1">
        <x:f>IFERROR(__xludf.DUMMYFUNCTION("""COMPUTED_VALUE"""),"Gattaca")</x:f>
      </x:c>
      <x:c r="C2986" s="1">
        <x:f>IFERROR(__xludf.DUMMYFUNCTION("""COMPUTED_VALUE"""),"1997")</x:f>
      </x:c>
    </x:row>
    <x:row r="2987" spans="1:10">
      <x:c r="A2987" s="1" t="s">
        <x:v>2996</x:v>
      </x:c>
      <x:c r="B2987" s="1">
        <x:f>IFERROR(__xludf.DUMMYFUNCTION("""COMPUTED_VALUE"""),"Gaudí, l'arquitecte de Déu")</x:f>
      </x:c>
      <x:c r="C2987" s="1">
        <x:f>IFERROR(__xludf.DUMMYFUNCTION("""COMPUTED_VALUE"""),"2019")</x:f>
      </x:c>
    </x:row>
    <x:row r="2988" spans="1:10">
      <x:c r="A2988" s="1" t="s">
        <x:v>2997</x:v>
      </x:c>
      <x:c r="B2988" s="1">
        <x:f>IFERROR(__xludf.DUMMYFUNCTION("""COMPUTED_VALUE"""),"Gaza, entre la runa")</x:f>
      </x:c>
      <x:c r="C2988" s="1">
        <x:f>IFERROR(__xludf.DUMMYFUNCTION("""COMPUTED_VALUE"""),"2009")</x:f>
      </x:c>
    </x:row>
    <x:row r="2989" spans="1:10">
      <x:c r="A2989" s="1" t="s">
        <x:v>2998</x:v>
      </x:c>
      <x:c r="B2989" s="1">
        <x:f>IFERROR(__xludf.DUMMYFUNCTION("""COMPUTED_VALUE"""),"Gaza: entre dos focs")</x:f>
      </x:c>
      <x:c r="C2989" s="1">
        <x:f>IFERROR(__xludf.DUMMYFUNCTION("""COMPUTED_VALUE"""),"2019")</x:f>
      </x:c>
    </x:row>
    <x:row r="2990" spans="1:10">
      <x:c r="A2990" s="1" t="s">
        <x:v>2999</x:v>
      </x:c>
      <x:c r="B2990" s="1">
        <x:f>IFERROR(__xludf.DUMMYFUNCTION("""COMPUTED_VALUE"""),"Gegant")</x:f>
      </x:c>
      <x:c r="C2990" s="1">
        <x:f>IFERROR(__xludf.DUMMYFUNCTION("""COMPUTED_VALUE"""),"1956")</x:f>
      </x:c>
    </x:row>
    <x:row r="2991" spans="1:10">
      <x:c r="A2991" s="1" t="s">
        <x:v>3000</x:v>
      </x:c>
      <x:c r="B2991" s="1">
        <x:f>IFERROR(__xludf.DUMMYFUNCTION("""COMPUTED_VALUE"""),"Generació Kibbutz")</x:f>
      </x:c>
      <x:c r="C2991" s="1">
        <x:f>IFERROR(__xludf.DUMMYFUNCTION("""COMPUTED_VALUE"""),"2020")</x:f>
      </x:c>
    </x:row>
    <x:row r="2992" spans="1:10">
      <x:c r="A2992" s="1" t="s">
        <x:v>3001</x:v>
      </x:c>
      <x:c r="B2992" s="1">
        <x:f>IFERROR(__xludf.DUMMYFUNCTION("""COMPUTED_VALUE"""),"Generació Low Cost")</x:f>
      </x:c>
      <x:c r="C2992" s="1">
        <x:f>IFERROR(__xludf.DUMMYFUNCTION("""COMPUTED_VALUE"""),"2021")</x:f>
      </x:c>
    </x:row>
    <x:row r="2993" spans="1:10">
      <x:c r="A2993" s="1" t="s">
        <x:v>3002</x:v>
      </x:c>
      <x:c r="B2993" s="1">
        <x:f>IFERROR(__xludf.DUMMYFUNCTION("""COMPUTED_VALUE"""),"Genesis – Live")</x:f>
      </x:c>
      <x:c r="C2993" s="1">
        <x:f>IFERROR(__xludf.DUMMYFUNCTION("""COMPUTED_VALUE"""),"1973")</x:f>
      </x:c>
    </x:row>
    <x:row r="2994" spans="1:10">
      <x:c r="A2994" s="1" t="s">
        <x:v>3003</x:v>
      </x:c>
      <x:c r="B2994" s="1">
        <x:f>IFERROR(__xludf.DUMMYFUNCTION("""COMPUTED_VALUE"""),"Genesis: In Concert")</x:f>
      </x:c>
      <x:c r="C2994" s="1">
        <x:f>IFERROR(__xludf.DUMMYFUNCTION("""COMPUTED_VALUE"""),"1977")</x:f>
      </x:c>
    </x:row>
    <x:row r="2995" spans="1:10">
      <x:c r="A2995" s="1" t="s">
        <x:v>3004</x:v>
      </x:c>
      <x:c r="B2995" s="1">
        <x:f>IFERROR(__xludf.DUMMYFUNCTION("""COMPUTED_VALUE"""),"Genets de la justícia")</x:f>
      </x:c>
      <x:c r="C2995" s="1">
        <x:f>IFERROR(__xludf.DUMMYFUNCTION("""COMPUTED_VALUE"""),"2020")</x:f>
      </x:c>
    </x:row>
    <x:row r="2996" spans="1:10">
      <x:c r="A2996" s="1" t="s">
        <x:v>3005</x:v>
      </x:c>
      <x:c r="B2996" s="1">
        <x:f>IFERROR(__xludf.DUMMYFUNCTION("""COMPUTED_VALUE"""),"Gent de confiança")</x:f>
      </x:c>
      <x:c r="C2996" s="1">
        <x:f>IFERROR(__xludf.DUMMYFUNCTION("""COMPUTED_VALUE"""),"2004")</x:f>
      </x:c>
    </x:row>
    <x:row r="2997" spans="1:10">
      <x:c r="A2997" s="1" t="s">
        <x:v>3006</x:v>
      </x:c>
      <x:c r="B2997" s="1">
        <x:f>IFERROR(__xludf.DUMMYFUNCTION("""COMPUTED_VALUE"""),"Gent poc corrent")</x:f>
      </x:c>
      <x:c r="C2997" s="1">
        <x:f>IFERROR(__xludf.DUMMYFUNCTION("""COMPUTED_VALUE"""),"2005")</x:f>
      </x:c>
    </x:row>
    <x:row r="2998" spans="1:10">
      <x:c r="A2998" s="1" t="s">
        <x:v>3007</x:v>
      </x:c>
      <x:c r="B2998" s="1">
        <x:f>IFERROR(__xludf.DUMMYFUNCTION("""COMPUTED_VALUE"""),"Gent que ve i bah")</x:f>
      </x:c>
      <x:c r="C2998" s="1">
        <x:f>IFERROR(__xludf.DUMMYFUNCTION("""COMPUTED_VALUE"""),"2018")</x:f>
      </x:c>
    </x:row>
    <x:row r="2999" spans="1:10">
      <x:c r="A2999" s="1" t="s">
        <x:v>3008</x:v>
      </x:c>
      <x:c r="B2999" s="1">
        <x:f>IFERROR(__xludf.DUMMYFUNCTION("""COMPUTED_VALUE"""),"George i el drac")</x:f>
      </x:c>
      <x:c r="C2999" s="1">
        <x:f>IFERROR(__xludf.DUMMYFUNCTION("""COMPUTED_VALUE"""),"2004")</x:f>
      </x:c>
    </x:row>
    <x:row r="3000" spans="1:10">
      <x:c r="A3000" s="1" t="s">
        <x:v>3009</x:v>
      </x:c>
      <x:c r="B3000" s="1">
        <x:f>IFERROR(__xludf.DUMMYFUNCTION("""COMPUTED_VALUE"""),"Geotempesta")</x:f>
      </x:c>
      <x:c r="C3000" s="1">
        <x:f>IFERROR(__xludf.DUMMYFUNCTION("""COMPUTED_VALUE"""),"2017")</x:f>
      </x:c>
    </x:row>
    <x:row r="3001" spans="1:10">
      <x:c r="A3001" s="1" t="s">
        <x:v>3010</x:v>
      </x:c>
      <x:c r="B3001" s="1">
        <x:f>IFERROR(__xludf.DUMMYFUNCTION("""COMPUTED_VALUE"""),"Gerani a l'hivern")</x:f>
      </x:c>
      <x:c r="C3001" s="1">
        <x:f>IFERROR(__xludf.DUMMYFUNCTION("""COMPUTED_VALUE"""),"1987")</x:f>
      </x:c>
    </x:row>
    <x:row r="3002" spans="1:10">
      <x:c r="A3002" s="1" t="s">
        <x:v>3011</x:v>
      </x:c>
      <x:c r="B3002" s="1">
        <x:f>IFERROR(__xludf.DUMMYFUNCTION("""COMPUTED_VALUE"""),"Germà ós")</x:f>
      </x:c>
      <x:c r="C3002" s="1">
        <x:f>IFERROR(__xludf.DUMMYFUNCTION("""COMPUTED_VALUE"""),"2003")</x:f>
      </x:c>
    </x:row>
    <x:row r="3003" spans="1:10">
      <x:c r="A3003" s="1" t="s">
        <x:v>3012</x:v>
      </x:c>
      <x:c r="B3003" s="1">
        <x:f>IFERROR(__xludf.DUMMYFUNCTION("""COMPUTED_VALUE"""),"Germandat de sang")</x:f>
      </x:c>
      <x:c r="C3003" s="1">
        <x:f>IFERROR(__xludf.DUMMYFUNCTION("""COMPUTED_VALUE"""),"2009")</x:f>
      </x:c>
    </x:row>
    <x:row r="3004" spans="1:10">
      <x:c r="A3004" s="1" t="s">
        <x:v>3013</x:v>
      </x:c>
      <x:c r="B3004" s="1">
        <x:f>IFERROR(__xludf.DUMMYFUNCTION("""COMPUTED_VALUE"""),"Germanes")</x:f>
      </x:c>
      <x:c r="C3004" s="1">
        <x:f>IFERROR(__xludf.DUMMYFUNCTION("""COMPUTED_VALUE"""),"2012")</x:f>
      </x:c>
    </x:row>
    <x:row r="3005" spans="1:10">
      <x:c r="A3005" s="1" t="s">
        <x:v>3014</x:v>
      </x:c>
      <x:c r="B3005" s="1">
        <x:f>IFERROR(__xludf.DUMMYFUNCTION("""COMPUTED_VALUE"""),"Germanes de sang")</x:f>
      </x:c>
      <x:c r="C3005" s="1">
        <x:f>IFERROR(__xludf.DUMMYFUNCTION("""COMPUTED_VALUE"""),"2001")</x:f>
      </x:c>
    </x:row>
    <x:row r="3006" spans="1:10">
      <x:c r="A3006" s="1" t="s">
        <x:v>3015</x:v>
      </x:c>
      <x:c r="B3006" s="1">
        <x:f>IFERROR(__xludf.DUMMYFUNCTION("""COMPUTED_VALUE"""),"Germanes de sang")</x:f>
      </x:c>
      <x:c r="C3006" s="1">
        <x:f>IFERROR(__xludf.DUMMYFUNCTION("""COMPUTED_VALUE"""),"2014")</x:f>
      </x:c>
    </x:row>
    <x:row r="3007" spans="1:10">
      <x:c r="A3007" s="1" t="s">
        <x:v>3016</x:v>
      </x:c>
      <x:c r="B3007" s="1">
        <x:f>IFERROR(__xludf.DUMMYFUNCTION("""COMPUTED_VALUE"""),"Germanes per sorpresa")</x:f>
      </x:c>
      <x:c r="C3007" s="1">
        <x:f>IFERROR(__xludf.DUMMYFUNCTION("""COMPUTED_VALUE"""),"2018")</x:f>
      </x:c>
    </x:row>
    <x:row r="3008" spans="1:10">
      <x:c r="A3008" s="1" t="s">
        <x:v>3017</x:v>
      </x:c>
      <x:c r="B3008" s="1">
        <x:f>IFERROR(__xludf.DUMMYFUNCTION("""COMPUTED_VALUE"""),"Germans de sang")</x:f>
      </x:c>
      <x:c r="C3008" s="1">
        <x:f>IFERROR(__xludf.DUMMYFUNCTION("""COMPUTED_VALUE"""),"1995")</x:f>
      </x:c>
    </x:row>
    <x:row r="3009" spans="1:10">
      <x:c r="A3009" s="1" t="s">
        <x:v>3018</x:v>
      </x:c>
      <x:c r="B3009" s="1">
        <x:f>IFERROR(__xludf.DUMMYFUNCTION("""COMPUTED_VALUE"""),"Germans per pebrots")</x:f>
      </x:c>
      <x:c r="C3009" s="1">
        <x:f>IFERROR(__xludf.DUMMYFUNCTION("""COMPUTED_VALUE"""),"2008")</x:f>
      </x:c>
    </x:row>
    <x:row r="3010" spans="1:10">
      <x:c r="A3010" s="1" t="s">
        <x:v>3019</x:v>
      </x:c>
      <x:c r="B3010" s="1">
        <x:f>IFERROR(__xludf.DUMMYFUNCTION("""COMPUTED_VALUE"""),"Gernika")</x:f>
      </x:c>
      <x:c r="C3010" s="1">
        <x:f>IFERROR(__xludf.DUMMYFUNCTION("""COMPUTED_VALUE"""),"2016")</x:f>
      </x:c>
    </x:row>
    <x:row r="3011" spans="1:10">
      <x:c r="A3011" s="1" t="s">
        <x:v>3020</x:v>
      </x:c>
      <x:c r="B3011" s="1">
        <x:f>IFERROR(__xludf.DUMMYFUNCTION("""COMPUTED_VALUE"""),"Geronimo")</x:f>
      </x:c>
      <x:c r="C3011" s="1">
        <x:f>IFERROR(__xludf.DUMMYFUNCTION("""COMPUTED_VALUE"""),"1962")</x:f>
      </x:c>
    </x:row>
    <x:row r="3012" spans="1:10">
      <x:c r="A3012" s="1" t="s">
        <x:v>3021</x:v>
      </x:c>
      <x:c r="B3012" s="1">
        <x:f>IFERROR(__xludf.DUMMYFUNCTION("""COMPUTED_VALUE"""),"Get Carter: Assassí implacable")</x:f>
      </x:c>
      <x:c r="C3012" s="1">
        <x:f>IFERROR(__xludf.DUMMYFUNCTION("""COMPUTED_VALUE"""),"2000")</x:f>
      </x:c>
    </x:row>
    <x:row r="3013" spans="1:10">
      <x:c r="A3013" s="1" t="s">
        <x:v>3022</x:v>
      </x:c>
      <x:c r="B3013" s="1">
        <x:f>IFERROR(__xludf.DUMMYFUNCTION("""COMPUTED_VALUE"""),"Ghost")</x:f>
      </x:c>
      <x:c r="C3013" s="1">
        <x:f>IFERROR(__xludf.DUMMYFUNCTION("""COMPUTED_VALUE"""),"1990")</x:f>
      </x:c>
    </x:row>
    <x:row r="3014" spans="1:10">
      <x:c r="A3014" s="1" t="s">
        <x:v>3023</x:v>
      </x:c>
      <x:c r="B3014" s="1">
        <x:f>IFERROR(__xludf.DUMMYFUNCTION("""COMPUTED_VALUE"""),"Ghost in the Shell")</x:f>
      </x:c>
      <x:c r="C3014" s="1">
        <x:f>IFERROR(__xludf.DUMMYFUNCTION("""COMPUTED_VALUE"""),"1995")</x:f>
      </x:c>
    </x:row>
    <x:row r="3015" spans="1:10">
      <x:c r="A3015" s="1" t="s">
        <x:v>3024</x:v>
      </x:c>
      <x:c r="B3015" s="1">
        <x:f>IFERROR(__xludf.DUMMYFUNCTION("""COMPUTED_VALUE"""),"Ghost in the Shell 2 Innocència")</x:f>
      </x:c>
      <x:c r="C3015" s="1">
        <x:f>IFERROR(__xludf.DUMMYFUNCTION("""COMPUTED_VALUE"""),"2004")</x:f>
      </x:c>
    </x:row>
    <x:row r="3016" spans="1:10">
      <x:c r="A3016" s="1" t="s">
        <x:v>3025</x:v>
      </x:c>
      <x:c r="B3016" s="1">
        <x:f>IFERROR(__xludf.DUMMYFUNCTION("""COMPUTED_VALUE"""),"Ghost in the Shell 2.0")</x:f>
      </x:c>
      <x:c r="C3016" s="1">
        <x:f>IFERROR(__xludf.DUMMYFUNCTION("""COMPUTED_VALUE"""),"2008")</x:f>
      </x:c>
    </x:row>
    <x:row r="3017" spans="1:10">
      <x:c r="A3017" s="1" t="s">
        <x:v>3026</x:v>
      </x:c>
      <x:c r="B3017" s="1">
        <x:f>IFERROR(__xludf.DUMMYFUNCTION("""COMPUTED_VALUE"""),"Ghost Rider II El motorista fantasma, Esperit de venjança")</x:f>
      </x:c>
      <x:c r="C3017" s="1">
        <x:f>IFERROR(__xludf.DUMMYFUNCTION("""COMPUTED_VALUE"""),"2011")</x:f>
      </x:c>
    </x:row>
    <x:row r="3018" spans="1:10">
      <x:c r="A3018" s="1" t="s">
        <x:v>3027</x:v>
      </x:c>
      <x:c r="B3018" s="1">
        <x:f>IFERROR(__xludf.DUMMYFUNCTION("""COMPUTED_VALUE"""),"Ghost ship: vaixell fantasma")</x:f>
      </x:c>
      <x:c r="C3018" s="1">
        <x:f>IFERROR(__xludf.DUMMYFUNCTION("""COMPUTED_VALUE"""),"2002")</x:f>
      </x:c>
    </x:row>
    <x:row r="3019" spans="1:10">
      <x:c r="A3019" s="1" t="s">
        <x:v>3028</x:v>
      </x:c>
      <x:c r="B3019" s="1">
        <x:f>IFERROR(__xludf.DUMMYFUNCTION("""COMPUTED_VALUE"""),"Ghost World")</x:f>
      </x:c>
      <x:c r="C3019" s="1">
        <x:f>IFERROR(__xludf.DUMMYFUNCTION("""COMPUTED_VALUE"""),"2001")</x:f>
      </x:c>
    </x:row>
    <x:row r="3020" spans="1:10">
      <x:c r="A3020" s="1" t="s">
        <x:v>3029</x:v>
      </x:c>
      <x:c r="B3020" s="1">
        <x:f>IFERROR(__xludf.DUMMYFUNCTION("""COMPUTED_VALUE"""),"Ghostlight [VOSC]")</x:f>
      </x:c>
      <x:c r="C3020" s="1">
        <x:f>IFERROR(__xludf.DUMMYFUNCTION("""COMPUTED_VALUE"""),"2024")</x:f>
      </x:c>
    </x:row>
    <x:row r="3021" spans="1:10">
      <x:c r="A3021" s="1" t="s">
        <x:v>3030</x:v>
      </x:c>
      <x:c r="B3021" s="1">
        <x:f>IFERROR(__xludf.DUMMYFUNCTION("""COMPUTED_VALUE"""),"Giallo")</x:f>
      </x:c>
      <x:c r="C3021" s="1">
        <x:f>IFERROR(__xludf.DUMMYFUNCTION("""COMPUTED_VALUE"""),"2009")</x:f>
      </x:c>
    </x:row>
    <x:row r="3022" spans="1:10">
      <x:c r="A3022" s="1" t="s">
        <x:v>3031</x:v>
      </x:c>
      <x:c r="B3022" s="1">
        <x:f>IFERROR(__xludf.DUMMYFUNCTION("""COMPUTED_VALUE"""),"Gilda")</x:f>
      </x:c>
      <x:c r="C3022" s="1">
        <x:f>IFERROR(__xludf.DUMMYFUNCTION("""COMPUTED_VALUE"""),"1946")</x:f>
      </x:c>
    </x:row>
    <x:row r="3023" spans="1:10">
      <x:c r="A3023" s="1" t="s">
        <x:v>3032</x:v>
      </x:c>
      <x:c r="B3023" s="1">
        <x:f>IFERROR(__xludf.DUMMYFUNCTION("""COMPUTED_VALUE"""),"Ginger Snaps")</x:f>
      </x:c>
      <x:c r="C3023" s="1">
        <x:f>IFERROR(__xludf.DUMMYFUNCTION("""COMPUTED_VALUE"""),"2001")</x:f>
      </x:c>
    </x:row>
    <x:row r="3024" spans="1:10">
      <x:c r="A3024" s="1" t="s">
        <x:v>3033</x:v>
      </x:c>
      <x:c r="B3024" s="1">
        <x:f>IFERROR(__xludf.DUMMYFUNCTION("""COMPUTED_VALUE"""),"Gintama")</x:f>
      </x:c>
      <x:c r="C3024" s="1">
        <x:f>IFERROR(__xludf.DUMMYFUNCTION("""COMPUTED_VALUE"""),"2017")</x:f>
      </x:c>
    </x:row>
    <x:row r="3025" spans="1:10">
      <x:c r="A3025" s="1" t="s">
        <x:v>3034</x:v>
      </x:c>
      <x:c r="B3025" s="1">
        <x:f>IFERROR(__xludf.DUMMYFUNCTION("""COMPUTED_VALUE"""),"Gira-sols silvestres")</x:f>
      </x:c>
      <x:c r="C3025" s="1">
        <x:f>IFERROR(__xludf.DUMMYFUNCTION("""COMPUTED_VALUE"""),"2022")</x:f>
      </x:c>
    </x:row>
    <x:row r="3026" spans="1:10">
      <x:c r="A3026" s="1" t="s">
        <x:v>3035</x:v>
      </x:c>
      <x:c r="B3026" s="1">
        <x:f>IFERROR(__xludf.DUMMYFUNCTION("""COMPUTED_VALUE"""),"Girl")</x:f>
      </x:c>
      <x:c r="C3026" s="1">
        <x:f>IFERROR(__xludf.DUMMYFUNCTION("""COMPUTED_VALUE"""),"2018")</x:f>
      </x:c>
    </x:row>
    <x:row r="3027" spans="1:10">
      <x:c r="A3027" s="1" t="s">
        <x:v>3036</x:v>
      </x:c>
      <x:c r="B3027" s="1">
        <x:f>IFERROR(__xludf.DUMMYFUNCTION("""COMPUTED_VALUE"""),"Gisaku")</x:f>
      </x:c>
      <x:c r="C3027" s="1">
        <x:f>IFERROR(__xludf.DUMMYFUNCTION("""COMPUTED_VALUE"""),"2005")</x:f>
      </x:c>
    </x:row>
    <x:row r="3028" spans="1:10">
      <x:c r="A3028" s="1" t="s">
        <x:v>3037</x:v>
      </x:c>
      <x:c r="B3028" s="1">
        <x:f>IFERROR(__xludf.DUMMYFUNCTION("""COMPUTED_VALUE"""),"Gladiator II")</x:f>
      </x:c>
      <x:c r="C3028" s="1">
        <x:f>IFERROR(__xludf.DUMMYFUNCTION("""COMPUTED_VALUE"""),"2024")</x:f>
      </x:c>
    </x:row>
    <x:row r="3029" spans="1:10">
      <x:c r="A3029" s="1" t="s">
        <x:v>3038</x:v>
      </x:c>
      <x:c r="B3029" s="1">
        <x:f>IFERROR(__xludf.DUMMYFUNCTION("""COMPUTED_VALUE"""),"Glimmer man")</x:f>
      </x:c>
      <x:c r="C3029" s="1">
        <x:f>IFERROR(__xludf.DUMMYFUNCTION("""COMPUTED_VALUE"""),"1996")</x:f>
      </x:c>
    </x:row>
    <x:row r="3030" spans="1:10">
      <x:c r="A3030" s="1" t="s">
        <x:v>3039</x:v>
      </x:c>
      <x:c r="B3030" s="1">
        <x:f>IFERROR(__xludf.DUMMYFUNCTION("""COMPUTED_VALUE"""),"Gloria")</x:f>
      </x:c>
      <x:c r="C3030" s="1">
        <x:f>IFERROR(__xludf.DUMMYFUNCTION("""COMPUTED_VALUE"""),"1999")</x:f>
      </x:c>
    </x:row>
    <x:row r="3031" spans="1:10">
      <x:c r="A3031" s="1" t="s">
        <x:v>3040</x:v>
      </x:c>
      <x:c r="B3031" s="1">
        <x:f>IFERROR(__xludf.DUMMYFUNCTION("""COMPUTED_VALUE"""),"Glups!!")</x:f>
      </x:c>
      <x:c r="C3031" s="1">
        <x:f>IFERROR(__xludf.DUMMYFUNCTION("""COMPUTED_VALUE"""),"1985")</x:f>
      </x:c>
    </x:row>
    <x:row r="3032" spans="1:10">
      <x:c r="A3032" s="1" t="s">
        <x:v>3041</x:v>
      </x:c>
      <x:c r="B3032" s="1">
        <x:f>IFERROR(__xludf.DUMMYFUNCTION("""COMPUTED_VALUE"""),"Godzilla - 1954")</x:f>
      </x:c>
      <x:c r="C3032" s="1">
        <x:f>IFERROR(__xludf.DUMMYFUNCTION("""COMPUTED_VALUE"""),"1954")</x:f>
      </x:c>
    </x:row>
    <x:row r="3033" spans="1:10">
      <x:c r="A3033" s="1" t="s">
        <x:v>3042</x:v>
      </x:c>
      <x:c r="B3033" s="1">
        <x:f>IFERROR(__xludf.DUMMYFUNCTION("""COMPUTED_VALUE"""),"Godzilla")</x:f>
      </x:c>
      <x:c r="C3033" s="1">
        <x:f>IFERROR(__xludf.DUMMYFUNCTION("""COMPUTED_VALUE"""),"1998")</x:f>
      </x:c>
    </x:row>
    <x:row r="3034" spans="1:10">
      <x:c r="A3034" s="1" t="s">
        <x:v>3043</x:v>
      </x:c>
      <x:c r="B3034" s="1">
        <x:f>IFERROR(__xludf.DUMMYFUNCTION("""COMPUTED_VALUE"""),"Godzilla")</x:f>
      </x:c>
      <x:c r="C3034" s="1">
        <x:f>IFERROR(__xludf.DUMMYFUNCTION("""COMPUTED_VALUE"""),"2014")</x:f>
      </x:c>
    </x:row>
    <x:row r="3035" spans="1:10">
      <x:c r="A3035" s="1" t="s">
        <x:v>3044</x:v>
      </x:c>
      <x:c r="B3035" s="1">
        <x:f>IFERROR(__xludf.DUMMYFUNCTION("""COMPUTED_VALUE"""),"Godzilla contra Gigan")</x:f>
      </x:c>
      <x:c r="C3035" s="1">
        <x:f>IFERROR(__xludf.DUMMYFUNCTION("""COMPUTED_VALUE"""),"1972")</x:f>
      </x:c>
    </x:row>
    <x:row r="3036" spans="1:10">
      <x:c r="A3036" s="1" t="s">
        <x:v>3045</x:v>
      </x:c>
      <x:c r="B3036" s="1">
        <x:f>IFERROR(__xludf.DUMMYFUNCTION("""COMPUTED_VALUE"""),"Godzilla contra King Guidorah")</x:f>
      </x:c>
      <x:c r="C3036" s="1">
        <x:f>IFERROR(__xludf.DUMMYFUNCTION("""COMPUTED_VALUE"""),"1991")</x:f>
      </x:c>
    </x:row>
    <x:row r="3037" spans="1:10">
      <x:c r="A3037" s="1" t="s">
        <x:v>3046</x:v>
      </x:c>
      <x:c r="B3037" s="1">
        <x:f>IFERROR(__xludf.DUMMYFUNCTION("""COMPUTED_VALUE"""),"Godzilla contra Mothra")</x:f>
      </x:c>
      <x:c r="C3037" s="1">
        <x:f>IFERROR(__xludf.DUMMYFUNCTION("""COMPUTED_VALUE"""),"1992")</x:f>
      </x:c>
    </x:row>
    <x:row r="3038" spans="1:10">
      <x:c r="A3038" s="1" t="s">
        <x:v>3047</x:v>
      </x:c>
      <x:c r="B3038" s="1">
        <x:f>IFERROR(__xludf.DUMMYFUNCTION("""COMPUTED_VALUE"""),"Gog")</x:f>
      </x:c>
      <x:c r="C3038" s="1">
        <x:f>IFERROR(__xludf.DUMMYFUNCTION("""COMPUTED_VALUE"""),"1954")</x:f>
      </x:c>
    </x:row>
    <x:row r="3039" spans="1:10">
      <x:c r="A3039" s="1" t="s">
        <x:v>3048</x:v>
      </x:c>
      <x:c r="B3039" s="1">
        <x:f>IFERROR(__xludf.DUMMYFUNCTION("""COMPUTED_VALUE"""),"Gold, la gran estafa")</x:f>
      </x:c>
      <x:c r="C3039" s="1">
        <x:f>IFERROR(__xludf.DUMMYFUNCTION("""COMPUTED_VALUE"""),"2016")</x:f>
      </x:c>
    </x:row>
    <x:row r="3040" spans="1:10">
      <x:c r="A3040" s="1" t="s">
        <x:v>3049</x:v>
      </x:c>
      <x:c r="B3040" s="1">
        <x:f>IFERROR(__xludf.DUMMYFUNCTION("""COMPUTED_VALUE"""),"GoldenEye")</x:f>
      </x:c>
      <x:c r="C3040" s="1">
        <x:f>IFERROR(__xludf.DUMMYFUNCTION("""COMPUTED_VALUE"""),"1995")</x:f>
      </x:c>
    </x:row>
    <x:row r="3041" spans="1:10">
      <x:c r="A3041" s="1" t="s">
        <x:v>3050</x:v>
      </x:c>
      <x:c r="B3041" s="1">
        <x:f>IFERROR(__xludf.DUMMYFUNCTION("""COMPUTED_VALUE"""),"Goldfinger")</x:f>
      </x:c>
      <x:c r="C3041" s="1">
        <x:f>IFERROR(__xludf.DUMMYFUNCTION("""COMPUTED_VALUE"""),"1964")</x:f>
      </x:c>
    </x:row>
    <x:row r="3042" spans="1:10">
      <x:c r="A3042" s="1" t="s">
        <x:v>3051</x:v>
      </x:c>
      <x:c r="B3042" s="1">
        <x:f>IFERROR(__xludf.DUMMYFUNCTION("""COMPUTED_VALUE"""),"Golfus de Roma")</x:f>
      </x:c>
      <x:c r="C3042" s="1">
        <x:f>IFERROR(__xludf.DUMMYFUNCTION("""COMPUTED_VALUE"""),"1966")</x:f>
      </x:c>
    </x:row>
    <x:row r="3043" spans="1:10">
      <x:c r="A3043" s="1" t="s">
        <x:v>3052</x:v>
      </x:c>
      <x:c r="B3043" s="1">
        <x:f>IFERROR(__xludf.DUMMYFUNCTION("""COMPUTED_VALUE"""),"Goliath")</x:f>
      </x:c>
      <x:c r="C3043" s="1">
        <x:f>IFERROR(__xludf.DUMMYFUNCTION("""COMPUTED_VALUE"""),"2022")</x:f>
      </x:c>
    </x:row>
    <x:row r="3044" spans="1:10">
      <x:c r="A3044" s="1" t="s">
        <x:v>3053</x:v>
      </x:c>
      <x:c r="B3044" s="1">
        <x:f>IFERROR(__xludf.DUMMYFUNCTION("""COMPUTED_VALUE"""),"Gomorra")</x:f>
      </x:c>
      <x:c r="C3044" s="1">
        <x:f>IFERROR(__xludf.DUMMYFUNCTION("""COMPUTED_VALUE"""),"2008")</x:f>
      </x:c>
    </x:row>
    <x:row r="3045" spans="1:10">
      <x:c r="A3045" s="1" t="s">
        <x:v>3054</x:v>
      </x:c>
      <x:c r="B3045" s="1">
        <x:f>IFERROR(__xludf.DUMMYFUNCTION("""COMPUTED_VALUE"""),"Good")</x:f>
      </x:c>
      <x:c r="C3045" s="1">
        <x:f>IFERROR(__xludf.DUMMYFUNCTION("""COMPUTED_VALUE"""),"2008")</x:f>
      </x:c>
    </x:row>
    <x:row r="3046" spans="1:10">
      <x:c r="A3046" s="1" t="s">
        <x:v>3055</x:v>
      </x:c>
      <x:c r="B3046" s="1">
        <x:f>IFERROR(__xludf.DUMMYFUNCTION("""COMPUTED_VALUE"""),"Goodbye Ringo")</x:f>
      </x:c>
      <x:c r="C3046" s="1">
        <x:f>IFERROR(__xludf.DUMMYFUNCTION("""COMPUTED_VALUE"""),"2018")</x:f>
      </x:c>
    </x:row>
    <x:row r="3047" spans="1:10">
      <x:c r="A3047" s="1" t="s">
        <x:v>3056</x:v>
      </x:c>
      <x:c r="B3047" s="1">
        <x:f>IFERROR(__xludf.DUMMYFUNCTION("""COMPUTED_VALUE"""),"Goodbye Scotland")</x:f>
      </x:c>
      <x:c r="C3047" s="1">
        <x:f>IFERROR(__xludf.DUMMYFUNCTION("""COMPUTED_VALUE"""),"2014")</x:f>
      </x:c>
    </x:row>
    <x:row r="3048" spans="1:10">
      <x:c r="A3048" s="1" t="s">
        <x:v>3057</x:v>
      </x:c>
      <x:c r="B3048" s="1">
        <x:f>IFERROR(__xludf.DUMMYFUNCTION("""COMPUTED_VALUE"""),"Google i el cervell mundial")</x:f>
      </x:c>
      <x:c r="C3048" s="1">
        <x:f>IFERROR(__xludf.DUMMYFUNCTION("""COMPUTED_VALUE"""),"2013")</x:f>
      </x:c>
    </x:row>
    <x:row r="3049" spans="1:10">
      <x:c r="A3049" s="1" t="s">
        <x:v>3058</x:v>
      </x:c>
      <x:c r="B3049" s="1">
        <x:f>IFERROR(__xludf.DUMMYFUNCTION("""COMPUTED_VALUE"""),"Goomer")</x:f>
      </x:c>
      <x:c r="C3049" s="1">
        <x:f>IFERROR(__xludf.DUMMYFUNCTION("""COMPUTED_VALUE"""),"1999")</x:f>
      </x:c>
    </x:row>
    <x:row r="3050" spans="1:10">
      <x:c r="A3050" s="1" t="s">
        <x:v>3059</x:v>
      </x:c>
      <x:c r="B3050" s="1">
        <x:f>IFERROR(__xludf.DUMMYFUNCTION("""COMPUTED_VALUE"""),"Goril·les en la boira")</x:f>
      </x:c>
      <x:c r="C3050" s="1">
        <x:f>IFERROR(__xludf.DUMMYFUNCTION("""COMPUTED_VALUE"""),"1988")</x:f>
      </x:c>
    </x:row>
    <x:row r="3051" spans="1:10">
      <x:c r="A3051" s="1" t="s">
        <x:v>3060</x:v>
      </x:c>
      <x:c r="B3051" s="1">
        <x:f>IFERROR(__xludf.DUMMYFUNCTION("""COMPUTED_VALUE"""),"Gorky Park")</x:f>
      </x:c>
      <x:c r="C3051" s="1">
        <x:f>IFERROR(__xludf.DUMMYFUNCTION("""COMPUTED_VALUE"""),"1983")</x:f>
      </x:c>
    </x:row>
    <x:row r="3052" spans="1:10">
      <x:c r="A3052" s="1" t="s">
        <x:v>3061</x:v>
      </x:c>
      <x:c r="B3052" s="1">
        <x:f>IFERROR(__xludf.DUMMYFUNCTION("""COMPUTED_VALUE"""),"Gosford Park")</x:f>
      </x:c>
      <x:c r="C3052" s="1">
        <x:f>IFERROR(__xludf.DUMMYFUNCTION("""COMPUTED_VALUE"""),"2001")</x:f>
      </x:c>
    </x:row>
    <x:row r="3053" spans="1:10">
      <x:c r="A3053" s="1" t="s">
        <x:v>3062</x:v>
      </x:c>
      <x:c r="B3053" s="1">
        <x:f>IFERROR(__xludf.DUMMYFUNCTION("""COMPUTED_VALUE"""),"Goshu, el violoncel·lista")</x:f>
      </x:c>
      <x:c r="C3053" s="1">
        <x:f>IFERROR(__xludf.DUMMYFUNCTION("""COMPUTED_VALUE"""),"1982")</x:f>
      </x:c>
    </x:row>
    <x:row r="3054" spans="1:10">
      <x:c r="A3054" s="1" t="s">
        <x:v>3063</x:v>
      </x:c>
      <x:c r="B3054" s="1">
        <x:f>IFERROR(__xludf.DUMMYFUNCTION("""COMPUTED_VALUE"""),"Gossos")</x:f>
      </x:c>
      <x:c r="C3054" s="1">
        <x:f>IFERROR(__xludf.DUMMYFUNCTION("""COMPUTED_VALUE"""),"2002")</x:f>
      </x:c>
    </x:row>
    <x:row r="3055" spans="1:10">
      <x:c r="A3055" s="1" t="s">
        <x:v>3064</x:v>
      </x:c>
      <x:c r="B3055" s="1">
        <x:f>IFERROR(__xludf.DUMMYFUNCTION("""COMPUTED_VALUE"""),"Gossos a l'espai")</x:f>
      </x:c>
      <x:c r="C3055" s="1">
        <x:f>IFERROR(__xludf.DUMMYFUNCTION("""COMPUTED_VALUE"""),"2010")</x:f>
      </x:c>
    </x:row>
    <x:row r="3056" spans="1:10">
      <x:c r="A3056" s="1" t="s">
        <x:v>3065</x:v>
      </x:c>
      <x:c r="B3056" s="1">
        <x:f>IFERROR(__xludf.DUMMYFUNCTION("""COMPUTED_VALUE"""),"Gossos assassins")</x:f>
      </x:c>
      <x:c r="C3056" s="1">
        <x:f>IFERROR(__xludf.DUMMYFUNCTION("""COMPUTED_VALUE"""),"2006")</x:f>
      </x:c>
    </x:row>
    <x:row r="3057" spans="1:10">
      <x:c r="A3057" s="1" t="s">
        <x:v>3066</x:v>
      </x:c>
      <x:c r="B3057" s="1">
        <x:f>IFERROR(__xludf.DUMMYFUNCTION("""COMPUTED_VALUE"""),"Gossos de l'espai")</x:f>
      </x:c>
      <x:c r="C3057" s="1">
        <x:f>IFERROR(__xludf.DUMMYFUNCTION("""COMPUTED_VALUE"""),"2010")</x:f>
      </x:c>
    </x:row>
    <x:row r="3058" spans="1:10">
      <x:c r="A3058" s="1" t="s">
        <x:v>3067</x:v>
      </x:c>
      <x:c r="B3058" s="1">
        <x:f>IFERROR(__xludf.DUMMYFUNCTION("""COMPUTED_VALUE"""),"Gossos de palla")</x:f>
      </x:c>
      <x:c r="C3058" s="1">
        <x:f>IFERROR(__xludf.DUMMYFUNCTION("""COMPUTED_VALUE"""),"2011")</x:f>
      </x:c>
    </x:row>
    <x:row r="3059" spans="1:10">
      <x:c r="A3059" s="1" t="s">
        <x:v>3068</x:v>
      </x:c>
      <x:c r="B3059" s="1">
        <x:f>IFERROR(__xludf.DUMMYFUNCTION("""COMPUTED_VALUE"""),"Gothika")</x:f>
      </x:c>
      <x:c r="C3059" s="1">
        <x:f>IFERROR(__xludf.DUMMYFUNCTION("""COMPUTED_VALUE"""),"2003")</x:f>
      </x:c>
    </x:row>
    <x:row r="3060" spans="1:10">
      <x:c r="A3060" s="1" t="s">
        <x:v>3069</x:v>
      </x:c>
      <x:c r="B3060" s="1">
        <x:f>IFERROR(__xludf.DUMMYFUNCTION("""COMPUTED_VALUE"""),"Grace de Mònaco")</x:f>
      </x:c>
      <x:c r="C3060" s="1">
        <x:f>IFERROR(__xludf.DUMMYFUNCTION("""COMPUTED_VALUE"""),"2014")</x:f>
      </x:c>
    </x:row>
    <x:row r="3061" spans="1:10">
      <x:c r="A3061" s="1" t="s">
        <x:v>3070</x:v>
      </x:c>
      <x:c r="B3061" s="1">
        <x:f>IFERROR(__xludf.DUMMYFUNCTION("""COMPUTED_VALUE"""),"Gràcies per la propina")</x:f>
      </x:c>
      <x:c r="C3061" s="1">
        <x:f>IFERROR(__xludf.DUMMYFUNCTION("""COMPUTED_VALUE"""),"1997")</x:f>
      </x:c>
    </x:row>
    <x:row r="3062" spans="1:10">
      <x:c r="A3062" s="1" t="s">
        <x:v>3071</x:v>
      </x:c>
      <x:c r="B3062" s="1">
        <x:f>IFERROR(__xludf.DUMMYFUNCTION("""COMPUTED_VALUE"""),"Gràcies, patró!")</x:f>
      </x:c>
      <x:c r="C3062" s="1">
        <x:f>IFERROR(__xludf.DUMMYFUNCTION("""COMPUTED_VALUE"""),"2015")</x:f>
      </x:c>
    </x:row>
    <x:row r="3063" spans="1:10">
      <x:c r="A3063" s="1" t="s">
        <x:v>3072</x:v>
      </x:c>
      <x:c r="B3063" s="1">
        <x:f>IFERROR(__xludf.DUMMYFUNCTION("""COMPUTED_VALUE"""),"Gran Torino")</x:f>
      </x:c>
      <x:c r="C3063" s="1">
        <x:f>IFERROR(__xludf.DUMMYFUNCTION("""COMPUTED_VALUE"""),"2008")</x:f>
      </x:c>
    </x:row>
    <x:row r="3064" spans="1:10">
      <x:c r="A3064" s="1" t="s">
        <x:v>3073</x:v>
      </x:c>
      <x:c r="B3064" s="1">
        <x:f>IFERROR(__xludf.DUMMYFUNCTION("""COMPUTED_VALUE"""),"Granados, el color de la música")</x:f>
      </x:c>
      <x:c r="C3064" s="1">
        <x:f>IFERROR(__xludf.DUMMYFUNCTION("""COMPUTED_VALUE"""),"2002")</x:f>
      </x:c>
    </x:row>
    <x:row r="3065" spans="1:10">
      <x:c r="A3065" s="1" t="s">
        <x:v>3074</x:v>
      </x:c>
      <x:c r="B3065" s="1">
        <x:f>IFERROR(__xludf.DUMMYFUNCTION("""COMPUTED_VALUE"""),"Grand Piano")</x:f>
      </x:c>
      <x:c r="C3065" s="1">
        <x:f>IFERROR(__xludf.DUMMYFUNCTION("""COMPUTED_VALUE"""),"2013")</x:f>
      </x:c>
    </x:row>
    <x:row r="3066" spans="1:10">
      <x:c r="A3066" s="1" t="s">
        <x:v>3075</x:v>
      </x:c>
      <x:c r="B3066" s="1">
        <x:f>IFERROR(__xludf.DUMMYFUNCTION("""COMPUTED_VALUE"""),"Grand Prix")</x:f>
      </x:c>
      <x:c r="C3066" s="1">
        <x:f>IFERROR(__xludf.DUMMYFUNCTION("""COMPUTED_VALUE"""),"1966")</x:f>
      </x:c>
    </x:row>
    <x:row r="3067" spans="1:10">
      <x:c r="A3067" s="1" t="s">
        <x:v>3076</x:v>
      </x:c>
      <x:c r="B3067" s="1">
        <x:f>IFERROR(__xludf.DUMMYFUNCTION("""COMPUTED_VALUE"""),"Grand Prix a la muntanya dels invents")</x:f>
      </x:c>
      <x:c r="C3067" s="1">
        <x:f>IFERROR(__xludf.DUMMYFUNCTION("""COMPUTED_VALUE"""),"1975")</x:f>
      </x:c>
    </x:row>
    <x:row r="3068" spans="1:10">
      <x:c r="A3068" s="1" t="s">
        <x:v>3077</x:v>
      </x:c>
      <x:c r="B3068" s="1">
        <x:f>IFERROR(__xludf.DUMMYFUNCTION("""COMPUTED_VALUE"""),"Grans esperances")</x:f>
      </x:c>
      <x:c r="C3068" s="1">
        <x:f>IFERROR(__xludf.DUMMYFUNCTION("""COMPUTED_VALUE"""),"2012")</x:f>
      </x:c>
    </x:row>
    <x:row r="3069" spans="1:10">
      <x:c r="A3069" s="1" t="s">
        <x:v>3078</x:v>
      </x:c>
      <x:c r="B3069" s="1">
        <x:f>IFERROR(__xludf.DUMMYFUNCTION("""COMPUTED_VALUE"""),"Grans horitzons")</x:f>
      </x:c>
      <x:c r="C3069" s="1">
        <x:f>IFERROR(__xludf.DUMMYFUNCTION("""COMPUTED_VALUE"""),"1958")</x:f>
      </x:c>
    </x:row>
    <x:row r="3070" spans="1:10">
      <x:c r="A3070" s="1" t="s">
        <x:v>3079</x:v>
      </x:c>
      <x:c r="B3070" s="1">
        <x:f>IFERROR(__xludf.DUMMYFUNCTION("""COMPUTED_VALUE"""),"Gravity")</x:f>
      </x:c>
      <x:c r="C3070" s="1">
        <x:f>IFERROR(__xludf.DUMMYFUNCTION("""COMPUTED_VALUE"""),"2013")</x:f>
      </x:c>
    </x:row>
    <x:row r="3071" spans="1:10">
      <x:c r="A3071" s="1" t="s">
        <x:v>3080</x:v>
      </x:c>
      <x:c r="B3071" s="1">
        <x:f>IFERROR(__xludf.DUMMYFUNCTION("""COMPUTED_VALUE"""),"Grècia, illes al límit")</x:f>
      </x:c>
      <x:c r="C3071" s="1">
        <x:f>IFERROR(__xludf.DUMMYFUNCTION("""COMPUTED_VALUE"""),"2025")</x:f>
      </x:c>
    </x:row>
    <x:row r="3072" spans="1:10">
      <x:c r="A3072" s="1" t="s">
        <x:v>3081</x:v>
      </x:c>
      <x:c r="B3072" s="1">
        <x:f>IFERROR(__xludf.DUMMYFUNCTION("""COMPUTED_VALUE"""),"Green Book")</x:f>
      </x:c>
      <x:c r="C3072" s="1">
        <x:f>IFERROR(__xludf.DUMMYFUNCTION("""COMPUTED_VALUE"""),"2018")</x:f>
      </x:c>
    </x:row>
    <x:row r="3073" spans="1:10">
      <x:c r="A3073" s="1" t="s">
        <x:v>3082</x:v>
      </x:c>
      <x:c r="B3073" s="1">
        <x:f>IFERROR(__xludf.DUMMYFUNCTION("""COMPUTED_VALUE"""),"Green Zone: districte protegit")</x:f>
      </x:c>
      <x:c r="C3073" s="1">
        <x:f>IFERROR(__xludf.DUMMYFUNCTION("""COMPUTED_VALUE"""),"2010")</x:f>
      </x:c>
    </x:row>
    <x:row r="3074" spans="1:10">
      <x:c r="A3074" s="1" t="s">
        <x:v>3083</x:v>
      </x:c>
      <x:c r="B3074" s="1">
        <x:f>IFERROR(__xludf.DUMMYFUNCTION("""COMPUTED_VALUE"""),"Greenland 2: Migració")</x:f>
      </x:c>
      <x:c r="C3074" s="1">
        <x:f>IFERROR(__xludf.DUMMYFUNCTION("""COMPUTED_VALUE"""),"2026")</x:f>
      </x:c>
    </x:row>
    <x:row r="3075" spans="1:10">
      <x:c r="A3075" s="1" t="s">
        <x:v>3084</x:v>
      </x:c>
      <x:c r="B3075" s="1">
        <x:f>IFERROR(__xludf.DUMMYFUNCTION("""COMPUTED_VALUE"""),"Gremlins I")</x:f>
      </x:c>
      <x:c r="C3075" s="1">
        <x:f>IFERROR(__xludf.DUMMYFUNCTION("""COMPUTED_VALUE"""),"1984")</x:f>
      </x:c>
    </x:row>
    <x:row r="3076" spans="1:10">
      <x:c r="A3076" s="1" t="s">
        <x:v>3085</x:v>
      </x:c>
      <x:c r="B3076" s="1">
        <x:f>IFERROR(__xludf.DUMMYFUNCTION("""COMPUTED_VALUE"""),"Gremlins II la nova generació")</x:f>
      </x:c>
      <x:c r="C3076" s="1">
        <x:f>IFERROR(__xludf.DUMMYFUNCTION("""COMPUTED_VALUE"""),"1990")</x:f>
      </x:c>
    </x:row>
    <x:row r="3077" spans="1:10">
      <x:c r="A3077" s="1" t="s">
        <x:v>3086</x:v>
      </x:c>
      <x:c r="B3077" s="1">
        <x:f>IFERROR(__xludf.DUMMYFUNCTION("""COMPUTED_VALUE"""),"Gresca fins al final")</x:f>
      </x:c>
      <x:c r="C3077" s="1">
        <x:f>IFERROR(__xludf.DUMMYFUNCTION("""COMPUTED_VALUE"""),"2013")</x:f>
      </x:c>
    </x:row>
    <x:row r="3078" spans="1:10">
      <x:c r="A3078" s="1" t="s">
        <x:v>3087</x:v>
      </x:c>
      <x:c r="B3078" s="1">
        <x:f>IFERROR(__xludf.DUMMYFUNCTION("""COMPUTED_VALUE"""),"Gringo Es busca viu o mort")</x:f>
      </x:c>
      <x:c r="C3078" s="1">
        <x:f>IFERROR(__xludf.DUMMYFUNCTION("""COMPUTED_VALUE"""),"2018")</x:f>
      </x:c>
    </x:row>
    <x:row r="3079" spans="1:10">
      <x:c r="A3079" s="1" t="s">
        <x:v>3088</x:v>
      </x:c>
      <x:c r="B3079" s="1">
        <x:f>IFERROR(__xludf.DUMMYFUNCTION("""COMPUTED_VALUE"""),"Gringo vell")</x:f>
      </x:c>
      <x:c r="C3079" s="1">
        <x:f>IFERROR(__xludf.DUMMYFUNCTION("""COMPUTED_VALUE"""),"1989")</x:f>
      </x:c>
    </x:row>
    <x:row r="3080" spans="1:10">
      <x:c r="A3080" s="1" t="s">
        <x:v>3089</x:v>
      </x:c>
      <x:c r="B3080" s="1">
        <x:f>IFERROR(__xludf.DUMMYFUNCTION("""COMPUTED_VALUE"""),"Grisú, la tragèdia de Fígols")</x:f>
      </x:c>
      <x:c r="C3080" s="1">
        <x:f>IFERROR(__xludf.DUMMYFUNCTION("""COMPUTED_VALUE"""),"2024")</x:f>
      </x:c>
    </x:row>
    <x:row r="3081" spans="1:10">
      <x:c r="A3081" s="1" t="s">
        <x:v>3090</x:v>
      </x:c>
      <x:c r="B3081" s="1">
        <x:f>IFERROR(__xludf.DUMMYFUNCTION("""COMPUTED_VALUE"""),"Groenlàndia no es ven")</x:f>
      </x:c>
      <x:c r="C3081" s="1">
        <x:f>IFERROR(__xludf.DUMMYFUNCTION("""COMPUTED_VALUE"""),"2025")</x:f>
      </x:c>
    </x:row>
    <x:row r="3082" spans="1:10">
      <x:c r="A3082" s="1" t="s">
        <x:v>3091</x:v>
      </x:c>
      <x:c r="B3082" s="1">
        <x:f>IFERROR(__xludf.DUMMYFUNCTION("""COMPUTED_VALUE"""),"Gru 4. El meu dolent preferit")</x:f>
      </x:c>
      <x:c r="C3082" s="1">
        <x:f>IFERROR(__xludf.DUMMYFUNCTION("""COMPUTED_VALUE"""),"2024")</x:f>
      </x:c>
    </x:row>
    <x:row r="3083" spans="1:10">
      <x:c r="A3083" s="1" t="s">
        <x:v>3092</x:v>
      </x:c>
      <x:c r="B3083" s="1">
        <x:f>IFERROR(__xludf.DUMMYFUNCTION("""COMPUTED_VALUE"""),"Gru, el meu dolent preferit 1")</x:f>
      </x:c>
      <x:c r="C3083" s="1">
        <x:f>IFERROR(__xludf.DUMMYFUNCTION("""COMPUTED_VALUE"""),"2010")</x:f>
      </x:c>
    </x:row>
    <x:row r="3084" spans="1:10">
      <x:c r="A3084" s="1" t="s">
        <x:v>3093</x:v>
      </x:c>
      <x:c r="B3084" s="1">
        <x:f>IFERROR(__xludf.DUMMYFUNCTION("""COMPUTED_VALUE"""),"Gru, el meu dolent preferit 2")</x:f>
      </x:c>
      <x:c r="C3084" s="1">
        <x:f>IFERROR(__xludf.DUMMYFUNCTION("""COMPUTED_VALUE"""),"2013")</x:f>
      </x:c>
    </x:row>
    <x:row r="3085" spans="1:10">
      <x:c r="A3085" s="1" t="s">
        <x:v>3094</x:v>
      </x:c>
      <x:c r="B3085" s="1">
        <x:f>IFERROR(__xludf.DUMMYFUNCTION("""COMPUTED_VALUE"""),"Gru, el meu dolent preferit 3")</x:f>
      </x:c>
      <x:c r="C3085" s="1">
        <x:f>IFERROR(__xludf.DUMMYFUNCTION("""COMPUTED_VALUE"""),"2017")</x:f>
      </x:c>
    </x:row>
    <x:row r="3086" spans="1:10">
      <x:c r="A3086" s="1" t="s">
        <x:v>3095</x:v>
      </x:c>
      <x:c r="B3086" s="1">
        <x:f>IFERROR(__xludf.DUMMYFUNCTION("""COMPUTED_VALUE"""),"Grup salvatge")</x:f>
      </x:c>
      <x:c r="C3086" s="1">
        <x:f>IFERROR(__xludf.DUMMYFUNCTION("""COMPUTED_VALUE"""),"1969")</x:f>
      </x:c>
    </x:row>
    <x:row r="3087" spans="1:10">
      <x:c r="A3087" s="1" t="s">
        <x:v>3096</x:v>
      </x:c>
      <x:c r="B3087" s="1">
        <x:f>IFERROR(__xludf.DUMMYFUNCTION("""COMPUTED_VALUE"""),"Guardiana de dracs")</x:f>
      </x:c>
      <x:c r="C3087" s="1">
        <x:f>IFERROR(__xludf.DUMMYFUNCTION("""COMPUTED_VALUE"""),"2024")</x:f>
      </x:c>
    </x:row>
    <x:row r="3088" spans="1:10">
      <x:c r="A3088" s="1" t="s">
        <x:v>3097</x:v>
      </x:c>
      <x:c r="B3088" s="1">
        <x:f>IFERROR(__xludf.DUMMYFUNCTION("""COMPUTED_VALUE"""),"Guardians de la Revolució: els amos de l'Iran")</x:f>
      </x:c>
      <x:c r="C3088" s="1">
        <x:f>IFERROR(__xludf.DUMMYFUNCTION("""COMPUTED_VALUE"""),"2025")</x:f>
      </x:c>
    </x:row>
    <x:row r="3089" spans="1:10">
      <x:c r="A3089" s="1" t="s">
        <x:v>3098</x:v>
      </x:c>
      <x:c r="B3089" s="1">
        <x:f>IFERROR(__xludf.DUMMYFUNCTION("""COMPUTED_VALUE"""),"Guardians del museu")</x:f>
      </x:c>
      <x:c r="C3089" s="1">
        <x:f>IFERROR(__xludf.DUMMYFUNCTION("""COMPUTED_VALUE"""),"2023")</x:f>
      </x:c>
    </x:row>
    <x:row r="3090" spans="1:10">
      <x:c r="A3090" s="1" t="s">
        <x:v>3099</x:v>
      </x:c>
      <x:c r="B3090" s="1">
        <x:f>IFERROR(__xludf.DUMMYFUNCTION("""COMPUTED_VALUE"""),"Guerra de bandes")</x:f>
      </x:c>
      <x:c r="C3090" s="1">
        <x:f>IFERROR(__xludf.DUMMYFUNCTION("""COMPUTED_VALUE"""),"2009")</x:f>
      </x:c>
    </x:row>
    <x:row r="3091" spans="1:10">
      <x:c r="A3091" s="1" t="s">
        <x:v>3100</x:v>
      </x:c>
      <x:c r="B3091" s="1">
        <x:f>IFERROR(__xludf.DUMMYFUNCTION("""COMPUTED_VALUE"""),"Guerra entre homes i dones")</x:f>
      </x:c>
      <x:c r="C3091" s="1">
        <x:f>IFERROR(__xludf.DUMMYFUNCTION("""COMPUTED_VALUE"""),"1972")</x:f>
      </x:c>
    </x:row>
    <x:row r="3092" spans="1:10">
      <x:c r="A3092" s="1" t="s">
        <x:v>3101</x:v>
      </x:c>
      <x:c r="B3092" s="1">
        <x:f>IFERROR(__xludf.DUMMYFUNCTION("""COMPUTED_VALUE"""),"Guerrera")</x:f>
      </x:c>
      <x:c r="C3092" s="1">
        <x:f>IFERROR(__xludf.DUMMYFUNCTION("""COMPUTED_VALUE"""),"2011")</x:f>
      </x:c>
    </x:row>
    <x:row r="3093" spans="1:10">
      <x:c r="A3093" s="1" t="s">
        <x:v>3102</x:v>
      </x:c>
      <x:c r="B3093" s="1">
        <x:f>IFERROR(__xludf.DUMMYFUNCTION("""COMPUTED_VALUE"""),"Guest [VOSC]")</x:f>
      </x:c>
      <x:c r="C3093" s="1">
        <x:f>IFERROR(__xludf.DUMMYFUNCTION("""COMPUTED_VALUE"""),"2010")</x:f>
      </x:c>
    </x:row>
    <x:row r="3094" spans="1:10">
      <x:c r="A3094" s="1" t="s">
        <x:v>3103</x:v>
      </x:c>
      <x:c r="B3094" s="1">
        <x:f>IFERROR(__xludf.DUMMYFUNCTION("""COMPUTED_VALUE"""),"Guillaume i els nois, a taula!")</x:f>
      </x:c>
      <x:c r="C3094" s="1">
        <x:f>IFERROR(__xludf.DUMMYFUNCTION("""COMPUTED_VALUE"""),"2013")</x:f>
      </x:c>
    </x:row>
    <x:row r="3095" spans="1:10">
      <x:c r="A3095" s="1" t="s">
        <x:v>3104</x:v>
      </x:c>
      <x:c r="B3095" s="1">
        <x:f>IFERROR(__xludf.DUMMYFUNCTION("""COMPUTED_VALUE"""),"Guillem d’Efak. L’ànima negra de l’illa")</x:f>
      </x:c>
      <x:c r="C3095" s="1">
        <x:f>IFERROR(__xludf.DUMMYFUNCTION("""COMPUTED_VALUE"""),"2017")</x:f>
      </x:c>
    </x:row>
    <x:row r="3096" spans="1:10">
      <x:c r="A3096" s="1" t="s">
        <x:v>3105</x:v>
      </x:c>
      <x:c r="B3096" s="1">
        <x:f>IFERROR(__xludf.DUMMYFUNCTION("""COMPUTED_VALUE"""),"Guillot i Llebre salven el bosc")</x:f>
      </x:c>
      <x:c r="C3096" s="1">
        <x:f>IFERROR(__xludf.DUMMYFUNCTION("""COMPUTED_VALUE"""),"2024")</x:f>
      </x:c>
    </x:row>
    <x:row r="3097" spans="1:10">
      <x:c r="A3097" s="1" t="s">
        <x:v>3106</x:v>
      </x:c>
      <x:c r="B3097" s="1">
        <x:f>IFERROR(__xludf.DUMMYFUNCTION("""COMPUTED_VALUE"""),"Gun")</x:f>
      </x:c>
      <x:c r="C3097" s="1">
        <x:f>IFERROR(__xludf.DUMMYFUNCTION("""COMPUTED_VALUE"""),"2010")</x:f>
      </x:c>
    </x:row>
    <x:row r="3098" spans="1:10">
      <x:c r="A3098" s="1" t="s">
        <x:v>3107</x:v>
      </x:c>
      <x:c r="B3098" s="1">
        <x:f>IFERROR(__xludf.DUMMYFUNCTION("""COMPUTED_VALUE"""),"Gunjal [VOSC]")</x:f>
      </x:c>
      <x:c r="C3098" s="1">
        <x:f>IFERROR(__xludf.DUMMYFUNCTION("""COMPUTED_VALUE"""),"2022")</x:f>
      </x:c>
    </x:row>
    <x:row r="3099" spans="1:10">
      <x:c r="A3099" s="1" t="s">
        <x:v>3108</x:v>
      </x:c>
      <x:c r="B3099" s="1">
        <x:f>IFERROR(__xludf.DUMMYFUNCTION("""COMPUTED_VALUE"""),"H")</x:f>
      </x:c>
      <x:c r="C3099" s="1">
        <x:f>IFERROR(__xludf.DUMMYFUNCTION("""COMPUTED_VALUE"""),"2014")</x:f>
      </x:c>
    </x:row>
    <x:row r="3100" spans="1:10">
      <x:c r="A3100" s="1" t="s">
        <x:v>3109</x:v>
      </x:c>
      <x:c r="B3100" s="1">
        <x:f>IFERROR(__xludf.DUMMYFUNCTION("""COMPUTED_VALUE"""),"Ha arribat l'àguila")</x:f>
      </x:c>
      <x:c r="C3100" s="1">
        <x:f>IFERROR(__xludf.DUMMYFUNCTION("""COMPUTED_VALUE"""),"1976")</x:f>
      </x:c>
    </x:row>
    <x:row r="3101" spans="1:10">
      <x:c r="A3101" s="1" t="s">
        <x:v>3110</x:v>
      </x:c>
      <x:c r="B3101" s="1">
        <x:f>IFERROR(__xludf.DUMMYFUNCTION("""COMPUTED_VALUE"""),"Ha nascut una estrella")</x:f>
      </x:c>
      <x:c r="C3101" s="1">
        <x:f>IFERROR(__xludf.DUMMYFUNCTION("""COMPUTED_VALUE"""),"2018")</x:f>
      </x:c>
    </x:row>
    <x:row r="3102" spans="1:10">
      <x:c r="A3102" s="1" t="s">
        <x:v>3111</x:v>
      </x:c>
      <x:c r="B3102" s="1">
        <x:f>IFERROR(__xludf.DUMMYFUNCTION("""COMPUTED_VALUE"""),"Habitació sense sortida")</x:f>
      </x:c>
      <x:c r="C3102" s="1">
        <x:f>IFERROR(__xludf.DUMMYFUNCTION("""COMPUTED_VALUE"""),"2007")</x:f>
      </x:c>
    </x:row>
    <x:row r="3103" spans="1:10">
      <x:c r="A3103" s="1" t="s">
        <x:v>3112</x:v>
      </x:c>
      <x:c r="B3103" s="1">
        <x:f>IFERROR(__xludf.DUMMYFUNCTION("""COMPUTED_VALUE"""),"Habitar la utopía")</x:f>
      </x:c>
      <x:c r="C3103" s="1">
        <x:f>IFERROR(__xludf.DUMMYFUNCTION("""COMPUTED_VALUE"""),"2014")</x:f>
      </x:c>
    </x:row>
    <x:row r="3104" spans="1:10">
      <x:c r="A3104" s="1" t="s">
        <x:v>3113</x:v>
      </x:c>
      <x:c r="B3104" s="1">
        <x:f>IFERROR(__xludf.DUMMYFUNCTION("""COMPUTED_VALUE"""),"Hackers")</x:f>
      </x:c>
      <x:c r="C3104" s="1">
        <x:f>IFERROR(__xludf.DUMMYFUNCTION("""COMPUTED_VALUE"""),"1995")</x:f>
      </x:c>
    </x:row>
    <x:row r="3105" spans="1:10">
      <x:c r="A3105" s="1" t="s">
        <x:v>3114</x:v>
      </x:c>
      <x:c r="B3105" s="1">
        <x:f>IFERROR(__xludf.DUMMYFUNCTION("""COMPUTED_VALUE"""),"Hackers 1-O")</x:f>
      </x:c>
      <x:c r="C3105" s="1">
        <x:f>IFERROR(__xludf.DUMMYFUNCTION("""COMPUTED_VALUE"""),"2018")</x:f>
      </x:c>
    </x:row>
    <x:row r="3106" spans="1:10">
      <x:c r="A3106" s="1" t="s">
        <x:v>3115</x:v>
      </x:c>
      <x:c r="B3106" s="1">
        <x:f>IFERROR(__xludf.DUMMYFUNCTION("""COMPUTED_VALUE"""),"Hada")</x:f>
      </x:c>
      <x:c r="C3106" s="1">
        <x:f>IFERROR(__xludf.DUMMYFUNCTION("""COMPUTED_VALUE"""),"2023")</x:f>
      </x:c>
    </x:row>
    <x:row r="3107" spans="1:10">
      <x:c r="A3107" s="1" t="s">
        <x:v>3116</x:v>
      </x:c>
      <x:c r="B3107" s="1">
        <x:f>IFERROR(__xludf.DUMMYFUNCTION("""COMPUTED_VALUE"""),"Hair")</x:f>
      </x:c>
      <x:c r="C3107" s="1">
        <x:f>IFERROR(__xludf.DUMMYFUNCTION("""COMPUTED_VALUE"""),"1979")</x:f>
      </x:c>
    </x:row>
    <x:row r="3108" spans="1:10">
      <x:c r="A3108" s="1" t="s">
        <x:v>3117</x:v>
      </x:c>
      <x:c r="B3108" s="1">
        <x:f>IFERROR(__xludf.DUMMYFUNCTION("""COMPUTED_VALUE"""),"Hairspray")</x:f>
      </x:c>
      <x:c r="C3108" s="1">
        <x:f>IFERROR(__xludf.DUMMYFUNCTION("""COMPUTED_VALUE"""),"2007")</x:f>
      </x:c>
    </x:row>
    <x:row r="3109" spans="1:10">
      <x:c r="A3109" s="1" t="s">
        <x:v>3118</x:v>
      </x:c>
      <x:c r="B3109" s="1">
        <x:f>IFERROR(__xludf.DUMMYFUNCTION("""COMPUTED_VALUE"""),"Haití, el regne de les bandes")</x:f>
      </x:c>
      <x:c r="C3109" s="1">
        <x:f>IFERROR(__xludf.DUMMYFUNCTION("""COMPUTED_VALUE"""),"2024")</x:f>
      </x:c>
    </x:row>
    <x:row r="3110" spans="1:10">
      <x:c r="A3110" s="1" t="s">
        <x:v>3119</x:v>
      </x:c>
      <x:c r="B3110" s="1">
        <x:f>IFERROR(__xludf.DUMMYFUNCTION("""COMPUTED_VALUE"""),"Half Nelson")</x:f>
      </x:c>
      <x:c r="C3110" s="1">
        <x:f>IFERROR(__xludf.DUMMYFUNCTION("""COMPUTED_VALUE"""),"2006")</x:f>
      </x:c>
    </x:row>
    <x:row r="3111" spans="1:10">
      <x:c r="A3111" s="1" t="s">
        <x:v>3120</x:v>
      </x:c>
      <x:c r="B3111" s="1">
        <x:f>IFERROR(__xludf.DUMMYFUNCTION("""COMPUTED_VALUE"""),"Halloween")</x:f>
      </x:c>
      <x:c r="C3111" s="1">
        <x:f>IFERROR(__xludf.DUMMYFUNCTION("""COMPUTED_VALUE"""),"1978")</x:f>
      </x:c>
    </x:row>
    <x:row r="3112" spans="1:10">
      <x:c r="A3112" s="1" t="s">
        <x:v>3121</x:v>
      </x:c>
      <x:c r="B3112" s="1">
        <x:f>IFERROR(__xludf.DUMMYFUNCTION("""COMPUTED_VALUE"""),"Halloween")</x:f>
      </x:c>
      <x:c r="C3112" s="1">
        <x:f>IFERROR(__xludf.DUMMYFUNCTION("""COMPUTED_VALUE"""),"2007")</x:f>
      </x:c>
    </x:row>
    <x:row r="3113" spans="1:10">
      <x:c r="A3113" s="1" t="s">
        <x:v>3122</x:v>
      </x:c>
      <x:c r="B3113" s="1">
        <x:f>IFERROR(__xludf.DUMMYFUNCTION("""COMPUTED_VALUE"""),"Halloween 2")</x:f>
      </x:c>
      <x:c r="C3113" s="1">
        <x:f>IFERROR(__xludf.DUMMYFUNCTION("""COMPUTED_VALUE"""),"1981")</x:f>
      </x:c>
    </x:row>
    <x:row r="3114" spans="1:10">
      <x:c r="A3114" s="1" t="s">
        <x:v>3123</x:v>
      </x:c>
      <x:c r="B3114" s="1">
        <x:f>IFERROR(__xludf.DUMMYFUNCTION("""COMPUTED_VALUE"""),"Halloween: la maledicció de Michael Myers")</x:f>
      </x:c>
      <x:c r="C3114" s="1">
        <x:f>IFERROR(__xludf.DUMMYFUNCTION("""COMPUTED_VALUE"""),"1995")</x:f>
      </x:c>
    </x:row>
    <x:row r="3115" spans="1:10">
      <x:c r="A3115" s="1" t="s">
        <x:v>3124</x:v>
      </x:c>
      <x:c r="B3115" s="1">
        <x:f>IFERROR(__xludf.DUMMYFUNCTION("""COMPUTED_VALUE"""),"Hamas, la creació d'un monstre")</x:f>
      </x:c>
      <x:c r="C3115" s="1">
        <x:f>IFERROR(__xludf.DUMMYFUNCTION("""COMPUTED_VALUE"""),"2024")</x:f>
      </x:c>
    </x:row>
    <x:row r="3116" spans="1:10">
      <x:c r="A3116" s="1" t="s">
        <x:v>3125</x:v>
      </x:c>
      <x:c r="B3116" s="1">
        <x:f>IFERROR(__xludf.DUMMYFUNCTION("""COMPUTED_VALUE"""),"Han arribat")</x:f>
      </x:c>
      <x:c r="C3116" s="1">
        <x:f>IFERROR(__xludf.DUMMYFUNCTION("""COMPUTED_VALUE"""),"1996")</x:f>
      </x:c>
    </x:row>
    <x:row r="3117" spans="1:10">
      <x:c r="A3117" s="1" t="s">
        <x:v>3126</x:v>
      </x:c>
      <x:c r="B3117" s="1">
        <x:f>IFERROR(__xludf.DUMMYFUNCTION("""COMPUTED_VALUE"""),"Han robat La Gioconda")</x:f>
      </x:c>
      <x:c r="C3117" s="1">
        <x:f>IFERROR(__xludf.DUMMYFUNCTION("""COMPUTED_VALUE"""),"2025")</x:f>
      </x:c>
    </x:row>
    <x:row r="3118" spans="1:10">
      <x:c r="A3118" s="1" t="s">
        <x:v>3127</x:v>
      </x:c>
      <x:c r="B3118" s="1">
        <x:f>IFERROR(__xludf.DUMMYFUNCTION("""COMPUTED_VALUE"""),"Hancock")</x:f>
      </x:c>
      <x:c r="C3118" s="1">
        <x:f>IFERROR(__xludf.DUMMYFUNCTION("""COMPUTED_VALUE"""),"2007")</x:f>
      </x:c>
    </x:row>
    <x:row r="3119" spans="1:10">
      <x:c r="A3119" s="1" t="s">
        <x:v>3128</x:v>
      </x:c>
      <x:c r="B3119" s="1">
        <x:f>IFERROR(__xludf.DUMMYFUNCTION("""COMPUTED_VALUE"""),"Hangar 18")</x:f>
      </x:c>
      <x:c r="C3119" s="1">
        <x:f>IFERROR(__xludf.DUMMYFUNCTION("""COMPUTED_VALUE"""),"1980")</x:f>
      </x:c>
    </x:row>
    <x:row r="3120" spans="1:10">
      <x:c r="A3120" s="1" t="s">
        <x:v>3129</x:v>
      </x:c>
      <x:c r="B3120" s="1">
        <x:f>IFERROR(__xludf.DUMMYFUNCTION("""COMPUTED_VALUE"""),"Hanna")</x:f>
      </x:c>
      <x:c r="C3120" s="1">
        <x:f>IFERROR(__xludf.DUMMYFUNCTION("""COMPUTED_VALUE"""),"2011")</x:f>
      </x:c>
    </x:row>
    <x:row r="3121" spans="1:10">
      <x:c r="A3121" s="1" t="s">
        <x:v>3130</x:v>
      </x:c>
      <x:c r="B3121" s="1">
        <x:f>IFERROR(__xludf.DUMMYFUNCTION("""COMPUTED_VALUE"""),"Hanna i els monstres")</x:f>
      </x:c>
      <x:c r="C3121" s="1">
        <x:f>IFERROR(__xludf.DUMMYFUNCTION("""COMPUTED_VALUE"""),"2023")</x:f>
      </x:c>
    </x:row>
    <x:row r="3122" spans="1:10">
      <x:c r="A3122" s="1" t="s">
        <x:v>3131</x:v>
      </x:c>
      <x:c r="B3122" s="1">
        <x:f>IFERROR(__xludf.DUMMYFUNCTION("""COMPUTED_VALUE"""),"Hannah Arendt")</x:f>
      </x:c>
      <x:c r="C3122" s="1">
        <x:f>IFERROR(__xludf.DUMMYFUNCTION("""COMPUTED_VALUE"""),"2012")</x:f>
      </x:c>
    </x:row>
    <x:row r="3123" spans="1:10">
      <x:c r="A3123" s="1" t="s">
        <x:v>3132</x:v>
      </x:c>
      <x:c r="B3123" s="1">
        <x:f>IFERROR(__xludf.DUMMYFUNCTION("""COMPUTED_VALUE"""),"Hannah i les seves germanes")</x:f>
      </x:c>
      <x:c r="C3123" s="1">
        <x:f>IFERROR(__xludf.DUMMYFUNCTION("""COMPUTED_VALUE"""),"1986")</x:f>
      </x:c>
    </x:row>
    <x:row r="3124" spans="1:10">
      <x:c r="A3124" s="1" t="s">
        <x:v>3133</x:v>
      </x:c>
      <x:c r="B3124" s="1">
        <x:f>IFERROR(__xludf.DUMMYFUNCTION("""COMPUTED_VALUE"""),"Hanne")</x:f>
      </x:c>
      <x:c r="C3124" s="1">
        <x:f>IFERROR(__xludf.DUMMYFUNCTION("""COMPUTED_VALUE"""),"2018")</x:f>
      </x:c>
    </x:row>
    <x:row r="3125" spans="1:10">
      <x:c r="A3125" s="1" t="s">
        <x:v>3134</x:v>
      </x:c>
      <x:c r="B3125" s="1">
        <x:f>IFERROR(__xludf.DUMMYFUNCTION("""COMPUTED_VALUE"""),"Hanover Street")</x:f>
      </x:c>
      <x:c r="C3125" s="1">
        <x:f>IFERROR(__xludf.DUMMYFUNCTION("""COMPUTED_VALUE"""),"1979")</x:f>
      </x:c>
    </x:row>
    <x:row r="3126" spans="1:10">
      <x:c r="A3126" s="1" t="s">
        <x:v>3135</x:v>
      </x:c>
      <x:c r="B3126" s="1">
        <x:f>IFERROR(__xludf.DUMMYFUNCTION("""COMPUTED_VALUE"""),"Hansel i Gretel")</x:f>
      </x:c>
      <x:c r="C3126" s="1">
        <x:f>IFERROR(__xludf.DUMMYFUNCTION("""COMPUTED_VALUE"""),"2005")</x:f>
      </x:c>
    </x:row>
    <x:row r="3127" spans="1:10">
      <x:c r="A3127" s="1" t="s">
        <x:v>3136</x:v>
      </x:c>
      <x:c r="B3127" s="1">
        <x:f>IFERROR(__xludf.DUMMYFUNCTION("""COMPUTED_VALUE"""),"Hànuman")</x:f>
      </x:c>
      <x:c r="C3127" s="1">
        <x:f>IFERROR(__xludf.DUMMYFUNCTION("""COMPUTED_VALUE"""),"1998")</x:f>
      </x:c>
    </x:row>
    <x:row r="3128" spans="1:10">
      <x:c r="A3128" s="1" t="s">
        <x:v>3137</x:v>
      </x:c>
      <x:c r="B3128" s="1">
        <x:f>IFERROR(__xludf.DUMMYFUNCTION("""COMPUTED_VALUE"""),"Happy family")</x:f>
      </x:c>
      <x:c r="C3128" s="1">
        <x:f>IFERROR(__xludf.DUMMYFUNCTION("""COMPUTED_VALUE"""),"2010")</x:f>
      </x:c>
    </x:row>
    <x:row r="3129" spans="1:10">
      <x:c r="A3129" s="1" t="s">
        <x:v>3138</x:v>
      </x:c>
      <x:c r="B3129" s="1">
        <x:f>IFERROR(__xludf.DUMMYFUNCTION("""COMPUTED_VALUE"""),"Happy Feet: Trencant el gel")</x:f>
      </x:c>
      <x:c r="C3129" s="1">
        <x:f>IFERROR(__xludf.DUMMYFUNCTION("""COMPUTED_VALUE"""),"2006")</x:f>
      </x:c>
    </x:row>
    <x:row r="3130" spans="1:10">
      <x:c r="A3130" s="1" t="s">
        <x:v>3139</x:v>
      </x:c>
      <x:c r="B3130" s="1">
        <x:f>IFERROR(__xludf.DUMMYFUNCTION("""COMPUTED_VALUE"""),"Happy: un conte sobre la felicitat")</x:f>
      </x:c>
      <x:c r="C3130" s="1">
        <x:f>IFERROR(__xludf.DUMMYFUNCTION("""COMPUTED_VALUE"""),"2008")</x:f>
      </x:c>
    </x:row>
    <x:row r="3131" spans="1:10">
      <x:c r="A3131" s="1" t="s">
        <x:v>3140</x:v>
      </x:c>
      <x:c r="B3131" s="1">
        <x:f>IFERROR(__xludf.DUMMYFUNCTION("""COMPUTED_VALUE"""),"Hardcore Henry")</x:f>
      </x:c>
      <x:c r="C3131" s="1">
        <x:f>IFERROR(__xludf.DUMMYFUNCTION("""COMPUTED_VALUE"""),"2015")</x:f>
      </x:c>
    </x:row>
    <x:row r="3132" spans="1:10">
      <x:c r="A3132" s="1" t="s">
        <x:v>3141</x:v>
      </x:c>
      <x:c r="B3132" s="1">
        <x:f>IFERROR(__xludf.DUMMYFUNCTION("""COMPUTED_VALUE"""),"Harold i el llapis màgic")</x:f>
      </x:c>
      <x:c r="C3132" s="1">
        <x:f>IFERROR(__xludf.DUMMYFUNCTION("""COMPUTED_VALUE"""),"2024")</x:f>
      </x:c>
    </x:row>
    <x:row r="3133" spans="1:10">
      <x:c r="A3133" s="1" t="s">
        <x:v>3142</x:v>
      </x:c>
      <x:c r="B3133" s="1">
        <x:f>IFERROR(__xludf.DUMMYFUNCTION("""COMPUTED_VALUE"""),"Harold i Kumar s'escapen de Guantánamo")</x:f>
      </x:c>
      <x:c r="C3133" s="1">
        <x:f>IFERROR(__xludf.DUMMYFUNCTION("""COMPUTED_VALUE"""),"2008")</x:f>
      </x:c>
    </x:row>
    <x:row r="3134" spans="1:10">
      <x:c r="A3134" s="1" t="s">
        <x:v>3143</x:v>
      </x:c>
      <x:c r="B3134" s="1">
        <x:f>IFERROR(__xludf.DUMMYFUNCTION("""COMPUTED_VALUE"""),"Harold i Maude")</x:f>
      </x:c>
      <x:c r="C3134" s="1">
        <x:f>IFERROR(__xludf.DUMMYFUNCTION("""COMPUTED_VALUE"""),"1971")</x:f>
      </x:c>
    </x:row>
    <x:row r="3135" spans="1:10">
      <x:c r="A3135" s="1" t="s">
        <x:v>3144</x:v>
      </x:c>
      <x:c r="B3135" s="1">
        <x:f>IFERROR(__xludf.DUMMYFUNCTION("""COMPUTED_VALUE"""),"Harry Black i el tigre")</x:f>
      </x:c>
      <x:c r="C3135" s="1">
        <x:f>IFERROR(__xludf.DUMMYFUNCTION("""COMPUTED_VALUE"""),"1958")</x:f>
      </x:c>
    </x:row>
    <x:row r="3136" spans="1:10">
      <x:c r="A3136" s="1" t="s">
        <x:v>3145</x:v>
      </x:c>
      <x:c r="B3136" s="1">
        <x:f>IFERROR(__xludf.DUMMYFUNCTION("""COMPUTED_VALUE"""),"Harry el brut")</x:f>
      </x:c>
      <x:c r="C3136" s="1">
        <x:f>IFERROR(__xludf.DUMMYFUNCTION("""COMPUTED_VALUE"""),"1971")</x:f>
      </x:c>
    </x:row>
    <x:row r="3137" spans="1:10">
      <x:c r="A3137" s="1" t="s">
        <x:v>3146</x:v>
      </x:c>
      <x:c r="B3137" s="1">
        <x:f>IFERROR(__xludf.DUMMYFUNCTION("""COMPUTED_VALUE"""),"Harry el fort")</x:f>
      </x:c>
      <x:c r="C3137" s="1">
        <x:f>IFERROR(__xludf.DUMMYFUNCTION("""COMPUTED_VALUE"""),"1973")</x:f>
      </x:c>
    </x:row>
    <x:row r="3138" spans="1:10">
      <x:c r="A3138" s="1" t="s">
        <x:v>3147</x:v>
      </x:c>
      <x:c r="B3138" s="1">
        <x:f>IFERROR(__xludf.DUMMYFUNCTION("""COMPUTED_VALUE"""),"Harry l'Executor")</x:f>
      </x:c>
      <x:c r="C3138" s="1">
        <x:f>IFERROR(__xludf.DUMMYFUNCTION("""COMPUTED_VALUE"""),"1976")</x:f>
      </x:c>
    </x:row>
    <x:row r="3139" spans="1:10">
      <x:c r="A3139" s="1" t="s">
        <x:v>3148</x:v>
      </x:c>
      <x:c r="B3139" s="1">
        <x:f>IFERROR(__xludf.DUMMYFUNCTION("""COMPUTED_VALUE"""),"Harry Potter i el calze de foc")</x:f>
      </x:c>
      <x:c r="C3139" s="1">
        <x:f>IFERROR(__xludf.DUMMYFUNCTION("""COMPUTED_VALUE"""),"2005")</x:f>
      </x:c>
    </x:row>
    <x:row r="3140" spans="1:10">
      <x:c r="A3140" s="1" t="s">
        <x:v>3149</x:v>
      </x:c>
      <x:c r="B3140" s="1">
        <x:f>IFERROR(__xludf.DUMMYFUNCTION("""COMPUTED_VALUE"""),"Harry Potter i el misteri del príncep")</x:f>
      </x:c>
      <x:c r="C3140" s="1">
        <x:f>IFERROR(__xludf.DUMMYFUNCTION("""COMPUTED_VALUE"""),"2009")</x:f>
      </x:c>
    </x:row>
    <x:row r="3141" spans="1:10">
      <x:c r="A3141" s="1" t="s">
        <x:v>3150</x:v>
      </x:c>
      <x:c r="B3141" s="1">
        <x:f>IFERROR(__xludf.DUMMYFUNCTION("""COMPUTED_VALUE"""),"Harry Potter i el pres d'Azkaban")</x:f>
      </x:c>
      <x:c r="C3141" s="1">
        <x:f>IFERROR(__xludf.DUMMYFUNCTION("""COMPUTED_VALUE"""),"2004")</x:f>
      </x:c>
    </x:row>
    <x:row r="3142" spans="1:10">
      <x:c r="A3142" s="1" t="s">
        <x:v>3151</x:v>
      </x:c>
      <x:c r="B3142" s="1">
        <x:f>IFERROR(__xludf.DUMMYFUNCTION("""COMPUTED_VALUE"""),"Harry Potter i l'Orde del Fènix")</x:f>
      </x:c>
      <x:c r="C3142" s="1">
        <x:f>IFERROR(__xludf.DUMMYFUNCTION("""COMPUTED_VALUE"""),"2007")</x:f>
      </x:c>
    </x:row>
    <x:row r="3143" spans="1:10">
      <x:c r="A3143" s="1" t="s">
        <x:v>3152</x:v>
      </x:c>
      <x:c r="B3143" s="1">
        <x:f>IFERROR(__xludf.DUMMYFUNCTION("""COMPUTED_VALUE"""),"Harry Potter i la cambra secreta")</x:f>
      </x:c>
      <x:c r="C3143" s="1">
        <x:f>IFERROR(__xludf.DUMMYFUNCTION("""COMPUTED_VALUE"""),"2002")</x:f>
      </x:c>
    </x:row>
    <x:row r="3144" spans="1:10">
      <x:c r="A3144" s="1" t="s">
        <x:v>3153</x:v>
      </x:c>
      <x:c r="B3144" s="1">
        <x:f>IFERROR(__xludf.DUMMYFUNCTION("""COMPUTED_VALUE"""),"Harry Potter i la pedra filosofal")</x:f>
      </x:c>
      <x:c r="C3144" s="1">
        <x:f>IFERROR(__xludf.DUMMYFUNCTION("""COMPUTED_VALUE"""),"2001")</x:f>
      </x:c>
    </x:row>
    <x:row r="3145" spans="1:10">
      <x:c r="A3145" s="1" t="s">
        <x:v>3154</x:v>
      </x:c>
      <x:c r="B3145" s="1">
        <x:f>IFERROR(__xludf.DUMMYFUNCTION("""COMPUTED_VALUE"""),"Harry Potter i les relíquies de la mort: part 1")</x:f>
      </x:c>
      <x:c r="C3145" s="1">
        <x:f>IFERROR(__xludf.DUMMYFUNCTION("""COMPUTED_VALUE"""),"2010")</x:f>
      </x:c>
    </x:row>
    <x:row r="3146" spans="1:10">
      <x:c r="A3146" s="1" t="s">
        <x:v>3155</x:v>
      </x:c>
      <x:c r="B3146" s="1">
        <x:f>IFERROR(__xludf.DUMMYFUNCTION("""COMPUTED_VALUE"""),"Harry Potter i les relíquies de la mort: part 2")</x:f>
      </x:c>
      <x:c r="C3146" s="1">
        <x:f>IFERROR(__xludf.DUMMYFUNCTION("""COMPUTED_VALUE"""),"2011")</x:f>
      </x:c>
    </x:row>
    <x:row r="3147" spans="1:10">
      <x:c r="A3147" s="1" t="s">
        <x:v>3156</x:v>
      </x:c>
      <x:c r="B3147" s="1">
        <x:f>IFERROR(__xludf.DUMMYFUNCTION("""COMPUTED_VALUE"""),"Harry, un amic que us estima")</x:f>
      </x:c>
      <x:c r="C3147" s="1">
        <x:f>IFERROR(__xludf.DUMMYFUNCTION("""COMPUTED_VALUE"""),"2000")</x:f>
      </x:c>
    </x:row>
    <x:row r="3148" spans="1:10">
      <x:c r="A3148" s="1" t="s">
        <x:v>3157</x:v>
      </x:c>
      <x:c r="B3148" s="1">
        <x:f>IFERROR(__xludf.DUMMYFUNCTION("""COMPUTED_VALUE"""),"Harsh Times: Vides al límit")</x:f>
      </x:c>
      <x:c r="C3148" s="1">
        <x:f>IFERROR(__xludf.DUMMYFUNCTION("""COMPUTED_VALUE"""),"2005")</x:f>
      </x:c>
    </x:row>
    <x:row r="3149" spans="1:10">
      <x:c r="A3149" s="1" t="s">
        <x:v>3158</x:v>
      </x:c>
      <x:c r="B3149" s="1">
        <x:f>IFERROR(__xludf.DUMMYFUNCTION("""COMPUTED_VALUE"""),"Hasta la vista")</x:f>
      </x:c>
      <x:c r="C3149" s="1">
        <x:f>IFERROR(__xludf.DUMMYFUNCTION("""COMPUTED_VALUE"""),"2011")</x:f>
      </x:c>
    </x:row>
    <x:row r="3150" spans="1:10">
      <x:c r="A3150" s="1" t="s">
        <x:v>3159</x:v>
      </x:c>
      <x:c r="B3150" s="1">
        <x:f>IFERROR(__xludf.DUMMYFUNCTION("""COMPUTED_VALUE"""),"Hava, Maryam, Ayesha")</x:f>
      </x:c>
      <x:c r="C3150" s="1">
        <x:f>IFERROR(__xludf.DUMMYFUNCTION("""COMPUTED_VALUE"""),"2019")</x:f>
      </x:c>
    </x:row>
    <x:row r="3151" spans="1:10">
      <x:c r="A3151" s="1" t="s">
        <x:v>3160</x:v>
      </x:c>
      <x:c r="B3151" s="1">
        <x:f>IFERROR(__xludf.DUMMYFUNCTION("""COMPUTED_VALUE"""),"Havies de ser tu")</x:f>
      </x:c>
      <x:c r="C3151" s="1">
        <x:f>IFERROR(__xludf.DUMMYFUNCTION("""COMPUTED_VALUE"""),"2010")</x:f>
      </x:c>
    </x:row>
    <x:row r="3152" spans="1:10">
      <x:c r="A3152" s="1" t="s">
        <x:v>3161</x:v>
      </x:c>
      <x:c r="B3152" s="1">
        <x:f>IFERROR(__xludf.DUMMYFUNCTION("""COMPUTED_VALUE"""),"He caminat amb un zombi")</x:f>
      </x:c>
      <x:c r="C3152" s="1">
        <x:f>IFERROR(__xludf.DUMMYFUNCTION("""COMPUTED_VALUE"""),"1943")</x:f>
      </x:c>
    </x:row>
    <x:row r="3153" spans="1:10">
      <x:c r="A3153" s="1" t="s">
        <x:v>3162</x:v>
      </x:c>
      <x:c r="B3153" s="1">
        <x:f>IFERROR(__xludf.DUMMYFUNCTION("""COMPUTED_VALUE"""),"Headhunters")</x:f>
      </x:c>
      <x:c r="C3153" s="1">
        <x:f>IFERROR(__xludf.DUMMYFUNCTION("""COMPUTED_VALUE"""),"2011")</x:f>
      </x:c>
    </x:row>
    <x:row r="3154" spans="1:10">
      <x:c r="A3154" s="1" t="s">
        <x:v>3163</x:v>
      </x:c>
      <x:c r="B3154" s="1">
        <x:f>IFERROR(__xludf.DUMMYFUNCTION("""COMPUTED_VALUE"""),"Heavies tendres: La pel·lícula")</x:f>
      </x:c>
      <x:c r="C3154" s="1">
        <x:f>IFERROR(__xludf.DUMMYFUNCTION("""COMPUTED_VALUE"""),"2023")</x:f>
      </x:c>
    </x:row>
    <x:row r="3155" spans="1:10">
      <x:c r="A3155" s="1" t="s">
        <x:v>3164</x:v>
      </x:c>
      <x:c r="B3155" s="1">
        <x:f>IFERROR(__xludf.DUMMYFUNCTION("""COMPUTED_VALUE"""),"Hei Buh i el castell embruixat")</x:f>
      </x:c>
      <x:c r="C3155" s="1">
        <x:f>IFERROR(__xludf.DUMMYFUNCTION("""COMPUTED_VALUE"""),"2022")</x:f>
      </x:c>
    </x:row>
    <x:row r="3156" spans="1:10">
      <x:c r="A3156" s="1" t="s">
        <x:v>3165</x:v>
      </x:c>
      <x:c r="B3156" s="1">
        <x:f>IFERROR(__xludf.DUMMYFUNCTION("""COMPUTED_VALUE"""),"Heidi")</x:f>
      </x:c>
      <x:c r="C3156" s="1">
        <x:f>IFERROR(__xludf.DUMMYFUNCTION("""COMPUTED_VALUE"""),"2015")</x:f>
      </x:c>
    </x:row>
    <x:row r="3157" spans="1:10">
      <x:c r="A3157" s="1" t="s">
        <x:v>3166</x:v>
      </x:c>
      <x:c r="B3157" s="1">
        <x:f>IFERROR(__xludf.DUMMYFUNCTION("""COMPUTED_VALUE"""),"Heidi, el rescat del linx")</x:f>
      </x:c>
      <x:c r="C3157" s="1">
        <x:f>IFERROR(__xludf.DUMMYFUNCTION("""COMPUTED_VALUE"""),"2025")</x:f>
      </x:c>
    </x:row>
    <x:row r="3158" spans="1:10">
      <x:c r="A3158" s="1" t="s">
        <x:v>3167</x:v>
      </x:c>
      <x:c r="B3158" s="1">
        <x:f>IFERROR(__xludf.DUMMYFUNCTION("""COMPUTED_VALUE"""),"Heinrich Himmler Anatomia d'un assassí de masses")</x:f>
      </x:c>
      <x:c r="C3158" s="1">
        <x:f>IFERROR(__xludf.DUMMYFUNCTION("""COMPUTED_VALUE"""),"2008")</x:f>
      </x:c>
    </x:row>
    <x:row r="3159" spans="1:10">
      <x:c r="A3159" s="1" t="s">
        <x:v>3168</x:v>
      </x:c>
      <x:c r="B3159" s="1">
        <x:f>IFERROR(__xludf.DUMMYFUNCTION("""COMPUTED_VALUE"""),"Hellboy")</x:f>
      </x:c>
      <x:c r="C3159" s="1">
        <x:f>IFERROR(__xludf.DUMMYFUNCTION("""COMPUTED_VALUE"""),"2004")</x:f>
      </x:c>
    </x:row>
    <x:row r="3160" spans="1:10">
      <x:c r="A3160" s="1" t="s">
        <x:v>3169</x:v>
      </x:c>
      <x:c r="B3160" s="1">
        <x:f>IFERROR(__xludf.DUMMYFUNCTION("""COMPUTED_VALUE"""),"Hellboy II: l'exèrcit daurat")</x:f>
      </x:c>
      <x:c r="C3160" s="1">
        <x:f>IFERROR(__xludf.DUMMYFUNCTION("""COMPUTED_VALUE"""),"2008")</x:f>
      </x:c>
    </x:row>
    <x:row r="3161" spans="1:10">
      <x:c r="A3161" s="1" t="s">
        <x:v>3170</x:v>
      </x:c>
      <x:c r="B3161" s="1">
        <x:f>IFERROR(__xludf.DUMMYFUNCTION("""COMPUTED_VALUE"""),"Hellion: L'àngel caigut")</x:f>
      </x:c>
      <x:c r="C3161" s="1">
        <x:f>IFERROR(__xludf.DUMMYFUNCTION("""COMPUTED_VALUE"""),"2007")</x:f>
      </x:c>
    </x:row>
    <x:row r="3162" spans="1:10">
      <x:c r="A3162" s="1" t="s">
        <x:v>3171</x:v>
      </x:c>
      <x:c r="B3162" s="1">
        <x:f>IFERROR(__xludf.DUMMYFUNCTION("""COMPUTED_VALUE"""),"Hello World")</x:f>
      </x:c>
      <x:c r="C3162" s="1">
        <x:f>IFERROR(__xludf.DUMMYFUNCTION("""COMPUTED_VALUE"""),"2019")</x:f>
      </x:c>
    </x:row>
    <x:row r="3163" spans="1:10">
      <x:c r="A3163" s="1" t="s">
        <x:v>3172</x:v>
      </x:c>
      <x:c r="B3163" s="1">
        <x:f>IFERROR(__xludf.DUMMYFUNCTION("""COMPUTED_VALUE"""),"Hellraiser")</x:f>
      </x:c>
      <x:c r="C3163" s="1">
        <x:f>IFERROR(__xludf.DUMMYFUNCTION("""COMPUTED_VALUE"""),"1987")</x:f>
      </x:c>
    </x:row>
    <x:row r="3164" spans="1:10">
      <x:c r="A3164" s="1" t="s">
        <x:v>3173</x:v>
      </x:c>
      <x:c r="B3164" s="1">
        <x:f>IFERROR(__xludf.DUMMYFUNCTION("""COMPUTED_VALUE"""),"Hem caminat damunt la Lluna")</x:f>
      </x:c>
      <x:c r="C3164" s="1">
        <x:f>IFERROR(__xludf.DUMMYFUNCTION("""COMPUTED_VALUE"""),"1992")</x:f>
      </x:c>
    </x:row>
    <x:row r="3165" spans="1:10">
      <x:c r="A3165" s="1" t="s">
        <x:v>3174</x:v>
      </x:c>
      <x:c r="B3165" s="1">
        <x:f>IFERROR(__xludf.DUMMYFUNCTION("""COMPUTED_VALUE"""),"Hem d'atrapar Santa Claus!!")</x:f>
      </x:c>
      <x:c r="C3165" s="1">
        <x:f>IFERROR(__xludf.DUMMYFUNCTION("""COMPUTED_VALUE"""),"2008")</x:f>
      </x:c>
    </x:row>
    <x:row r="3166" spans="1:10">
      <x:c r="A3166" s="1" t="s">
        <x:v>3175</x:v>
      </x:c>
      <x:c r="B3166" s="1">
        <x:f>IFERROR(__xludf.DUMMYFUNCTION("""COMPUTED_VALUE"""),"Hem fet el cim!")</x:f>
      </x:c>
      <x:c r="C3166" s="1">
        <x:f>IFERROR(__xludf.DUMMYFUNCTION("""COMPUTED_VALUE"""),"1985")</x:f>
      </x:c>
    </x:row>
    <x:row r="3167" spans="1:10">
      <x:c r="A3167" s="1" t="s">
        <x:v>3176</x:v>
      </x:c>
      <x:c r="B3167" s="1">
        <x:f>IFERROR(__xludf.DUMMYFUNCTION("""COMPUTED_VALUE"""),"Her Blue Sky")</x:f>
      </x:c>
      <x:c r="C3167" s="1">
        <x:f>IFERROR(__xludf.DUMMYFUNCTION("""COMPUTED_VALUE"""),"2019")</x:f>
      </x:c>
    </x:row>
    <x:row r="3168" spans="1:10">
      <x:c r="A3168" s="1" t="s">
        <x:v>3177</x:v>
      </x:c>
      <x:c r="B3168" s="1">
        <x:f>IFERROR(__xludf.DUMMYFUNCTION("""COMPUTED_VALUE"""),"Hercules")</x:f>
      </x:c>
      <x:c r="C3168" s="1">
        <x:f>IFERROR(__xludf.DUMMYFUNCTION("""COMPUTED_VALUE"""),"1997")</x:f>
      </x:c>
    </x:row>
    <x:row r="3169" spans="1:10">
      <x:c r="A3169" s="1" t="s">
        <x:v>3178</x:v>
      </x:c>
      <x:c r="B3169" s="1">
        <x:f>IFERROR(__xludf.DUMMYFUNCTION("""COMPUTED_VALUE"""),"Hèrcules: L'origen de la llegenda")</x:f>
      </x:c>
      <x:c r="C3169" s="1">
        <x:f>IFERROR(__xludf.DUMMYFUNCTION("""COMPUTED_VALUE"""),"2014")</x:f>
      </x:c>
    </x:row>
    <x:row r="3170" spans="1:10">
      <x:c r="A3170" s="1" t="s">
        <x:v>3179</x:v>
      </x:c>
      <x:c r="B3170" s="1">
        <x:f>IFERROR(__xludf.DUMMYFUNCTION("""COMPUTED_VALUE"""),"Heretgia en taronja torrat (Una obra mestra)")</x:f>
      </x:c>
      <x:c r="C3170" s="1">
        <x:f>IFERROR(__xludf.DUMMYFUNCTION("""COMPUTED_VALUE"""),"2019")</x:f>
      </x:c>
    </x:row>
    <x:row r="3171" spans="1:10">
      <x:c r="A3171" s="1" t="s">
        <x:v>3180</x:v>
      </x:c>
      <x:c r="B3171" s="1">
        <x:f>IFERROR(__xludf.DUMMYFUNCTION("""COMPUTED_VALUE"""),"Hero")</x:f>
      </x:c>
      <x:c r="C3171" s="1">
        <x:f>IFERROR(__xludf.DUMMYFUNCTION("""COMPUTED_VALUE"""),"2002")</x:f>
      </x:c>
    </x:row>
    <x:row r="3172" spans="1:10">
      <x:c r="A3172" s="1" t="s">
        <x:v>3181</x:v>
      </x:c>
      <x:c r="B3172" s="1">
        <x:f>IFERROR(__xludf.DUMMYFUNCTION("""COMPUTED_VALUE"""),"Heroi de ratlles")</x:f>
      </x:c>
      <x:c r="C3172" s="1">
        <x:f>IFERROR(__xludf.DUMMYFUNCTION("""COMPUTED_VALUE"""),"2005")</x:f>
      </x:c>
    </x:row>
    <x:row r="3173" spans="1:10">
      <x:c r="A3173" s="1" t="s">
        <x:v>3182</x:v>
      </x:c>
      <x:c r="B3173" s="1">
        <x:f>IFERROR(__xludf.DUMMYFUNCTION("""COMPUTED_VALUE"""),"Heroi per accident")</x:f>
      </x:c>
      <x:c r="C3173" s="1">
        <x:f>IFERROR(__xludf.DUMMYFUNCTION("""COMPUTED_VALUE"""),"1992")</x:f>
      </x:c>
    </x:row>
    <x:row r="3174" spans="1:10">
      <x:c r="A3174" s="1" t="s">
        <x:v>3183</x:v>
      </x:c>
      <x:c r="B3174" s="1">
        <x:f>IFERROR(__xludf.DUMMYFUNCTION("""COMPUTED_VALUE"""),"Herois")</x:f>
      </x:c>
      <x:c r="C3174" s="1">
        <x:f>IFERROR(__xludf.DUMMYFUNCTION("""COMPUTED_VALUE"""),"2010")</x:f>
      </x:c>
    </x:row>
    <x:row r="3175" spans="1:10">
      <x:c r="A3175" s="1" t="s">
        <x:v>3184</x:v>
      </x:c>
      <x:c r="B3175" s="1">
        <x:f>IFERROR(__xludf.DUMMYFUNCTION("""COMPUTED_VALUE"""),"Herois a la galàxia")</x:f>
      </x:c>
      <x:c r="C3175" s="1">
        <x:f>IFERROR(__xludf.DUMMYFUNCTION("""COMPUTED_VALUE"""),"1988")</x:f>
      </x:c>
    </x:row>
    <x:row r="3176" spans="1:10">
      <x:c r="A3176" s="1" t="s">
        <x:v>3185</x:v>
      </x:c>
      <x:c r="B3176" s="1">
        <x:f>IFERROR(__xludf.DUMMYFUNCTION("""COMPUTED_VALUE"""),"Herois de Central Park")</x:f>
      </x:c>
      <x:c r="C3176" s="1">
        <x:f>IFERROR(__xludf.DUMMYFUNCTION("""COMPUTED_VALUE"""),"2023")</x:f>
      </x:c>
    </x:row>
    <x:row r="3177" spans="1:10">
      <x:c r="A3177" s="1" t="s">
        <x:v>3186</x:v>
      </x:c>
      <x:c r="B3177" s="1">
        <x:f>IFERROR(__xludf.DUMMYFUNCTION("""COMPUTED_VALUE"""),"Herois del cel")</x:f>
      </x:c>
      <x:c r="C3177" s="1">
        <x:f>IFERROR(__xludf.DUMMYFUNCTION("""COMPUTED_VALUE"""),"2005")</x:f>
      </x:c>
    </x:row>
    <x:row r="3178" spans="1:10">
      <x:c r="A3178" s="1" t="s">
        <x:v>3187</x:v>
      </x:c>
      <x:c r="B3178" s="1">
        <x:f>IFERROR(__xludf.DUMMYFUNCTION("""COMPUTED_VALUE"""),"Hi havia una vegada a Amèrica - I")</x:f>
      </x:c>
      <x:c r="C3178" s="1">
        <x:f>IFERROR(__xludf.DUMMYFUNCTION("""COMPUTED_VALUE"""),"1984")</x:f>
      </x:c>
    </x:row>
    <x:row r="3179" spans="1:10">
      <x:c r="A3179" s="1" t="s">
        <x:v>3188</x:v>
      </x:c>
      <x:c r="B3179" s="1">
        <x:f>IFERROR(__xludf.DUMMYFUNCTION("""COMPUTED_VALUE"""),"Hi havia una vegada a Amèrica - II")</x:f>
      </x:c>
      <x:c r="C3179" s="1">
        <x:f>IFERROR(__xludf.DUMMYFUNCTION("""COMPUTED_VALUE"""),"1984")</x:f>
      </x:c>
    </x:row>
    <x:row r="3180" spans="1:10">
      <x:c r="A3180" s="1" t="s">
        <x:v>3189</x:v>
      </x:c>
      <x:c r="B3180" s="1">
        <x:f>IFERROR(__xludf.DUMMYFUNCTION("""COMPUTED_VALUE"""),"Hi havia una vegada a la Xina. Part 1")</x:f>
      </x:c>
      <x:c r="C3180" s="1">
        <x:f>IFERROR(__xludf.DUMMYFUNCTION("""COMPUTED_VALUE"""),"1991")</x:f>
      </x:c>
    </x:row>
    <x:row r="3181" spans="1:10">
      <x:c r="A3181" s="1" t="s">
        <x:v>3190</x:v>
      </x:c>
      <x:c r="B3181" s="1">
        <x:f>IFERROR(__xludf.DUMMYFUNCTION("""COMPUTED_VALUE"""),"Hi havia una vegada a la Xina. Part 2")</x:f>
      </x:c>
      <x:c r="C3181" s="1">
        <x:f>IFERROR(__xludf.DUMMYFUNCTION("""COMPUTED_VALUE"""),"1992")</x:f>
      </x:c>
    </x:row>
    <x:row r="3182" spans="1:10">
      <x:c r="A3182" s="1" t="s">
        <x:v>3191</x:v>
      </x:c>
      <x:c r="B3182" s="1">
        <x:f>IFERROR(__xludf.DUMMYFUNCTION("""COMPUTED_VALUE"""),"Hi havia una vegada a la Xina. Part 3")</x:f>
      </x:c>
      <x:c r="C3182" s="1">
        <x:f>IFERROR(__xludf.DUMMYFUNCTION("""COMPUTED_VALUE"""),"1993")</x:f>
      </x:c>
    </x:row>
    <x:row r="3183" spans="1:10">
      <x:c r="A3183" s="1" t="s">
        <x:v>3192</x:v>
      </x:c>
      <x:c r="B3183" s="1">
        <x:f>IFERROR(__xludf.DUMMYFUNCTION("""COMPUTED_VALUE"""),"Hi havia una vegada...")</x:f>
      </x:c>
      <x:c r="C3183" s="1">
        <x:f>IFERROR(__xludf.DUMMYFUNCTION("""COMPUTED_VALUE"""),"2020")</x:f>
      </x:c>
    </x:row>
    <x:row r="3184" spans="1:10">
      <x:c r="A3184" s="1" t="s">
        <x:v>3193</x:v>
      </x:c>
      <x:c r="B3184" s="1">
        <x:f>IFERROR(__xludf.DUMMYFUNCTION("""COMPUTED_VALUE"""),"Hipnos")</x:f>
      </x:c>
      <x:c r="C3184" s="1">
        <x:f>IFERROR(__xludf.DUMMYFUNCTION("""COMPUTED_VALUE"""),"2004")</x:f>
      </x:c>
    </x:row>
    <x:row r="3185" spans="1:10">
      <x:c r="A3185" s="1" t="s">
        <x:v>3194</x:v>
      </x:c>
      <x:c r="B3185" s="1">
        <x:f>IFERROR(__xludf.DUMMYFUNCTION("""COMPUTED_VALUE"""),"Hiroshima")</x:f>
      </x:c>
      <x:c r="C3185" s="1">
        <x:f>IFERROR(__xludf.DUMMYFUNCTION("""COMPUTED_VALUE"""),"1983")</x:f>
      </x:c>
    </x:row>
    <x:row r="3186" spans="1:10">
      <x:c r="A3186" s="1" t="s">
        <x:v>3195</x:v>
      </x:c>
      <x:c r="B3186" s="1">
        <x:f>IFERROR(__xludf.DUMMYFUNCTION("""COMPUTED_VALUE"""),"Histèria")</x:f>
      </x:c>
      <x:c r="C3186" s="1">
        <x:f>IFERROR(__xludf.DUMMYFUNCTION("""COMPUTED_VALUE"""),"2011")</x:f>
      </x:c>
    </x:row>
    <x:row r="3187" spans="1:10">
      <x:c r="A3187" s="1" t="s">
        <x:v>3196</x:v>
      </x:c>
      <x:c r="B3187" s="1">
        <x:f>IFERROR(__xludf.DUMMYFUNCTION("""COMPUTED_VALUE"""),"Història d'O")</x:f>
      </x:c>
      <x:c r="C3187" s="1">
        <x:f>IFERROR(__xludf.DUMMYFUNCTION("""COMPUTED_VALUE"""),"1975")</x:f>
      </x:c>
    </x:row>
    <x:row r="3188" spans="1:10">
      <x:c r="A3188" s="1" t="s">
        <x:v>3197</x:v>
      </x:c>
      <x:c r="B3188" s="1">
        <x:f>IFERROR(__xludf.DUMMYFUNCTION("""COMPUTED_VALUE"""),"Història d'un assaig")</x:f>
      </x:c>
      <x:c r="C3188" s="1">
        <x:f>IFERROR(__xludf.DUMMYFUNCTION("""COMPUTED_VALUE"""),"2020")</x:f>
      </x:c>
    </x:row>
    <x:row r="3189" spans="1:10">
      <x:c r="A3189" s="1" t="s">
        <x:v>3198</x:v>
      </x:c>
      <x:c r="B3189" s="1">
        <x:f>IFERROR(__xludf.DUMMYFUNCTION("""COMPUTED_VALUE"""),"Història d'un crim")</x:f>
      </x:c>
      <x:c r="C3189" s="1">
        <x:f>IFERROR(__xludf.DUMMYFUNCTION("""COMPUTED_VALUE"""),"2006")</x:f>
      </x:c>
    </x:row>
    <x:row r="3190" spans="1:10">
      <x:c r="A3190" s="1" t="s">
        <x:v>3199</x:v>
      </x:c>
      <x:c r="B3190" s="1">
        <x:f>IFERROR(__xludf.DUMMYFUNCTION("""COMPUTED_VALUE"""),"Història d'un segrest")</x:f>
      </x:c>
      <x:c r="C3190" s="1">
        <x:f>IFERROR(__xludf.DUMMYFUNCTION("""COMPUTED_VALUE"""),"2005")</x:f>
      </x:c>
    </x:row>
    <x:row r="3191" spans="1:10">
      <x:c r="A3191" s="1" t="s">
        <x:v>3200</x:v>
      </x:c>
      <x:c r="B3191" s="1">
        <x:f>IFERROR(__xludf.DUMMYFUNCTION("""COMPUTED_VALUE"""),"Història d'una anarquista")</x:f>
      </x:c>
      <x:c r="C3191" s="1">
        <x:f>IFERROR(__xludf.DUMMYFUNCTION("""COMPUTED_VALUE"""),"2007")</x:f>
      </x:c>
    </x:row>
    <x:row r="3192" spans="1:10">
      <x:c r="A3192" s="1" t="s">
        <x:v>3201</x:v>
      </x:c>
      <x:c r="B3192" s="1">
        <x:f>IFERROR(__xludf.DUMMYFUNCTION("""COMPUTED_VALUE"""),"Història d'una gavina i del gat que li va ensenyar a volar")</x:f>
      </x:c>
      <x:c r="C3192" s="1">
        <x:f>IFERROR(__xludf.DUMMYFUNCTION("""COMPUTED_VALUE"""),"1998")</x:f>
      </x:c>
    </x:row>
    <x:row r="3193" spans="1:10">
      <x:c r="A3193" s="1" t="s">
        <x:v>3202</x:v>
      </x:c>
      <x:c r="B3193" s="1">
        <x:f>IFERROR(__xludf.DUMMYFUNCTION("""COMPUTED_VALUE"""),"Història d'una mare")</x:f>
      </x:c>
      <x:c r="C3193" s="1">
        <x:f>IFERROR(__xludf.DUMMYFUNCTION("""COMPUTED_VALUE"""),"2025")</x:f>
      </x:c>
    </x:row>
    <x:row r="3194" spans="1:10">
      <x:c r="A3194" s="1" t="s">
        <x:v>3203</x:v>
      </x:c>
      <x:c r="B3194" s="1">
        <x:f>IFERROR(__xludf.DUMMYFUNCTION("""COMPUTED_VALUE"""),"Història d'una monja")</x:f>
      </x:c>
      <x:c r="C3194" s="1">
        <x:f>IFERROR(__xludf.DUMMYFUNCTION("""COMPUTED_VALUE"""),"1959")</x:f>
      </x:c>
    </x:row>
    <x:row r="3195" spans="1:10">
      <x:c r="A3195" s="1" t="s">
        <x:v>3204</x:v>
      </x:c>
      <x:c r="B3195" s="1">
        <x:f>IFERROR(__xludf.DUMMYFUNCTION("""COMPUTED_VALUE"""),"Història d'una traïció")</x:f>
      </x:c>
      <x:c r="C3195" s="1">
        <x:f>IFERROR(__xludf.DUMMYFUNCTION("""COMPUTED_VALUE"""),"2021")</x:f>
      </x:c>
    </x:row>
    <x:row r="3196" spans="1:10">
      <x:c r="A3196" s="1" t="s">
        <x:v>3205</x:v>
      </x:c>
      <x:c r="B3196" s="1">
        <x:f>IFERROR(__xludf.DUMMYFUNCTION("""COMPUTED_VALUE"""),"Història de la meva mort")</x:f>
      </x:c>
      <x:c r="C3196" s="1">
        <x:f>IFERROR(__xludf.DUMMYFUNCTION("""COMPUTED_VALUE"""),"2013")</x:f>
      </x:c>
    </x:row>
    <x:row r="3197" spans="1:10">
      <x:c r="A3197" s="1" t="s">
        <x:v>3206</x:v>
      </x:c>
      <x:c r="B3197" s="1">
        <x:f>IFERROR(__xludf.DUMMYFUNCTION("""COMPUTED_VALUE"""),"Història del cafè (para todos)")</x:f>
      </x:c>
      <x:c r="C3197" s="1">
        <x:f>IFERROR(__xludf.DUMMYFUNCTION("""COMPUTED_VALUE"""),"2011")</x:f>
      </x:c>
    </x:row>
    <x:row r="3198" spans="1:10">
      <x:c r="A3198" s="1" t="s">
        <x:v>3207</x:v>
      </x:c>
      <x:c r="B3198" s="1">
        <x:f>IFERROR(__xludf.DUMMYFUNCTION("""COMPUTED_VALUE"""),"Història intermitent del Parlament")</x:f>
      </x:c>
      <x:c r="C3198" s="1">
        <x:f>IFERROR(__xludf.DUMMYFUNCTION("""COMPUTED_VALUE"""),"2020")</x:f>
      </x:c>
    </x:row>
    <x:row r="3199" spans="1:10">
      <x:c r="A3199" s="1" t="s">
        <x:v>3208</x:v>
      </x:c>
      <x:c r="B3199" s="1">
        <x:f>IFERROR(__xludf.DUMMYFUNCTION("""COMPUTED_VALUE"""),"Històries de Manhattan")</x:f>
      </x:c>
      <x:c r="C3199" s="1">
        <x:f>IFERROR(__xludf.DUMMYFUNCTION("""COMPUTED_VALUE"""),"2007")</x:f>
      </x:c>
    </x:row>
    <x:row r="3200" spans="1:10">
      <x:c r="A3200" s="1" t="s">
        <x:v>3209</x:v>
      </x:c>
      <x:c r="B3200" s="1">
        <x:f>IFERROR(__xludf.DUMMYFUNCTION("""COMPUTED_VALUE"""),"Històries de mitjanit")</x:f>
      </x:c>
      <x:c r="C3200" s="1">
        <x:f>IFERROR(__xludf.DUMMYFUNCTION("""COMPUTED_VALUE"""),"1997")</x:f>
      </x:c>
    </x:row>
    <x:row r="3201" spans="1:10">
      <x:c r="A3201" s="1" t="s">
        <x:v>3210</x:v>
      </x:c>
      <x:c r="B3201" s="1">
        <x:f>IFERROR(__xludf.DUMMYFUNCTION("""COMPUTED_VALUE"""),"Històries de Palau")</x:f>
      </x:c>
      <x:c r="C3201" s="1">
        <x:f>IFERROR(__xludf.DUMMYFUNCTION("""COMPUTED_VALUE"""),"2018")</x:f>
      </x:c>
    </x:row>
    <x:row r="3202" spans="1:10">
      <x:c r="A3202" s="1" t="s">
        <x:v>3211</x:v>
      </x:c>
      <x:c r="B3202" s="1">
        <x:f>IFERROR(__xludf.DUMMYFUNCTION("""COMPUTED_VALUE"""),"Històries per no explicar")</x:f>
      </x:c>
      <x:c r="C3202" s="1">
        <x:f>IFERROR(__xludf.DUMMYFUNCTION("""COMPUTED_VALUE"""),"2022")</x:f>
      </x:c>
    </x:row>
    <x:row r="3203" spans="1:10">
      <x:c r="A3203" s="1" t="s">
        <x:v>3212</x:v>
      </x:c>
      <x:c r="B3203" s="1">
        <x:f>IFERROR(__xludf.DUMMYFUNCTION("""COMPUTED_VALUE"""),"Historietes")</x:f>
      </x:c>
      <x:c r="C3203" s="1">
        <x:f>IFERROR(__xludf.DUMMYFUNCTION("""COMPUTED_VALUE"""),"1994")</x:f>
      </x:c>
    </x:row>
    <x:row r="3204" spans="1:10">
      <x:c r="A3204" s="1" t="s">
        <x:v>3213</x:v>
      </x:c>
      <x:c r="B3204" s="1">
        <x:f>IFERROR(__xludf.DUMMYFUNCTION("""COMPUTED_VALUE"""),"Hit Man")</x:f>
      </x:c>
      <x:c r="C3204" s="1">
        <x:f>IFERROR(__xludf.DUMMYFUNCTION("""COMPUTED_VALUE"""),"2023")</x:f>
      </x:c>
    </x:row>
    <x:row r="3205" spans="1:10">
      <x:c r="A3205" s="1" t="s">
        <x:v>3214</x:v>
      </x:c>
      <x:c r="B3205" s="1">
        <x:f>IFERROR(__xludf.DUMMYFUNCTION("""COMPUTED_VALUE"""),"Hitchcock")</x:f>
      </x:c>
      <x:c r="C3205" s="1">
        <x:f>IFERROR(__xludf.DUMMYFUNCTION("""COMPUTED_VALUE"""),"2012")</x:f>
      </x:c>
    </x:row>
    <x:row r="3206" spans="1:10">
      <x:c r="A3206" s="1" t="s">
        <x:v>3215</x:v>
      </x:c>
      <x:c r="B3206" s="1">
        <x:f>IFERROR(__xludf.DUMMYFUNCTION("""COMPUTED_VALUE"""),"Hitchcock/Truffaut [VOSC]")</x:f>
      </x:c>
      <x:c r="C3206" s="1">
        <x:f>IFERROR(__xludf.DUMMYFUNCTION("""COMPUTED_VALUE"""),"2015")</x:f>
      </x:c>
    </x:row>
    <x:row r="3207" spans="1:10">
      <x:c r="A3207" s="1" t="s">
        <x:v>3216</x:v>
      </x:c>
      <x:c r="B3207" s="1">
        <x:f>IFERROR(__xludf.DUMMYFUNCTION("""COMPUTED_VALUE"""),"Hitler i París")</x:f>
      </x:c>
      <x:c r="C3207" s="1">
        <x:f>IFERROR(__xludf.DUMMYFUNCTION("""COMPUTED_VALUE"""),"2017")</x:f>
      </x:c>
    </x:row>
    <x:row r="3208" spans="1:10">
      <x:c r="A3208" s="1" t="s">
        <x:v>3217</x:v>
      </x:c>
      <x:c r="B3208" s="1">
        <x:f>IFERROR(__xludf.DUMMYFUNCTION("""COMPUTED_VALUE"""),"Hits")</x:f>
      </x:c>
      <x:c r="C3208" s="1">
        <x:f>IFERROR(__xludf.DUMMYFUNCTION("""COMPUTED_VALUE"""),"2019")</x:f>
      </x:c>
    </x:row>
    <x:row r="3209" spans="1:10">
      <x:c r="A3209" s="1" t="s">
        <x:v>3218</x:v>
      </x:c>
      <x:c r="B3209" s="1">
        <x:f>IFERROR(__xludf.DUMMYFUNCTION("""COMPUTED_VALUE"""),"Hola, Europa!")</x:f>
      </x:c>
      <x:c r="C3209" s="1">
        <x:f>IFERROR(__xludf.DUMMYFUNCTION("""COMPUTED_VALUE"""),"2012")</x:f>
      </x:c>
    </x:row>
    <x:row r="3210" spans="1:10">
      <x:c r="A3210" s="1" t="s">
        <x:v>3219</x:v>
      </x:c>
      <x:c r="B3210" s="1">
        <x:f>IFERROR(__xludf.DUMMYFUNCTION("""COMPUTED_VALUE"""),"Hollywood, departament d'homicidis")</x:f>
      </x:c>
      <x:c r="C3210" s="1">
        <x:f>IFERROR(__xludf.DUMMYFUNCTION("""COMPUTED_VALUE"""),"2003")</x:f>
      </x:c>
    </x:row>
    <x:row r="3211" spans="1:10">
      <x:c r="A3211" s="1" t="s">
        <x:v>3220</x:v>
      </x:c>
      <x:c r="B3211" s="1">
        <x:f>IFERROR(__xludf.DUMMYFUNCTION("""COMPUTED_VALUE"""),"Home mort")</x:f>
      </x:c>
      <x:c r="C3211" s="1">
        <x:f>IFERROR(__xludf.DUMMYFUNCTION("""COMPUTED_VALUE"""),"2017")</x:f>
      </x:c>
    </x:row>
    <x:row r="3212" spans="1:10">
      <x:c r="A3212" s="1" t="s">
        <x:v>3221</x:v>
      </x:c>
      <x:c r="B3212" s="1">
        <x:f>IFERROR(__xludf.DUMMYFUNCTION("""COMPUTED_VALUE"""),"Home: Llar dolça llar")</x:f>
      </x:c>
      <x:c r="C3212" s="1">
        <x:f>IFERROR(__xludf.DUMMYFUNCTION("""COMPUTED_VALUE"""),"2015")</x:f>
      </x:c>
    </x:row>
    <x:row r="3213" spans="1:10">
      <x:c r="A3213" s="1" t="s">
        <x:v>3222</x:v>
      </x:c>
      <x:c r="B3213" s="1">
        <x:f>IFERROR(__xludf.DUMMYFUNCTION("""COMPUTED_VALUE"""),"Homenatge a Pau Riba")</x:f>
      </x:c>
      <x:c r="C3213" s="1">
        <x:f>IFERROR(__xludf.DUMMYFUNCTION("""COMPUTED_VALUE"""),"2006")</x:f>
      </x:c>
    </x:row>
    <x:row r="3214" spans="1:10">
      <x:c r="A3214" s="1" t="s">
        <x:v>3223</x:v>
      </x:c>
      <x:c r="B3214" s="1">
        <x:f>IFERROR(__xludf.DUMMYFUNCTION("""COMPUTED_VALUE"""),"Homenatge a Pepe Rubianes. El club")</x:f>
      </x:c>
      <x:c r="C3214" s="1">
        <x:f>IFERROR(__xludf.DUMMYFUNCTION("""COMPUTED_VALUE"""),"2009")</x:f>
      </x:c>
    </x:row>
    <x:row r="3215" spans="1:10">
      <x:c r="A3215" s="1" t="s">
        <x:v>3224</x:v>
      </x:c>
      <x:c r="B3215" s="1">
        <x:f>IFERROR(__xludf.DUMMYFUNCTION("""COMPUTED_VALUE"""),"Homenatge als Beatles sobre gel")</x:f>
      </x:c>
      <x:c r="C3215" s="1">
        <x:f>IFERROR(__xludf.DUMMYFUNCTION("""COMPUTED_VALUE"""),"2011")</x:f>
      </x:c>
    </x:row>
    <x:row r="3216" spans="1:10">
      <x:c r="A3216" s="1" t="s">
        <x:v>3225</x:v>
      </x:c>
      <x:c r="B3216" s="1">
        <x:f>IFERROR(__xludf.DUMMYFUNCTION("""COMPUTED_VALUE"""),"Homes a l'aigua")</x:f>
      </x:c>
      <x:c r="C3216" s="1">
        <x:f>IFERROR(__xludf.DUMMYFUNCTION("""COMPUTED_VALUE"""),"2018")</x:f>
      </x:c>
    </x:row>
    <x:row r="3217" spans="1:10">
      <x:c r="A3217" s="1" t="s">
        <x:v>3226</x:v>
      </x:c>
      <x:c r="B3217" s="1">
        <x:f>IFERROR(__xludf.DUMMYFUNCTION("""COMPUTED_VALUE"""),"Homes a punt de tenir un atac de nervis")</x:f>
      </x:c>
      <x:c r="C3217" s="1">
        <x:f>IFERROR(__xludf.DUMMYFUNCTION("""COMPUTED_VALUE"""),"2022")</x:f>
      </x:c>
    </x:row>
    <x:row r="3218" spans="1:10">
      <x:c r="A3218" s="1" t="s">
        <x:v>3227</x:v>
      </x:c>
      <x:c r="B3218" s="1">
        <x:f>IFERROR(__xludf.DUMMYFUNCTION("""COMPUTED_VALUE"""),"Homes d'empresa")</x:f>
      </x:c>
      <x:c r="C3218" s="1">
        <x:f>IFERROR(__xludf.DUMMYFUNCTION("""COMPUTED_VALUE"""),"2010")</x:f>
      </x:c>
    </x:row>
    <x:row r="3219" spans="1:10">
      <x:c r="A3219" s="1" t="s">
        <x:v>3228</x:v>
      </x:c>
      <x:c r="B3219" s="1">
        <x:f>IFERROR(__xludf.DUMMYFUNCTION("""COMPUTED_VALUE"""),"Homes i No")</x:f>
      </x:c>
      <x:c r="C3219" s="1">
        <x:f>IFERROR(__xludf.DUMMYFUNCTION("""COMPUTED_VALUE"""),"1978")</x:f>
      </x:c>
    </x:row>
    <x:row r="3220" spans="1:10">
      <x:c r="A3220" s="1" t="s">
        <x:v>3229</x:v>
      </x:c>
      <x:c r="B3220" s="1">
        <x:f>IFERROR(__xludf.DUMMYFUNCTION("""COMPUTED_VALUE"""),"Homes i ratolins")</x:f>
      </x:c>
      <x:c r="C3220" s="1">
        <x:f>IFERROR(__xludf.DUMMYFUNCTION("""COMPUTED_VALUE"""),"1992")</x:f>
      </x:c>
    </x:row>
    <x:row r="3221" spans="1:10">
      <x:c r="A3221" s="1" t="s">
        <x:v>3230</x:v>
      </x:c>
      <x:c r="B3221" s="1">
        <x:f>IFERROR(__xludf.DUMMYFUNCTION("""COMPUTED_VALUE"""),"Homicidi en primer grau")</x:f>
      </x:c>
      <x:c r="C3221" s="1">
        <x:f>IFERROR(__xludf.DUMMYFUNCTION("""COMPUTED_VALUE"""),"1995")</x:f>
      </x:c>
    </x:row>
    <x:row r="3222" spans="1:10">
      <x:c r="A3222" s="1" t="s">
        <x:v>3231</x:v>
      </x:c>
      <x:c r="B3222" s="1">
        <x:f>IFERROR(__xludf.DUMMYFUNCTION("""COMPUTED_VALUE"""),"Honor de caballer")</x:f>
      </x:c>
      <x:c r="C3222" s="1">
        <x:f>IFERROR(__xludf.DUMMYFUNCTION("""COMPUTED_VALUE"""),"2008")</x:f>
      </x:c>
    </x:row>
    <x:row r="3223" spans="1:10">
      <x:c r="A3223" s="1" t="s">
        <x:v>3232</x:v>
      </x:c>
      <x:c r="B3223" s="1">
        <x:f>IFERROR(__xludf.DUMMYFUNCTION("""COMPUTED_VALUE"""),"Honor de cavalleria")</x:f>
      </x:c>
      <x:c r="C3223" s="1">
        <x:f>IFERROR(__xludf.DUMMYFUNCTION("""COMPUTED_VALUE"""),"2006")</x:f>
      </x:c>
    </x:row>
    <x:row r="3224" spans="1:10">
      <x:c r="A3224" s="1" t="s">
        <x:v>3233</x:v>
      </x:c>
      <x:c r="B3224" s="1">
        <x:f>IFERROR(__xludf.DUMMYFUNCTION("""COMPUTED_VALUE"""),"Hook")</x:f>
      </x:c>
      <x:c r="C3224" s="1">
        <x:f>IFERROR(__xludf.DUMMYFUNCTION("""COMPUTED_VALUE"""),"1991")</x:f>
      </x:c>
    </x:row>
    <x:row r="3225" spans="1:10">
      <x:c r="A3225" s="1" t="s">
        <x:v>3234</x:v>
      </x:c>
      <x:c r="B3225" s="1">
        <x:f>IFERROR(__xludf.DUMMYFUNCTION("""COMPUTED_VALUE"""),"Hope")</x:f>
      </x:c>
      <x:c r="C3225" s="1">
        <x:f>IFERROR(__xludf.DUMMYFUNCTION("""COMPUTED_VALUE"""),"2019")</x:f>
      </x:c>
    </x:row>
    <x:row r="3226" spans="1:10">
      <x:c r="A3226" s="1" t="s">
        <x:v>3235</x:v>
      </x:c>
      <x:c r="B3226" s="1">
        <x:f>IFERROR(__xludf.DUMMYFUNCTION("""COMPUTED_VALUE"""),"Hopper: El polletllebre")</x:f>
      </x:c>
      <x:c r="C3226" s="1">
        <x:f>IFERROR(__xludf.DUMMYFUNCTION("""COMPUTED_VALUE"""),"2022")</x:f>
      </x:c>
    </x:row>
    <x:row r="3227" spans="1:10">
      <x:c r="A3227" s="1" t="s">
        <x:v>3236</x:v>
      </x:c>
      <x:c r="B3227" s="1">
        <x:f>IFERROR(__xludf.DUMMYFUNCTION("""COMPUTED_VALUE"""),"Hoppers")</x:f>
      </x:c>
      <x:c r="C3227" s="1">
        <x:f>IFERROR(__xludf.DUMMYFUNCTION("""COMPUTED_VALUE"""),"2026")</x:f>
      </x:c>
    </x:row>
    <x:row r="3228" spans="1:10">
      <x:c r="A3228" s="1" t="s">
        <x:v>3237</x:v>
      </x:c>
      <x:c r="B3228" s="1">
        <x:f>IFERROR(__xludf.DUMMYFUNCTION("""COMPUTED_VALUE"""),"Hora punta")</x:f>
      </x:c>
      <x:c r="C3228" s="1">
        <x:f>IFERROR(__xludf.DUMMYFUNCTION("""COMPUTED_VALUE"""),"1998")</x:f>
      </x:c>
    </x:row>
    <x:row r="3229" spans="1:10">
      <x:c r="A3229" s="1" t="s">
        <x:v>3238</x:v>
      </x:c>
      <x:c r="B3229" s="1">
        <x:f>IFERROR(__xludf.DUMMYFUNCTION("""COMPUTED_VALUE"""),"Hora punta 3")</x:f>
      </x:c>
      <x:c r="C3229" s="1">
        <x:f>IFERROR(__xludf.DUMMYFUNCTION("""COMPUTED_VALUE"""),"2007")</x:f>
      </x:c>
    </x:row>
    <x:row r="3230" spans="1:10">
      <x:c r="A3230" s="1" t="s">
        <x:v>3239</x:v>
      </x:c>
      <x:c r="B3230" s="1">
        <x:f>IFERROR(__xludf.DUMMYFUNCTION("""COMPUTED_VALUE"""),"Horitzons perduts")</x:f>
      </x:c>
      <x:c r="C3230" s="1">
        <x:f>IFERROR(__xludf.DUMMYFUNCTION("""COMPUTED_VALUE"""),"1937")</x:f>
      </x:c>
    </x:row>
    <x:row r="3231" spans="1:10">
      <x:c r="A3231" s="1" t="s">
        <x:v>3240</x:v>
      </x:c>
      <x:c r="B3231" s="1">
        <x:f>IFERROR(__xludf.DUMMYFUNCTION("""COMPUTED_VALUE"""),"Hostage")</x:f>
      </x:c>
      <x:c r="C3231" s="1">
        <x:f>IFERROR(__xludf.DUMMYFUNCTION("""COMPUTED_VALUE"""),"2005")</x:f>
      </x:c>
    </x:row>
    <x:row r="3232" spans="1:10">
      <x:c r="A3232" s="1" t="s">
        <x:v>3241</x:v>
      </x:c>
      <x:c r="B3232" s="1">
        <x:f>IFERROR(__xludf.DUMMYFUNCTION("""COMPUTED_VALUE"""),"Hostel")</x:f>
      </x:c>
      <x:c r="C3232" s="1">
        <x:f>IFERROR(__xludf.DUMMYFUNCTION("""COMPUTED_VALUE"""),"2005")</x:f>
      </x:c>
    </x:row>
    <x:row r="3233" spans="1:10">
      <x:c r="A3233" s="1" t="s">
        <x:v>3242</x:v>
      </x:c>
      <x:c r="B3233" s="1">
        <x:f>IFERROR(__xludf.DUMMYFUNCTION("""COMPUTED_VALUE"""),"Hostel 2")</x:f>
      </x:c>
      <x:c r="C3233" s="1">
        <x:f>IFERROR(__xludf.DUMMYFUNCTION("""COMPUTED_VALUE"""),"2007")</x:f>
      </x:c>
    </x:row>
    <x:row r="3234" spans="1:10">
      <x:c r="A3234" s="1" t="s">
        <x:v>3243</x:v>
      </x:c>
      <x:c r="B3234" s="1">
        <x:f>IFERROR(__xludf.DUMMYFUNCTION("""COMPUTED_VALUE"""),"Hotel Artemis")</x:f>
      </x:c>
      <x:c r="C3234" s="1">
        <x:f>IFERROR(__xludf.DUMMYFUNCTION("""COMPUTED_VALUE"""),"2018")</x:f>
      </x:c>
    </x:row>
    <x:row r="3235" spans="1:10">
      <x:c r="A3235" s="1" t="s">
        <x:v>3244</x:v>
      </x:c>
      <x:c r="B3235" s="1">
        <x:f>IFERROR(__xludf.DUMMYFUNCTION("""COMPUTED_VALUE"""),"Hotel Bombai")</x:f>
      </x:c>
      <x:c r="C3235" s="1">
        <x:f>IFERROR(__xludf.DUMMYFUNCTION("""COMPUTED_VALUE"""),"2018")</x:f>
      </x:c>
    </x:row>
    <x:row r="3236" spans="1:10">
      <x:c r="A3236" s="1" t="s">
        <x:v>3245</x:v>
      </x:c>
      <x:c r="B3236" s="1">
        <x:f>IFERROR(__xludf.DUMMYFUNCTION("""COMPUTED_VALUE"""),"Hotel Rwanda")</x:f>
      </x:c>
      <x:c r="C3236" s="1">
        <x:f>IFERROR(__xludf.DUMMYFUNCTION("""COMPUTED_VALUE"""),"2004")</x:f>
      </x:c>
    </x:row>
    <x:row r="3237" spans="1:10">
      <x:c r="A3237" s="1" t="s">
        <x:v>3246</x:v>
      </x:c>
      <x:c r="B3237" s="1">
        <x:f>IFERROR(__xludf.DUMMYFUNCTION("""COMPUTED_VALUE"""),"Hotel Salvation")</x:f>
      </x:c>
      <x:c r="C3237" s="1">
        <x:f>IFERROR(__xludf.DUMMYFUNCTION("""COMPUTED_VALUE"""),"2016")</x:f>
      </x:c>
    </x:row>
    <x:row r="3238" spans="1:10">
      <x:c r="A3238" s="1" t="s">
        <x:v>3247</x:v>
      </x:c>
      <x:c r="B3238" s="1">
        <x:f>IFERROR(__xludf.DUMMYFUNCTION("""COMPUTED_VALUE"""),"Hotel Transsilvània 1")</x:f>
      </x:c>
      <x:c r="C3238" s="1">
        <x:f>IFERROR(__xludf.DUMMYFUNCTION("""COMPUTED_VALUE"""),"2012")</x:f>
      </x:c>
    </x:row>
    <x:row r="3239" spans="1:10">
      <x:c r="A3239" s="1" t="s">
        <x:v>3248</x:v>
      </x:c>
      <x:c r="B3239" s="1">
        <x:f>IFERROR(__xludf.DUMMYFUNCTION("""COMPUTED_VALUE"""),"Hotel Transsilvània 2")</x:f>
      </x:c>
      <x:c r="C3239" s="1">
        <x:f>IFERROR(__xludf.DUMMYFUNCTION("""COMPUTED_VALUE"""),"2015")</x:f>
      </x:c>
    </x:row>
    <x:row r="3240" spans="1:10">
      <x:c r="A3240" s="1" t="s">
        <x:v>3249</x:v>
      </x:c>
      <x:c r="B3240" s="1">
        <x:f>IFERROR(__xludf.DUMMYFUNCTION("""COMPUTED_VALUE"""),"Hotel Transsilvània 3 Unes vacances monstruoses")</x:f>
      </x:c>
      <x:c r="C3240" s="1">
        <x:f>IFERROR(__xludf.DUMMYFUNCTION("""COMPUTED_VALUE"""),"2018")</x:f>
      </x:c>
    </x:row>
    <x:row r="3241" spans="1:10">
      <x:c r="A3241" s="1" t="s">
        <x:v>3250</x:v>
      </x:c>
      <x:c r="B3241" s="1">
        <x:f>IFERROR(__xludf.DUMMYFUNCTION("""COMPUTED_VALUE"""),"Hotel Transsilvània 4 Transformania")</x:f>
      </x:c>
      <x:c r="C3241" s="1">
        <x:f>IFERROR(__xludf.DUMMYFUNCTION("""COMPUTED_VALUE"""),"2022")</x:f>
      </x:c>
    </x:row>
    <x:row r="3242" spans="1:10">
      <x:c r="A3242" s="1" t="s">
        <x:v>3251</x:v>
      </x:c>
      <x:c r="B3242" s="1">
        <x:f>IFERROR(__xludf.DUMMYFUNCTION("""COMPUTED_VALUE"""),"House of D")</x:f>
      </x:c>
      <x:c r="C3242" s="1">
        <x:f>IFERROR(__xludf.DUMMYFUNCTION("""COMPUTED_VALUE"""),"2004")</x:f>
      </x:c>
    </x:row>
    <x:row r="3243" spans="1:10">
      <x:c r="A3243" s="1" t="s">
        <x:v>3252</x:v>
      </x:c>
      <x:c r="B3243" s="1">
        <x:f>IFERROR(__xludf.DUMMYFUNCTION("""COMPUTED_VALUE"""),"Hula Girls")</x:f>
      </x:c>
      <x:c r="C3243" s="1">
        <x:f>IFERROR(__xludf.DUMMYFUNCTION("""COMPUTED_VALUE"""),"2006")</x:f>
      </x:c>
    </x:row>
    <x:row r="3244" spans="1:10">
      <x:c r="A3244" s="1" t="s">
        <x:v>3253</x:v>
      </x:c>
      <x:c r="B3244" s="1">
        <x:f>IFERROR(__xludf.DUMMYFUNCTION("""COMPUTED_VALUE"""),"Human Lost")</x:f>
      </x:c>
      <x:c r="C3244" s="1">
        <x:f>IFERROR(__xludf.DUMMYFUNCTION("""COMPUTED_VALUE"""),"2019")</x:f>
      </x:c>
    </x:row>
    <x:row r="3245" spans="1:10">
      <x:c r="A3245" s="1" t="s">
        <x:v>3254</x:v>
      </x:c>
      <x:c r="B3245" s="1">
        <x:f>IFERROR(__xludf.DUMMYFUNCTION("""COMPUTED_VALUE"""),"Hurlyburly")</x:f>
      </x:c>
      <x:c r="C3245" s="1">
        <x:f>IFERROR(__xludf.DUMMYFUNCTION("""COMPUTED_VALUE"""),"1998")</x:f>
      </x:c>
    </x:row>
    <x:row r="3246" spans="1:10">
      <x:c r="A3246" s="1" t="s">
        <x:v>3255</x:v>
      </x:c>
      <x:c r="B3246" s="1">
        <x:f>IFERROR(__xludf.DUMMYFUNCTION("""COMPUTED_VALUE"""),"Hvaldimir La veritable història de la balena espia")</x:f>
      </x:c>
      <x:c r="C3246" s="1">
        <x:f>IFERROR(__xludf.DUMMYFUNCTION("""COMPUTED_VALUE"""),"2024")</x:f>
      </x:c>
    </x:row>
    <x:row r="3247" spans="1:10">
      <x:c r="A3247" s="1" t="s">
        <x:v>3256</x:v>
      </x:c>
      <x:c r="B3247" s="1">
        <x:f>IFERROR(__xludf.DUMMYFUNCTION("""COMPUTED_VALUE"""),"Hypnotic")</x:f>
      </x:c>
      <x:c r="C3247" s="1">
        <x:f>IFERROR(__xludf.DUMMYFUNCTION("""COMPUTED_VALUE"""),"2023")</x:f>
      </x:c>
    </x:row>
    <x:row r="3248" spans="1:10">
      <x:c r="A3248" s="1" t="s">
        <x:v>3257</x:v>
      </x:c>
      <x:c r="B3248" s="1">
        <x:f>IFERROR(__xludf.DUMMYFUNCTION("""COMPUTED_VALUE"""),"I això... de qui és?")</x:f>
      </x:c>
      <x:c r="C3248" s="1">
        <x:f>IFERROR(__xludf.DUMMYFUNCTION("""COMPUTED_VALUE"""),"2021")</x:f>
      </x:c>
    </x:row>
    <x:row r="3249" spans="1:10">
      <x:c r="A3249" s="1" t="s">
        <x:v>3258</x:v>
      </x:c>
      <x:c r="B3249" s="1">
        <x:f>IFERROR(__xludf.DUMMYFUNCTION("""COMPUTED_VALUE"""),"I Am Woman")</x:f>
      </x:c>
      <x:c r="C3249" s="1">
        <x:f>IFERROR(__xludf.DUMMYFUNCTION("""COMPUTED_VALUE"""),"2019")</x:f>
      </x:c>
    </x:row>
    <x:row r="3250" spans="1:10">
      <x:c r="A3250" s="1" t="s">
        <x:v>3259</x:v>
      </x:c>
      <x:c r="B3250" s="1">
        <x:f>IFERROR(__xludf.DUMMYFUNCTION("""COMPUTED_VALUE"""),"I ara, on anem")</x:f>
      </x:c>
      <x:c r="C3250" s="1">
        <x:f>IFERROR(__xludf.DUMMYFUNCTION("""COMPUTED_VALUE"""),"2011")</x:f>
      </x:c>
    </x:row>
    <x:row r="3251" spans="1:10">
      <x:c r="A3251" s="1" t="s">
        <x:v>3260</x:v>
      </x:c>
      <x:c r="B3251" s="1">
        <x:f>IFERROR(__xludf.DUMMYFUNCTION("""COMPUTED_VALUE"""),"I ara, què envaïm?")</x:f>
      </x:c>
      <x:c r="C3251" s="1">
        <x:f>IFERROR(__xludf.DUMMYFUNCTION("""COMPUTED_VALUE"""),"2015")</x:f>
      </x:c>
    </x:row>
    <x:row r="3252" spans="1:10">
      <x:c r="A3252" s="1" t="s">
        <x:v>3261</x:v>
      </x:c>
      <x:c r="B3252" s="1">
        <x:f>IFERROR(__xludf.DUMMYFUNCTION("""COMPUTED_VALUE"""),"I la vida continua")</x:f>
      </x:c>
      <x:c r="C3252" s="1">
        <x:f>IFERROR(__xludf.DUMMYFUNCTION("""COMPUTED_VALUE"""),"2014")</x:f>
      </x:c>
    </x:row>
    <x:row r="3253" spans="1:10">
      <x:c r="A3253" s="1" t="s">
        <x:v>3262</x:v>
      </x:c>
      <x:c r="B3253" s="1">
        <x:f>IFERROR(__xludf.DUMMYFUNCTION("""COMPUTED_VALUE"""),"I Love Sarah Jane [VOSC]")</x:f>
      </x:c>
      <x:c r="C3253" s="1">
        <x:f>IFERROR(__xludf.DUMMYFUNCTION("""COMPUTED_VALUE"""),"2008")</x:f>
      </x:c>
    </x:row>
    <x:row r="3254" spans="1:10">
      <x:c r="A3254" s="1" t="s">
        <x:v>3263</x:v>
      </x:c>
      <x:c r="B3254" s="1">
        <x:f>IFERROR(__xludf.DUMMYFUNCTION("""COMPUTED_VALUE"""),"I mor perquè et toca")</x:f>
      </x:c>
      <x:c r="C3254" s="1">
        <x:f>IFERROR(__xludf.DUMMYFUNCTION("""COMPUTED_VALUE"""),"2022")</x:f>
      </x:c>
    </x:row>
    <x:row r="3255" spans="1:10">
      <x:c r="A3255" s="1" t="s">
        <x:v>3264</x:v>
      </x:c>
      <x:c r="B3255" s="1">
        <x:f>IFERROR(__xludf.DUMMYFUNCTION("""COMPUTED_VALUE"""),"I si vivim tots junts?")</x:f>
      </x:c>
      <x:c r="C3255" s="1">
        <x:f>IFERROR(__xludf.DUMMYFUNCTION("""COMPUTED_VALUE"""),"2011")</x:f>
      </x:c>
    </x:row>
    <x:row r="3256" spans="1:10">
      <x:c r="A3256" s="1" t="s">
        <x:v>3265</x:v>
      </x:c>
      <x:c r="B3256" s="1">
        <x:f>IFERROR(__xludf.DUMMYFUNCTION("""COMPUTED_VALUE"""),"I si...?")</x:f>
      </x:c>
      <x:c r="C3256" s="1">
        <x:f>IFERROR(__xludf.DUMMYFUNCTION("""COMPUTED_VALUE"""),"2013")</x:f>
      </x:c>
    </x:row>
    <x:row r="3257" spans="1:10">
      <x:c r="A3257" s="1" t="s">
        <x:v>3266</x:v>
      </x:c>
      <x:c r="B3257" s="1">
        <x:f>IFERROR(__xludf.DUMMYFUNCTION("""COMPUTED_VALUE"""),"I tant que sí! Potser")</x:f>
      </x:c>
      <x:c r="C3257" s="1">
        <x:f>IFERROR(__xludf.DUMMYFUNCTION("""COMPUTED_VALUE"""),"2008")</x:f>
      </x:c>
    </x:row>
    <x:row r="3258" spans="1:10">
      <x:c r="A3258" s="1" t="s">
        <x:v>3267</x:v>
      </x:c>
      <x:c r="B3258" s="1">
        <x:f>IFERROR(__xludf.DUMMYFUNCTION("""COMPUTED_VALUE"""),"I tu, que en saps!")</x:f>
      </x:c>
      <x:c r="C3258" s="1">
        <x:f>IFERROR(__xludf.DUMMYFUNCTION("""COMPUTED_VALUE"""),"2004")</x:f>
      </x:c>
    </x:row>
    <x:row r="3259" spans="1:10">
      <x:c r="A3259" s="1" t="s">
        <x:v>3268</x:v>
      </x:c>
      <x:c r="B3259" s="1">
        <x:f>IFERROR(__xludf.DUMMYFUNCTION("""COMPUTED_VALUE"""),"I vas arribar tu")</x:f>
      </x:c>
      <x:c r="C3259" s="1">
        <x:f>IFERROR(__xludf.DUMMYFUNCTION("""COMPUTED_VALUE"""),"2020")</x:f>
      </x:c>
    </x:row>
    <x:row r="3260" spans="1:10">
      <x:c r="A3260" s="1" t="s">
        <x:v>3269</x:v>
      </x:c>
      <x:c r="B3260" s="1">
        <x:f>IFERROR(__xludf.DUMMYFUNCTION("""COMPUTED_VALUE"""),"I'm Here [VOSC]")</x:f>
      </x:c>
      <x:c r="C3260" s="1">
        <x:f>IFERROR(__xludf.DUMMYFUNCTION("""COMPUTED_VALUE"""),"2010")</x:f>
      </x:c>
    </x:row>
    <x:row r="3261" spans="1:10">
      <x:c r="A3261" s="1" t="s">
        <x:v>3270</x:v>
      </x:c>
      <x:c r="B3261" s="1">
        <x:f>IFERROR(__xludf.DUMMYFUNCTION("""COMPUTED_VALUE"""),"Ice Age 1: L'edat de gel")</x:f>
      </x:c>
      <x:c r="C3261" s="1">
        <x:f>IFERROR(__xludf.DUMMYFUNCTION("""COMPUTED_VALUE"""),"2002")</x:f>
      </x:c>
    </x:row>
    <x:row r="3262" spans="1:10">
      <x:c r="A3262" s="1" t="s">
        <x:v>3271</x:v>
      </x:c>
      <x:c r="B3262" s="1">
        <x:f>IFERROR(__xludf.DUMMYFUNCTION("""COMPUTED_VALUE"""),"Ice Age 2: El desglaç")</x:f>
      </x:c>
      <x:c r="C3262" s="1">
        <x:f>IFERROR(__xludf.DUMMYFUNCTION("""COMPUTED_VALUE"""),"2006")</x:f>
      </x:c>
    </x:row>
    <x:row r="3263" spans="1:10">
      <x:c r="A3263" s="1" t="s">
        <x:v>3272</x:v>
      </x:c>
      <x:c r="B3263" s="1">
        <x:f>IFERROR(__xludf.DUMMYFUNCTION("""COMPUTED_VALUE"""),"Ice Age 3: L'origen dels dinosaures")</x:f>
      </x:c>
      <x:c r="C3263" s="1">
        <x:f>IFERROR(__xludf.DUMMYFUNCTION("""COMPUTED_VALUE"""),"2009")</x:f>
      </x:c>
    </x:row>
    <x:row r="3264" spans="1:10">
      <x:c r="A3264" s="1" t="s">
        <x:v>3273</x:v>
      </x:c>
      <x:c r="B3264" s="1">
        <x:f>IFERROR(__xludf.DUMMYFUNCTION("""COMPUTED_VALUE"""),"Ice Age 4: La formació dels continents")</x:f>
      </x:c>
      <x:c r="C3264" s="1">
        <x:f>IFERROR(__xludf.DUMMYFUNCTION("""COMPUTED_VALUE"""),"2012")</x:f>
      </x:c>
    </x:row>
    <x:row r="3265" spans="1:10">
      <x:c r="A3265" s="1" t="s">
        <x:v>3274</x:v>
      </x:c>
      <x:c r="B3265" s="1">
        <x:f>IFERROR(__xludf.DUMMYFUNCTION("""COMPUTED_VALUE"""),"Ice Age 5: El gran cataclisme")</x:f>
      </x:c>
      <x:c r="C3265" s="1">
        <x:f>IFERROR(__xludf.DUMMYFUNCTION("""COMPUTED_VALUE"""),"2016")</x:f>
      </x:c>
    </x:row>
    <x:row r="3266" spans="1:10">
      <x:c r="A3266" s="1" t="s">
        <x:v>3275</x:v>
      </x:c>
      <x:c r="B3266" s="1">
        <x:f>IFERROR(__xludf.DUMMYFUNCTION("""COMPUTED_VALUE"""),"Ida")</x:f>
      </x:c>
      <x:c r="C3266" s="1">
        <x:f>IFERROR(__xludf.DUMMYFUNCTION("""COMPUTED_VALUE"""),"2013")</x:f>
      </x:c>
    </x:row>
    <x:row r="3267" spans="1:10">
      <x:c r="A3267" s="1" t="s">
        <x:v>3276</x:v>
      </x:c>
      <x:c r="B3267" s="1">
        <x:f>IFERROR(__xludf.DUMMYFUNCTION("""COMPUTED_VALUE"""),"Identitat")</x:f>
      </x:c>
      <x:c r="C3267" s="1">
        <x:f>IFERROR(__xludf.DUMMYFUNCTION("""COMPUTED_VALUE"""),"2003")</x:f>
      </x:c>
    </x:row>
    <x:row r="3268" spans="1:10">
      <x:c r="A3268" s="1" t="s">
        <x:v>3277</x:v>
      </x:c>
      <x:c r="B3268" s="1">
        <x:f>IFERROR(__xludf.DUMMYFUNCTION("""COMPUTED_VALUE"""),"Iep!")</x:f>
      </x:c>
      <x:c r="C3268" s="1">
        <x:f>IFERROR(__xludf.DUMMYFUNCTION("""COMPUTED_VALUE"""),"2010")</x:f>
      </x:c>
    </x:row>
    <x:row r="3269" spans="1:10">
      <x:c r="A3269" s="1" t="s">
        <x:v>3278</x:v>
      </x:c>
      <x:c r="B3269" s="1">
        <x:f>IFERROR(__xludf.DUMMYFUNCTION("""COMPUTED_VALUE"""),"Ignacio Ramonet : “Els mercats, un poder sense societat”")</x:f>
      </x:c>
      <x:c r="C3269" s="1">
        <x:f>IFERROR(__xludf.DUMMYFUNCTION("""COMPUTED_VALUE"""),"2012")</x:f>
      </x:c>
    </x:row>
    <x:row r="3270" spans="1:10">
      <x:c r="A3270" s="1" t="s">
        <x:v>3279</x:v>
      </x:c>
      <x:c r="B3270" s="1">
        <x:f>IFERROR(__xludf.DUMMYFUNCTION("""COMPUTED_VALUE"""),"Ignasi M.")</x:f>
      </x:c>
      <x:c r="C3270" s="1">
        <x:f>IFERROR(__xludf.DUMMYFUNCTION("""COMPUTED_VALUE"""),"2013")</x:f>
      </x:c>
    </x:row>
    <x:row r="3271" spans="1:10">
      <x:c r="A3271" s="1" t="s">
        <x:v>3280</x:v>
      </x:c>
      <x:c r="B3271" s="1">
        <x:f>IFERROR(__xludf.DUMMYFUNCTION("""COMPUTED_VALUE"""),"Ikea: El saqueig dels boscos")</x:f>
      </x:c>
      <x:c r="C3271" s="1">
        <x:f>IFERROR(__xludf.DUMMYFUNCTION("""COMPUTED_VALUE"""),"2024")</x:f>
      </x:c>
    </x:row>
    <x:row r="3272" spans="1:10">
      <x:c r="A3272" s="1" t="s">
        <x:v>3281</x:v>
      </x:c>
      <x:c r="B3272" s="1">
        <x:f>IFERROR(__xludf.DUMMYFUNCTION("""COMPUTED_VALUE"""),"Il Gattopardo [VOSC]")</x:f>
      </x:c>
      <x:c r="C3272" s="1">
        <x:f>IFERROR(__xludf.DUMMYFUNCTION("""COMPUTED_VALUE"""),"1963")</x:f>
      </x:c>
    </x:row>
    <x:row r="3273" spans="1:10">
      <x:c r="A3273" s="1" t="s">
        <x:v>3282</x:v>
      </x:c>
      <x:c r="B3273" s="1">
        <x:f>IFERROR(__xludf.DUMMYFUNCTION("""COMPUTED_VALUE"""),"Il·lusions perdudes")</x:f>
      </x:c>
      <x:c r="C3273" s="1">
        <x:f>IFERROR(__xludf.DUMMYFUNCTION("""COMPUTED_VALUE"""),"2021")</x:f>
      </x:c>
    </x:row>
    <x:row r="3274" spans="1:10">
      <x:c r="A3274" s="1" t="s">
        <x:v>3283</x:v>
      </x:c>
      <x:c r="B3274" s="1">
        <x:f>IFERROR(__xludf.DUMMYFUNCTION("""COMPUTED_VALUE"""),"Imagina't tu i jo (Roses vermelles)")</x:f>
      </x:c>
      <x:c r="C3274" s="1">
        <x:f>IFERROR(__xludf.DUMMYFUNCTION("""COMPUTED_VALUE"""),"2005")</x:f>
      </x:c>
    </x:row>
    <x:row r="3275" spans="1:10">
      <x:c r="A3275" s="1" t="s">
        <x:v>3284</x:v>
      </x:c>
      <x:c r="B3275" s="1">
        <x:f>IFERROR(__xludf.DUMMYFUNCTION("""COMPUTED_VALUE"""),"Immadurs")</x:f>
      </x:c>
      <x:c r="C3275" s="1">
        <x:f>IFERROR(__xludf.DUMMYFUNCTION("""COMPUTED_VALUE"""),"2011")</x:f>
      </x:c>
    </x:row>
    <x:row r="3276" spans="1:10">
      <x:c r="A3276" s="1" t="s">
        <x:v>3285</x:v>
      </x:c>
      <x:c r="B3276" s="1">
        <x:f>IFERROR(__xludf.DUMMYFUNCTION("""COMPUTED_VALUE"""),"Immigrants (L.A. Dolce Vita)")</x:f>
      </x:c>
      <x:c r="C3276" s="1">
        <x:f>IFERROR(__xludf.DUMMYFUNCTION("""COMPUTED_VALUE"""),"2008")</x:f>
      </x:c>
    </x:row>
    <x:row r="3277" spans="1:10">
      <x:c r="A3277" s="1" t="s">
        <x:v>3286</x:v>
      </x:c>
      <x:c r="B3277" s="1">
        <x:f>IFERROR(__xludf.DUMMYFUNCTION("""COMPUTED_VALUE"""),"Impacte imminent")</x:f>
      </x:c>
      <x:c r="C3277" s="1">
        <x:f>IFERROR(__xludf.DUMMYFUNCTION("""COMPUTED_VALUE"""),"1996")</x:f>
      </x:c>
    </x:row>
    <x:row r="3278" spans="1:10">
      <x:c r="A3278" s="1" t="s">
        <x:v>3287</x:v>
      </x:c>
      <x:c r="B3278" s="1">
        <x:f>IFERROR(__xludf.DUMMYFUNCTION("""COMPUTED_VALUE"""),"Impacte sobtat")</x:f>
      </x:c>
      <x:c r="C3278" s="1">
        <x:f>IFERROR(__xludf.DUMMYFUNCTION("""COMPUTED_VALUE"""),"1983")</x:f>
      </x:c>
    </x:row>
    <x:row r="3279" spans="1:10">
      <x:c r="A3279" s="1" t="s">
        <x:v>3288</x:v>
      </x:c>
      <x:c r="B3279" s="1">
        <x:f>IFERROR(__xludf.DUMMYFUNCTION("""COMPUTED_VALUE"""),"Imperium")</x:f>
      </x:c>
      <x:c r="C3279" s="1">
        <x:f>IFERROR(__xludf.DUMMYFUNCTION("""COMPUTED_VALUE"""),"2016")</x:f>
      </x:c>
    </x:row>
    <x:row r="3280" spans="1:10">
      <x:c r="A3280" s="1" t="s">
        <x:v>3289</x:v>
      </x:c>
      <x:c r="B3280" s="1">
        <x:f>IFERROR(__xludf.DUMMYFUNCTION("""COMPUTED_VALUE"""),"Implosion")</x:f>
      </x:c>
      <x:c r="C3280" s="1">
        <x:f>IFERROR(__xludf.DUMMYFUNCTION("""COMPUTED_VALUE"""),"2011")</x:f>
      </x:c>
    </x:row>
    <x:row r="3281" spans="1:10">
      <x:c r="A3281" s="1" t="s">
        <x:v>3290</x:v>
      </x:c>
      <x:c r="B3281" s="1">
        <x:f>IFERROR(__xludf.DUMMYFUNCTION("""COMPUTED_VALUE"""),"In the Tall Grass [VOSC]")</x:f>
      </x:c>
      <x:c r="C3281" s="1">
        <x:f>IFERROR(__xludf.DUMMYFUNCTION("""COMPUTED_VALUE"""),"2019")</x:f>
      </x:c>
    </x:row>
    <x:row r="3282" spans="1:10">
      <x:c r="A3282" s="1" t="s">
        <x:v>3291</x:v>
      </x:c>
      <x:c r="B3282" s="1">
        <x:f>IFERROR(__xludf.DUMMYFUNCTION("""COMPUTED_VALUE"""),"Incendis")</x:f>
      </x:c>
      <x:c r="C3282" s="1">
        <x:f>IFERROR(__xludf.DUMMYFUNCTION("""COMPUTED_VALUE"""),"2010")</x:f>
      </x:c>
    </x:row>
    <x:row r="3283" spans="1:10">
      <x:c r="A3283" s="1" t="s">
        <x:v>3292</x:v>
      </x:c>
      <x:c r="B3283" s="1">
        <x:f>IFERROR(__xludf.DUMMYFUNCTION("""COMPUTED_VALUE"""),"Incerta Glòria")</x:f>
      </x:c>
      <x:c r="C3283" s="1">
        <x:f>IFERROR(__xludf.DUMMYFUNCTION("""COMPUTED_VALUE"""),"2017")</x:f>
      </x:c>
    </x:row>
    <x:row r="3284" spans="1:10">
      <x:c r="A3284" s="1" t="s">
        <x:v>3293</x:v>
      </x:c>
      <x:c r="B3284" s="1">
        <x:f>IFERROR(__xludf.DUMMYFUNCTION("""COMPUTED_VALUE"""),"Incidències")</x:f>
      </x:c>
      <x:c r="C3284" s="1">
        <x:f>IFERROR(__xludf.DUMMYFUNCTION("""COMPUTED_VALUE"""),"2015")</x:f>
      </x:c>
    </x:row>
    <x:row r="3285" spans="1:10">
      <x:c r="A3285" s="1" t="s">
        <x:v>3294</x:v>
      </x:c>
      <x:c r="B3285" s="1">
        <x:f>IFERROR(__xludf.DUMMYFUNCTION("""COMPUTED_VALUE"""),"Inconscients")</x:f>
      </x:c>
      <x:c r="C3285" s="1">
        <x:f>IFERROR(__xludf.DUMMYFUNCTION("""COMPUTED_VALUE"""),"2004")</x:f>
      </x:c>
    </x:row>
    <x:row r="3286" spans="1:10">
      <x:c r="A3286" s="1" t="s">
        <x:v>3295</x:v>
      </x:c>
      <x:c r="B3286" s="1">
        <x:f>IFERROR(__xludf.DUMMYFUNCTION("""COMPUTED_VALUE"""),"Indestructible")</x:f>
      </x:c>
      <x:c r="C3286" s="1">
        <x:f>IFERROR(__xludf.DUMMYFUNCTION("""COMPUTED_VALUE"""),"2016")</x:f>
      </x:c>
    </x:row>
    <x:row r="3287" spans="1:10">
      <x:c r="A3287" s="1" t="s">
        <x:v>3296</x:v>
      </x:c>
      <x:c r="B3287" s="1">
        <x:f>IFERROR(__xludf.DUMMYFUNCTION("""COMPUTED_VALUE"""),"Indiana Jones - A la recerca de l'arca perduda")</x:f>
      </x:c>
      <x:c r="C3287" s="1">
        <x:f>IFERROR(__xludf.DUMMYFUNCTION("""COMPUTED_VALUE"""),"1981")</x:f>
      </x:c>
    </x:row>
    <x:row r="3288" spans="1:10">
      <x:c r="A3288" s="1" t="s">
        <x:v>3297</x:v>
      </x:c>
      <x:c r="B3288" s="1">
        <x:f>IFERROR(__xludf.DUMMYFUNCTION("""COMPUTED_VALUE"""),"Indiana Jones i el dial del destí")</x:f>
      </x:c>
      <x:c r="C3288" s="1">
        <x:f>IFERROR(__xludf.DUMMYFUNCTION("""COMPUTED_VALUE"""),"2023")</x:f>
      </x:c>
    </x:row>
    <x:row r="3289" spans="1:10">
      <x:c r="A3289" s="1" t="s">
        <x:v>3298</x:v>
      </x:c>
      <x:c r="B3289" s="1">
        <x:f>IFERROR(__xludf.DUMMYFUNCTION("""COMPUTED_VALUE"""),"Indiana Jones i el regne de la calavera de cristall")</x:f>
      </x:c>
      <x:c r="C3289" s="1">
        <x:f>IFERROR(__xludf.DUMMYFUNCTION("""COMPUTED_VALUE"""),"2008")</x:f>
      </x:c>
    </x:row>
    <x:row r="3290" spans="1:10">
      <x:c r="A3290" s="1" t="s">
        <x:v>3299</x:v>
      </x:c>
      <x:c r="B3290" s="1">
        <x:f>IFERROR(__xludf.DUMMYFUNCTION("""COMPUTED_VALUE"""),"Indiana Jones i el temple maleït")</x:f>
      </x:c>
      <x:c r="C3290" s="1">
        <x:f>IFERROR(__xludf.DUMMYFUNCTION("""COMPUTED_VALUE"""),"1984")</x:f>
      </x:c>
    </x:row>
    <x:row r="3291" spans="1:10">
      <x:c r="A3291" s="1" t="s">
        <x:v>3300</x:v>
      </x:c>
      <x:c r="B3291" s="1">
        <x:f>IFERROR(__xludf.DUMMYFUNCTION("""COMPUTED_VALUE"""),"Indiana Jones i l'última croada")</x:f>
      </x:c>
      <x:c r="C3291" s="1">
        <x:f>IFERROR(__xludf.DUMMYFUNCTION("""COMPUTED_VALUE"""),"1989")</x:f>
      </x:c>
    </x:row>
    <x:row r="3292" spans="1:10">
      <x:c r="A3292" s="1" t="s">
        <x:v>3301</x:v>
      </x:c>
      <x:c r="B3292" s="1">
        <x:f>IFERROR(__xludf.DUMMYFUNCTION("""COMPUTED_VALUE"""),"Indignats")</x:f>
      </x:c>
      <x:c r="C3292" s="1">
        <x:f>IFERROR(__xludf.DUMMYFUNCTION("""COMPUTED_VALUE"""),"2012")</x:f>
      </x:c>
    </x:row>
    <x:row r="3293" spans="1:10">
      <x:c r="A3293" s="1" t="s">
        <x:v>3302</x:v>
      </x:c>
      <x:c r="B3293" s="1">
        <x:f>IFERROR(__xludf.DUMMYFUNCTION("""COMPUTED_VALUE"""),"Indomable")</x:f>
      </x:c>
      <x:c r="C3293" s="1">
        <x:f>IFERROR(__xludf.DUMMYFUNCTION("""COMPUTED_VALUE"""),"2011")</x:f>
      </x:c>
    </x:row>
    <x:row r="3294" spans="1:10">
      <x:c r="A3294" s="1" t="s">
        <x:v>3303</x:v>
      </x:c>
      <x:c r="B3294" s="1">
        <x:f>IFERROR(__xludf.DUMMYFUNCTION("""COMPUTED_VALUE"""),"Infants a les xarxes: sobreexposats en nom del like")</x:f>
      </x:c>
      <x:c r="C3294" s="1">
        <x:f>IFERROR(__xludf.DUMMYFUNCTION("""COMPUTED_VALUE"""),"2023")</x:f>
      </x:c>
    </x:row>
    <x:row r="3295" spans="1:10">
      <x:c r="A3295" s="1" t="s">
        <x:v>3304</x:v>
      </x:c>
      <x:c r="B3295" s="1">
        <x:f>IFERROR(__xludf.DUMMYFUNCTION("""COMPUTED_VALUE"""),"Infectats")</x:f>
      </x:c>
      <x:c r="C3295" s="1">
        <x:f>IFERROR(__xludf.DUMMYFUNCTION("""COMPUTED_VALUE"""),"2009")</x:f>
      </x:c>
    </x:row>
    <x:row r="3296" spans="1:10">
      <x:c r="A3296" s="1" t="s">
        <x:v>3305</x:v>
      </x:c>
      <x:c r="B3296" s="1">
        <x:f>IFERROR(__xludf.DUMMYFUNCTION("""COMPUTED_VALUE"""),"Infern als núvols")</x:f>
      </x:c>
      <x:c r="C3296" s="1">
        <x:f>IFERROR(__xludf.DUMMYFUNCTION("""COMPUTED_VALUE"""),"1951")</x:f>
      </x:c>
    </x:row>
    <x:row r="3297" spans="1:10">
      <x:c r="A3297" s="1" t="s">
        <x:v>3306</x:v>
      </x:c>
      <x:c r="B3297" s="1">
        <x:f>IFERROR(__xludf.DUMMYFUNCTION("""COMPUTED_VALUE"""),"Infern blanc")</x:f>
      </x:c>
      <x:c r="C3297" s="1">
        <x:f>IFERROR(__xludf.DUMMYFUNCTION("""COMPUTED_VALUE"""),"2011")</x:f>
      </x:c>
    </x:row>
    <x:row r="3298" spans="1:10">
      <x:c r="A3298" s="1" t="s">
        <x:v>3307</x:v>
      </x:c>
      <x:c r="B3298" s="1">
        <x:f>IFERROR(__xludf.DUMMYFUNCTION("""COMPUTED_VALUE"""),"Infern blau")</x:f>
      </x:c>
      <x:c r="C3298" s="1">
        <x:f>IFERROR(__xludf.DUMMYFUNCTION("""COMPUTED_VALUE"""),"2016")</x:f>
      </x:c>
    </x:row>
    <x:row r="3299" spans="1:10">
      <x:c r="A3299" s="1" t="s">
        <x:v>3308</x:v>
      </x:c>
      <x:c r="B3299" s="1">
        <x:f>IFERROR(__xludf.DUMMYFUNCTION("""COMPUTED_VALUE"""),"Infiltrat al KKKlan")</x:f>
      </x:c>
      <x:c r="C3299" s="1">
        <x:f>IFERROR(__xludf.DUMMYFUNCTION("""COMPUTED_VALUE"""),"2018")</x:f>
      </x:c>
    </x:row>
    <x:row r="3300" spans="1:10">
      <x:c r="A3300" s="1" t="s">
        <x:v>3309</x:v>
      </x:c>
      <x:c r="B3300" s="1">
        <x:f>IFERROR(__xludf.DUMMYFUNCTION("""COMPUTED_VALUE"""),"Infiltrats")</x:f>
      </x:c>
      <x:c r="C3300" s="1">
        <x:f>IFERROR(__xludf.DUMMYFUNCTION("""COMPUTED_VALUE"""),"2006")</x:f>
      </x:c>
    </x:row>
    <x:row r="3301" spans="1:10">
      <x:c r="A3301" s="1" t="s">
        <x:v>3310</x:v>
      </x:c>
      <x:c r="B3301" s="1">
        <x:f>IFERROR(__xludf.DUMMYFUNCTION("""COMPUTED_VALUE"""),"Infiltrats")</x:f>
      </x:c>
      <x:c r="C3301" s="1">
        <x:f>IFERROR(__xludf.DUMMYFUNCTION("""COMPUTED_VALUE"""),"2025")</x:f>
      </x:c>
    </x:row>
    <x:row r="3302" spans="1:10">
      <x:c r="A3302" s="1" t="s">
        <x:v>3311</x:v>
      </x:c>
      <x:c r="B3302" s="1">
        <x:f>IFERROR(__xludf.DUMMYFUNCTION("""COMPUTED_VALUE"""),"Informe general II. El nou rapte d'Europa")</x:f>
      </x:c>
      <x:c r="C3302" s="1">
        <x:f>IFERROR(__xludf.DUMMYFUNCTION("""COMPUTED_VALUE"""),"2015")</x:f>
      </x:c>
    </x:row>
    <x:row r="3303" spans="1:10">
      <x:c r="A3303" s="1" t="s">
        <x:v>3312</x:v>
      </x:c>
      <x:c r="B3303" s="1">
        <x:f>IFERROR(__xludf.DUMMYFUNCTION("""COMPUTED_VALUE"""),"Ingenu i afortunat")</x:f>
      </x:c>
      <x:c r="C3303" s="1">
        <x:f>IFERROR(__xludf.DUMMYFUNCTION("""COMPUTED_VALUE"""),"1920")</x:f>
      </x:c>
    </x:row>
    <x:row r="3304" spans="1:10">
      <x:c r="A3304" s="1" t="s">
        <x:v>3313</x:v>
      </x:c>
      <x:c r="B3304" s="1">
        <x:f>IFERROR(__xludf.DUMMYFUNCTION("""COMPUTED_VALUE"""),"Ingrid")</x:f>
      </x:c>
      <x:c r="C3304" s="1">
        <x:f>IFERROR(__xludf.DUMMYFUNCTION("""COMPUTED_VALUE"""),"2009")</x:f>
      </x:c>
    </x:row>
    <x:row r="3305" spans="1:10">
      <x:c r="A3305" s="1" t="s">
        <x:v>3314</x:v>
      </x:c>
      <x:c r="B3305" s="1">
        <x:f>IFERROR(__xludf.DUMMYFUNCTION("""COMPUTED_VALUE"""),"Inner Workings")</x:f>
      </x:c>
      <x:c r="C3305" s="1">
        <x:f>IFERROR(__xludf.DUMMYFUNCTION("""COMPUTED_VALUE"""),"2016")</x:f>
      </x:c>
    </x:row>
    <x:row r="3306" spans="1:10">
      <x:c r="A3306" s="1" t="s">
        <x:v>3315</x:v>
      </x:c>
      <x:c r="B3306" s="1">
        <x:f>IFERROR(__xludf.DUMMYFUNCTION("""COMPUTED_VALUE"""),"Innocència i joventut")</x:f>
      </x:c>
      <x:c r="C3306" s="1">
        <x:f>IFERROR(__xludf.DUMMYFUNCTION("""COMPUTED_VALUE"""),"1937")</x:f>
      </x:c>
    </x:row>
    <x:row r="3307" spans="1:10">
      <x:c r="A3307" s="1" t="s">
        <x:v>3316</x:v>
      </x:c>
      <x:c r="B3307" s="1">
        <x:f>IFERROR(__xludf.DUMMYFUNCTION("""COMPUTED_VALUE"""),"Innocència interrompuda")</x:f>
      </x:c>
      <x:c r="C3307" s="1">
        <x:f>IFERROR(__xludf.DUMMYFUNCTION("""COMPUTED_VALUE"""),"1999")</x:f>
      </x:c>
    </x:row>
    <x:row r="3308" spans="1:10">
      <x:c r="A3308" s="1" t="s">
        <x:v>3317</x:v>
      </x:c>
      <x:c r="B3308" s="1">
        <x:f>IFERROR(__xludf.DUMMYFUNCTION("""COMPUTED_VALUE"""),"Innocència rebel")</x:f>
      </x:c>
      <x:c r="C3308" s="1">
        <x:f>IFERROR(__xludf.DUMMYFUNCTION("""COMPUTED_VALUE"""),"1997")</x:f>
      </x:c>
    </x:row>
    <x:row r="3309" spans="1:10">
      <x:c r="A3309" s="1" t="s">
        <x:v>3318</x:v>
      </x:c>
      <x:c r="B3309" s="1">
        <x:f>IFERROR(__xludf.DUMMYFUNCTION("""COMPUTED_VALUE"""),"Inoblidable")</x:f>
      </x:c>
      <x:c r="C3309" s="1">
        <x:f>IFERROR(__xludf.DUMMYFUNCTION("""COMPUTED_VALUE"""),"2017")</x:f>
      </x:c>
    </x:row>
    <x:row r="3310" spans="1:10">
      <x:c r="A3310" s="1" t="s">
        <x:v>3319</x:v>
      </x:c>
      <x:c r="B3310" s="1">
        <x:f>IFERROR(__xludf.DUMMYFUNCTION("""COMPUTED_VALUE"""),"Insensibles")</x:f>
      </x:c>
      <x:c r="C3310" s="1">
        <x:f>IFERROR(__xludf.DUMMYFUNCTION("""COMPUTED_VALUE"""),"2012")</x:f>
      </x:c>
    </x:row>
    <x:row r="3311" spans="1:10">
      <x:c r="A3311" s="1" t="s">
        <x:v>3320</x:v>
      </x:c>
      <x:c r="B3311" s="1">
        <x:f>IFERROR(__xludf.DUMMYFUNCTION("""COMPUTED_VALUE"""),"Inseparables")</x:f>
      </x:c>
      <x:c r="C3311" s="1">
        <x:f>IFERROR(__xludf.DUMMYFUNCTION("""COMPUTED_VALUE"""),"1988")</x:f>
      </x:c>
    </x:row>
    <x:row r="3312" spans="1:10">
      <x:c r="A3312" s="1" t="s">
        <x:v>3321</x:v>
      </x:c>
      <x:c r="B3312" s="1">
        <x:f>IFERROR(__xludf.DUMMYFUNCTION("""COMPUTED_VALUE"""),"Insidious")</x:f>
      </x:c>
      <x:c r="C3312" s="1">
        <x:f>IFERROR(__xludf.DUMMYFUNCTION("""COMPUTED_VALUE"""),"2010")</x:f>
      </x:c>
    </x:row>
    <x:row r="3313" spans="1:10">
      <x:c r="A3313" s="1" t="s">
        <x:v>3322</x:v>
      </x:c>
      <x:c r="B3313" s="1">
        <x:f>IFERROR(__xludf.DUMMYFUNCTION("""COMPUTED_VALUE"""),"Insidious: Capítol 2")</x:f>
      </x:c>
      <x:c r="C3313" s="1">
        <x:f>IFERROR(__xludf.DUMMYFUNCTION("""COMPUTED_VALUE"""),"2013")</x:f>
      </x:c>
    </x:row>
    <x:row r="3314" spans="1:10">
      <x:c r="A3314" s="1" t="s">
        <x:v>3323</x:v>
      </x:c>
      <x:c r="B3314" s="1">
        <x:f>IFERROR(__xludf.DUMMYFUNCTION("""COMPUTED_VALUE"""),"Insidious: Capítol 3")</x:f>
      </x:c>
      <x:c r="C3314" s="1">
        <x:f>IFERROR(__xludf.DUMMYFUNCTION("""COMPUTED_VALUE"""),"2015")</x:f>
      </x:c>
    </x:row>
    <x:row r="3315" spans="1:10">
      <x:c r="A3315" s="1" t="s">
        <x:v>3324</x:v>
      </x:c>
      <x:c r="B3315" s="1">
        <x:f>IFERROR(__xludf.DUMMYFUNCTION("""COMPUTED_VALUE"""),"Insomni")</x:f>
      </x:c>
      <x:c r="C3315" s="1">
        <x:f>IFERROR(__xludf.DUMMYFUNCTION("""COMPUTED_VALUE"""),"2002")</x:f>
      </x:c>
    </x:row>
    <x:row r="3316" spans="1:10">
      <x:c r="A3316" s="1" t="s">
        <x:v>3325</x:v>
      </x:c>
      <x:c r="B3316" s="1">
        <x:f>IFERROR(__xludf.DUMMYFUNCTION("""COMPUTED_VALUE"""),"Inspector Wolff: El retorn")</x:f>
      </x:c>
      <x:c r="C3316" s="1">
        <x:f>IFERROR(__xludf.DUMMYFUNCTION("""COMPUTED_VALUE"""),"2012")</x:f>
      </x:c>
    </x:row>
    <x:row r="3317" spans="1:10">
      <x:c r="A3317" s="1" t="s">
        <x:v>3326</x:v>
      </x:c>
      <x:c r="B3317" s="1">
        <x:f>IFERROR(__xludf.DUMMYFUNCTION("""COMPUTED_VALUE"""),"Inspectora Nemez: Sentència de mort")</x:f>
      </x:c>
      <x:c r="C3317" s="1">
        <x:f>IFERROR(__xludf.DUMMYFUNCTION("""COMPUTED_VALUE"""),"2019")</x:f>
      </x:c>
    </x:row>
    <x:row r="3318" spans="1:10">
      <x:c r="A3318" s="1" t="s">
        <x:v>3327</x:v>
      </x:c>
      <x:c r="B3318" s="1">
        <x:f>IFERROR(__xludf.DUMMYFUNCTION("""COMPUTED_VALUE"""),"Instint bàsic")</x:f>
      </x:c>
      <x:c r="C3318" s="1">
        <x:f>IFERROR(__xludf.DUMMYFUNCTION("""COMPUTED_VALUE"""),"1992")</x:f>
      </x:c>
    </x:row>
    <x:row r="3319" spans="1:10">
      <x:c r="A3319" s="1" t="s">
        <x:v>3328</x:v>
      </x:c>
      <x:c r="B3319" s="1">
        <x:f>IFERROR(__xludf.DUMMYFUNCTION("""COMPUTED_VALUE"""),"Instint maternal")</x:f>
      </x:c>
      <x:c r="C3319" s="1">
        <x:f>IFERROR(__xludf.DUMMYFUNCTION("""COMPUTED_VALUE"""),"2017")</x:f>
      </x:c>
    </x:row>
    <x:row r="3320" spans="1:10">
      <x:c r="A3320" s="1" t="s">
        <x:v>3329</x:v>
      </x:c>
      <x:c r="B3320" s="1">
        <x:f>IFERROR(__xludf.DUMMYFUNCTION("""COMPUTED_VALUE"""),"Instint maternal")</x:f>
      </x:c>
      <x:c r="C3320" s="1">
        <x:f>IFERROR(__xludf.DUMMYFUNCTION("""COMPUTED_VALUE"""),"2018")</x:f>
      </x:c>
    </x:row>
    <x:row r="3321" spans="1:10">
      <x:c r="A3321" s="1" t="s">
        <x:v>3330</x:v>
      </x:c>
      <x:c r="B3321" s="1">
        <x:f>IFERROR(__xludf.DUMMYFUNCTION("""COMPUTED_VALUE"""),"Instruccions per enterrar un pare")</x:f>
      </x:c>
      <x:c r="C3321" s="1">
        <x:f>IFERROR(__xludf.DUMMYFUNCTION("""COMPUTED_VALUE"""),"2020")</x:f>
      </x:c>
    </x:row>
    <x:row r="3322" spans="1:10">
      <x:c r="A3322" s="1" t="s">
        <x:v>3331</x:v>
      </x:c>
      <x:c r="B3322" s="1">
        <x:f>IFERROR(__xludf.DUMMYFUNCTION("""COMPUTED_VALUE"""),"Instrusisme: la salut en perill")</x:f>
      </x:c>
      <x:c r="C3322" s="1">
        <x:f>IFERROR(__xludf.DUMMYFUNCTION("""COMPUTED_VALUE"""),"2024")</x:f>
      </x:c>
    </x:row>
    <x:row r="3323" spans="1:10">
      <x:c r="A3323" s="1" t="s">
        <x:v>3332</x:v>
      </x:c>
      <x:c r="B3323" s="1">
        <x:f>IFERROR(__xludf.DUMMYFUNCTION("""COMPUTED_VALUE"""),"Intencions perverses")</x:f>
      </x:c>
      <x:c r="C3323" s="1">
        <x:f>IFERROR(__xludf.DUMMYFUNCTION("""COMPUTED_VALUE"""),"1999")</x:f>
      </x:c>
    </x:row>
    <x:row r="3324" spans="1:10">
      <x:c r="A3324" s="1" t="s">
        <x:v>3333</x:v>
      </x:c>
      <x:c r="B3324" s="1">
        <x:f>IFERROR(__xludf.DUMMYFUNCTION("""COMPUTED_VALUE"""),"Intercanvi fatal")</x:f>
      </x:c>
      <x:c r="C3324" s="1">
        <x:f>IFERROR(__xludf.DUMMYFUNCTION("""COMPUTED_VALUE"""),"2016")</x:f>
      </x:c>
    </x:row>
    <x:row r="3325" spans="1:10">
      <x:c r="A3325" s="1" t="s">
        <x:v>3334</x:v>
      </x:c>
      <x:c r="B3325" s="1">
        <x:f>IFERROR(__xludf.DUMMYFUNCTION("""COMPUTED_VALUE"""),"Interès d’Estat. En ruta")</x:f>
      </x:c>
      <x:c r="C3325" s="1">
        <x:f>IFERROR(__xludf.DUMMYFUNCTION("""COMPUTED_VALUE"""),"2017")</x:f>
      </x:c>
    </x:row>
    <x:row r="3326" spans="1:10">
      <x:c r="A3326" s="1" t="s">
        <x:v>3335</x:v>
      </x:c>
      <x:c r="B3326" s="1">
        <x:f>IFERROR(__xludf.DUMMYFUNCTION("""COMPUTED_VALUE"""),"Interestatal 60: Episodis de carretera")</x:f>
      </x:c>
      <x:c r="C3326" s="1">
        <x:f>IFERROR(__xludf.DUMMYFUNCTION("""COMPUTED_VALUE"""),"2002")</x:f>
      </x:c>
    </x:row>
    <x:row r="3327" spans="1:10">
      <x:c r="A3327" s="1" t="s">
        <x:v>3336</x:v>
      </x:c>
      <x:c r="B3327" s="1">
        <x:f>IFERROR(__xludf.DUMMYFUNCTION("""COMPUTED_VALUE"""),"Interferències")</x:f>
      </x:c>
      <x:c r="C3327" s="1">
        <x:f>IFERROR(__xludf.DUMMYFUNCTION("""COMPUTED_VALUE"""),"2011")</x:f>
      </x:c>
    </x:row>
    <x:row r="3328" spans="1:10">
      <x:c r="A3328" s="1" t="s">
        <x:v>3337</x:v>
      </x:c>
      <x:c r="B3328" s="1">
        <x:f>IFERROR(__xludf.DUMMYFUNCTION("""COMPUTED_VALUE"""),"Interiors")</x:f>
      </x:c>
      <x:c r="C3328" s="1">
        <x:f>IFERROR(__xludf.DUMMYFUNCTION("""COMPUTED_VALUE"""),"1978")</x:f>
      </x:c>
    </x:row>
    <x:row r="3329" spans="1:10">
      <x:c r="A3329" s="1" t="s">
        <x:v>3338</x:v>
      </x:c>
      <x:c r="B3329" s="1">
        <x:f>IFERROR(__xludf.DUMMYFUNCTION("""COMPUTED_VALUE"""),"Interstella 5555 The 5tory of the 5ecret 5tar 5ystem [VOSC]")</x:f>
      </x:c>
      <x:c r="C3329" s="1">
        <x:f>IFERROR(__xludf.DUMMYFUNCTION("""COMPUTED_VALUE"""),"2003")</x:f>
      </x:c>
    </x:row>
    <x:row r="3330" spans="1:10">
      <x:c r="A3330" s="1" t="s">
        <x:v>3339</x:v>
      </x:c>
      <x:c r="B3330" s="1">
        <x:f>IFERROR(__xludf.DUMMYFUNCTION("""COMPUTED_VALUE"""),"Interstellar (versió IMAX)")</x:f>
      </x:c>
      <x:c r="C3330" s="1">
        <x:f>IFERROR(__xludf.DUMMYFUNCTION("""COMPUTED_VALUE"""),"2014")</x:f>
      </x:c>
    </x:row>
    <x:row r="3331" spans="1:10">
      <x:c r="A3331" s="1" t="s">
        <x:v>3340</x:v>
      </x:c>
      <x:c r="B3331" s="1">
        <x:f>IFERROR(__xludf.DUMMYFUNCTION("""COMPUTED_VALUE"""),"Íntim i personal")</x:f>
      </x:c>
      <x:c r="C3331" s="1">
        <x:f>IFERROR(__xludf.DUMMYFUNCTION("""COMPUTED_VALUE"""),"1996")</x:f>
      </x:c>
    </x:row>
    <x:row r="3332" spans="1:10">
      <x:c r="A3332" s="1" t="s">
        <x:v>3341</x:v>
      </x:c>
      <x:c r="B3332" s="1">
        <x:f>IFERROR(__xludf.DUMMYFUNCTION("""COMPUTED_VALUE"""),"Intocable")</x:f>
      </x:c>
      <x:c r="C3332" s="1">
        <x:f>IFERROR(__xludf.DUMMYFUNCTION("""COMPUTED_VALUE"""),"2011")</x:f>
      </x:c>
    </x:row>
    <x:row r="3333" spans="1:10">
      <x:c r="A3333" s="1" t="s">
        <x:v>3342</x:v>
      </x:c>
      <x:c r="B3333" s="1">
        <x:f>IFERROR(__xludf.DUMMYFUNCTION("""COMPUTED_VALUE"""),"Intractable")</x:f>
      </x:c>
      <x:c r="C3333" s="1">
        <x:f>IFERROR(__xludf.DUMMYFUNCTION("""COMPUTED_VALUE"""),"2021")</x:f>
      </x:c>
    </x:row>
    <x:row r="3334" spans="1:10">
      <x:c r="A3334" s="1" t="s">
        <x:v>3343</x:v>
      </x:c>
      <x:c r="B3334" s="1">
        <x:f>IFERROR(__xludf.DUMMYFUNCTION("""COMPUTED_VALUE"""),"Inuyasha 1: els sentiments que viuen més enllà del temps")</x:f>
      </x:c>
      <x:c r="C3334" s="1">
        <x:f>IFERROR(__xludf.DUMMYFUNCTION("""COMPUTED_VALUE"""),"2001")</x:f>
      </x:c>
    </x:row>
    <x:row r="3335" spans="1:10">
      <x:c r="A3335" s="1" t="s">
        <x:v>3344</x:v>
      </x:c>
      <x:c r="B3335" s="1">
        <x:f>IFERROR(__xludf.DUMMYFUNCTION("""COMPUTED_VALUE"""),"Inuyasha 2: el castell més enllà del mirall")</x:f>
      </x:c>
      <x:c r="C3335" s="1">
        <x:f>IFERROR(__xludf.DUMMYFUNCTION("""COMPUTED_VALUE"""),"2002")</x:f>
      </x:c>
    </x:row>
    <x:row r="3336" spans="1:10">
      <x:c r="A3336" s="1" t="s">
        <x:v>3345</x:v>
      </x:c>
      <x:c r="B3336" s="1">
        <x:f>IFERROR(__xludf.DUMMYFUNCTION("""COMPUTED_VALUE"""),"Inuyasha 3: l'espasa de la conquesta")</x:f>
      </x:c>
      <x:c r="C3336" s="1">
        <x:f>IFERROR(__xludf.DUMMYFUNCTION("""COMPUTED_VALUE"""),"2003")</x:f>
      </x:c>
    </x:row>
    <x:row r="3337" spans="1:10">
      <x:c r="A3337" s="1" t="s">
        <x:v>3346</x:v>
      </x:c>
      <x:c r="B3337" s="1">
        <x:f>IFERROR(__xludf.DUMMYFUNCTION("""COMPUTED_VALUE"""),"Inuyasha 4: foc a l'illa mística")</x:f>
      </x:c>
      <x:c r="C3337" s="1">
        <x:f>IFERROR(__xludf.DUMMYFUNCTION("""COMPUTED_VALUE"""),"2004")</x:f>
      </x:c>
    </x:row>
    <x:row r="3338" spans="1:10">
      <x:c r="A3338" s="1" t="s">
        <x:v>3347</x:v>
      </x:c>
      <x:c r="B3338" s="1">
        <x:f>IFERROR(__xludf.DUMMYFUNCTION("""COMPUTED_VALUE"""),"Inuyashiki")</x:f>
      </x:c>
      <x:c r="C3338" s="1">
        <x:f>IFERROR(__xludf.DUMMYFUNCTION("""COMPUTED_VALUE"""),"2018")</x:f>
      </x:c>
    </x:row>
    <x:row r="3339" spans="1:10">
      <x:c r="A3339" s="1" t="s">
        <x:v>3348</x:v>
      </x:c>
      <x:c r="B3339" s="1">
        <x:f>IFERROR(__xludf.DUMMYFUNCTION("""COMPUTED_VALUE"""),"Invasió")</x:f>
      </x:c>
      <x:c r="C3339" s="1">
        <x:f>IFERROR(__xludf.DUMMYFUNCTION("""COMPUTED_VALUE"""),"2007")</x:f>
      </x:c>
    </x:row>
    <x:row r="3340" spans="1:10">
      <x:c r="A3340" s="1" t="s">
        <x:v>3349</x:v>
      </x:c>
      <x:c r="B3340" s="1">
        <x:f>IFERROR(__xludf.DUMMYFUNCTION("""COMPUTED_VALUE"""),"Invasió a la Terra")</x:f>
      </x:c>
      <x:c r="C3340" s="1">
        <x:f>IFERROR(__xludf.DUMMYFUNCTION("""COMPUTED_VALUE"""),"2011")</x:f>
      </x:c>
    </x:row>
    <x:row r="3341" spans="1:10">
      <x:c r="A3341" s="1" t="s">
        <x:v>3350</x:v>
      </x:c>
      <x:c r="B3341" s="1">
        <x:f>IFERROR(__xludf.DUMMYFUNCTION("""COMPUTED_VALUE"""),"Invasors de l'Everest")</x:f>
      </x:c>
      <x:c r="C3341" s="1">
        <x:f>IFERROR(__xludf.DUMMYFUNCTION("""COMPUTED_VALUE"""),"2023")</x:f>
      </x:c>
    </x:row>
    <x:row r="3342" spans="1:10">
      <x:c r="A3342" s="1" t="s">
        <x:v>3351</x:v>
      </x:c>
      <x:c r="B3342" s="1">
        <x:f>IFERROR(__xludf.DUMMYFUNCTION("""COMPUTED_VALUE"""),"Invasors de Mart")</x:f>
      </x:c>
      <x:c r="C3342" s="1">
        <x:f>IFERROR(__xludf.DUMMYFUNCTION("""COMPUTED_VALUE"""),"1953")</x:f>
      </x:c>
    </x:row>
    <x:row r="3343" spans="1:10">
      <x:c r="A3343" s="1" t="s">
        <x:v>3352</x:v>
      </x:c>
      <x:c r="B3343" s="1">
        <x:f>IFERROR(__xludf.DUMMYFUNCTION("""COMPUTED_VALUE"""),"Invictus")</x:f>
      </x:c>
      <x:c r="C3343" s="1">
        <x:f>IFERROR(__xludf.DUMMYFUNCTION("""COMPUTED_VALUE"""),"2009")</x:f>
      </x:c>
    </x:row>
    <x:row r="3344" spans="1:10">
      <x:c r="A3344" s="1" t="s">
        <x:v>3353</x:v>
      </x:c>
      <x:c r="B3344" s="1">
        <x:f>IFERROR(__xludf.DUMMYFUNCTION("""COMPUTED_VALUE"""),"Invisibles")</x:f>
      </x:c>
      <x:c r="C3344" s="1">
        <x:f>IFERROR(__xludf.DUMMYFUNCTION("""COMPUTED_VALUE"""),"2014")</x:f>
      </x:c>
    </x:row>
    <x:row r="3345" spans="1:10">
      <x:c r="A3345" s="1" t="s">
        <x:v>3354</x:v>
      </x:c>
      <x:c r="B3345" s="1">
        <x:f>IFERROR(__xludf.DUMMYFUNCTION("""COMPUTED_VALUE"""),"Invitació a la dansa")</x:f>
      </x:c>
      <x:c r="C3345" s="1">
        <x:f>IFERROR(__xludf.DUMMYFUNCTION("""COMPUTED_VALUE"""),"1956")</x:f>
      </x:c>
    </x:row>
    <x:row r="3346" spans="1:10">
      <x:c r="A3346" s="1" t="s">
        <x:v>3355</x:v>
      </x:c>
      <x:c r="B3346" s="1">
        <x:f>IFERROR(__xludf.DUMMYFUNCTION("""COMPUTED_VALUE"""),"Invitació a un pistoler")</x:f>
      </x:c>
      <x:c r="C3346" s="1">
        <x:f>IFERROR(__xludf.DUMMYFUNCTION("""COMPUTED_VALUE"""),"1964")</x:f>
      </x:c>
    </x:row>
    <x:row r="3347" spans="1:10">
      <x:c r="A3347" s="1" t="s">
        <x:v>3356</x:v>
      </x:c>
      <x:c r="B3347" s="1">
        <x:f>IFERROR(__xludf.DUMMYFUNCTION("""COMPUTED_VALUE"""),"Ip Man")</x:f>
      </x:c>
      <x:c r="C3347" s="1">
        <x:f>IFERROR(__xludf.DUMMYFUNCTION("""COMPUTED_VALUE"""),"2008")</x:f>
      </x:c>
    </x:row>
    <x:row r="3348" spans="1:10">
      <x:c r="A3348" s="1" t="s">
        <x:v>3357</x:v>
      </x:c>
      <x:c r="B3348" s="1">
        <x:f>IFERROR(__xludf.DUMMYFUNCTION("""COMPUTED_VALUE"""),"Iqbal i el superxip")</x:f>
      </x:c>
      <x:c r="C3348" s="1">
        <x:f>IFERROR(__xludf.DUMMYFUNCTION("""COMPUTED_VALUE"""),"2016")</x:f>
      </x:c>
    </x:row>
    <x:row r="3349" spans="1:10">
      <x:c r="A3349" s="1" t="s">
        <x:v>3358</x:v>
      </x:c>
      <x:c r="B3349" s="1">
        <x:f>IFERROR(__xludf.DUMMYFUNCTION("""COMPUTED_VALUE"""),"Iqbal i la fórmula secreta")</x:f>
      </x:c>
      <x:c r="C3349" s="1">
        <x:f>IFERROR(__xludf.DUMMYFUNCTION("""COMPUTED_VALUE"""),"2015")</x:f>
      </x:c>
    </x:row>
    <x:row r="3350" spans="1:10">
      <x:c r="A3350" s="1" t="s">
        <x:v>3359</x:v>
      </x:c>
      <x:c r="B3350" s="1">
        <x:f>IFERROR(__xludf.DUMMYFUNCTION("""COMPUTED_VALUE"""),"Ira de titans")</x:f>
      </x:c>
      <x:c r="C3350" s="1">
        <x:f>IFERROR(__xludf.DUMMYFUNCTION("""COMPUTED_VALUE"""),"2012")</x:f>
      </x:c>
    </x:row>
    <x:row r="3351" spans="1:10">
      <x:c r="A3351" s="1" t="s">
        <x:v>3360</x:v>
      </x:c>
      <x:c r="B3351" s="1">
        <x:f>IFERROR(__xludf.DUMMYFUNCTION("""COMPUTED_VALUE"""),"Iris")</x:f>
      </x:c>
      <x:c r="C3351" s="1">
        <x:f>IFERROR(__xludf.DUMMYFUNCTION("""COMPUTED_VALUE"""),"2004")</x:f>
      </x:c>
    </x:row>
    <x:row r="3352" spans="1:10">
      <x:c r="A3352" s="1" t="s">
        <x:v>3361</x:v>
      </x:c>
      <x:c r="B3352" s="1">
        <x:f>IFERROR(__xludf.DUMMYFUNCTION("""COMPUTED_VALUE"""),"Iris TV")</x:f>
      </x:c>
      <x:c r="C3352" s="1">
        <x:f>IFERROR(__xludf.DUMMYFUNCTION("""COMPUTED_VALUE"""),"2003")</x:f>
      </x:c>
    </x:row>
    <x:row r="3353" spans="1:10">
      <x:c r="A3353" s="1" t="s">
        <x:v>3362</x:v>
      </x:c>
      <x:c r="B3353" s="1">
        <x:f>IFERROR(__xludf.DUMMYFUNCTION("""COMPUTED_VALUE"""),"Irlanda del Nord: Una frontera d'alt risc")</x:f>
      </x:c>
      <x:c r="C3353" s="1">
        <x:f>IFERROR(__xludf.DUMMYFUNCTION("""COMPUTED_VALUE"""),"2024")</x:f>
      </x:c>
    </x:row>
    <x:row r="3354" spans="1:10">
      <x:c r="A3354" s="1" t="s">
        <x:v>3363</x:v>
      </x:c>
      <x:c r="B3354" s="1">
        <x:f>IFERROR(__xludf.DUMMYFUNCTION("""COMPUTED_VALUE"""),"Iron Maiden - Rock In Rio")</x:f>
      </x:c>
      <x:c r="C3354" s="1">
        <x:f>IFERROR(__xludf.DUMMYFUNCTION("""COMPUTED_VALUE"""),"1985")</x:f>
      </x:c>
    </x:row>
    <x:row r="3355" spans="1:10">
      <x:c r="A3355" s="1" t="s">
        <x:v>3364</x:v>
      </x:c>
      <x:c r="B3355" s="1">
        <x:f>IFERROR(__xludf.DUMMYFUNCTION("""COMPUTED_VALUE"""),"Iron Maiden - Rock In Rio")</x:f>
      </x:c>
      <x:c r="C3355" s="1">
        <x:f>IFERROR(__xludf.DUMMYFUNCTION("""COMPUTED_VALUE"""),"2001")</x:f>
      </x:c>
    </x:row>
    <x:row r="3356" spans="1:10">
      <x:c r="A3356" s="1" t="s">
        <x:v>3365</x:v>
      </x:c>
      <x:c r="B3356" s="1">
        <x:f>IFERROR(__xludf.DUMMYFUNCTION("""COMPUTED_VALUE"""),"Iron Man")</x:f>
      </x:c>
      <x:c r="C3356" s="1">
        <x:f>IFERROR(__xludf.DUMMYFUNCTION("""COMPUTED_VALUE"""),"2008")</x:f>
      </x:c>
    </x:row>
    <x:row r="3357" spans="1:10">
      <x:c r="A3357" s="1" t="s">
        <x:v>3366</x:v>
      </x:c>
      <x:c r="B3357" s="1">
        <x:f>IFERROR(__xludf.DUMMYFUNCTION("""COMPUTED_VALUE"""),"Irrational Man")</x:f>
      </x:c>
      <x:c r="C3357" s="1">
        <x:f>IFERROR(__xludf.DUMMYFUNCTION("""COMPUTED_VALUE"""),"2015")</x:f>
      </x:c>
    </x:row>
    <x:row r="3358" spans="1:10">
      <x:c r="A3358" s="1" t="s">
        <x:v>3367</x:v>
      </x:c>
      <x:c r="B3358" s="1">
        <x:f>IFERROR(__xludf.DUMMYFUNCTION("""COMPUTED_VALUE"""),"Irresistible")</x:f>
      </x:c>
      <x:c r="C3358" s="1">
        <x:f>IFERROR(__xludf.DUMMYFUNCTION("""COMPUTED_VALUE"""),"2006")</x:f>
      </x:c>
    </x:row>
    <x:row r="3359" spans="1:10">
      <x:c r="A3359" s="1" t="s">
        <x:v>3368</x:v>
      </x:c>
      <x:c r="B3359" s="1">
        <x:f>IFERROR(__xludf.DUMMYFUNCTION("""COMPUTED_VALUE"""),"Isaac")</x:f>
      </x:c>
      <x:c r="C3359" s="1">
        <x:f>IFERROR(__xludf.DUMMYFUNCTION("""COMPUTED_VALUE"""),"2020")</x:f>
      </x:c>
    </x:row>
    <x:row r="3360" spans="1:10">
      <x:c r="A3360" s="1" t="s">
        <x:v>3369</x:v>
      </x:c>
      <x:c r="B3360" s="1">
        <x:f>IFERROR(__xludf.DUMMYFUNCTION("""COMPUTED_VALUE"""),"Isadora")</x:f>
      </x:c>
      <x:c r="C3360" s="1">
        <x:f>IFERROR(__xludf.DUMMYFUNCTION("""COMPUTED_VALUE"""),"1968")</x:f>
      </x:c>
    </x:row>
    <x:row r="3361" spans="1:10">
      <x:c r="A3361" s="1" t="s">
        <x:v>3370</x:v>
      </x:c>
      <x:c r="B3361" s="1">
        <x:f>IFERROR(__xludf.DUMMYFUNCTION("""COMPUTED_VALUE"""),"Ismael")</x:f>
      </x:c>
      <x:c r="C3361" s="1">
        <x:f>IFERROR(__xludf.DUMMYFUNCTION("""COMPUTED_VALUE"""),"2013")</x:f>
      </x:c>
    </x:row>
    <x:row r="3362" spans="1:10">
      <x:c r="A3362" s="1" t="s">
        <x:v>3371</x:v>
      </x:c>
      <x:c r="B3362" s="1">
        <x:f>IFERROR(__xludf.DUMMYFUNCTION("""COMPUTED_VALUE"""),"Israel, els ministres del caos")</x:f>
      </x:c>
      <x:c r="C3362" s="1">
        <x:f>IFERROR(__xludf.DUMMYFUNCTION("""COMPUTED_VALUE"""),"2024")</x:f>
      </x:c>
    </x:row>
    <x:row r="3363" spans="1:10">
      <x:c r="A3363" s="1" t="s">
        <x:v>3372</x:v>
      </x:c>
      <x:c r="B3363" s="1">
        <x:f>IFERROR(__xludf.DUMMYFUNCTION("""COMPUTED_VALUE"""),"Israel: els homes de negre")</x:f>
      </x:c>
      <x:c r="C3363" s="1">
        <x:f>IFERROR(__xludf.DUMMYFUNCTION("""COMPUTED_VALUE"""),"2016")</x:f>
      </x:c>
    </x:row>
    <x:row r="3364" spans="1:10">
      <x:c r="A3364" s="1" t="s">
        <x:v>3373</x:v>
      </x:c>
      <x:c r="B3364" s="1">
        <x:f>IFERROR(__xludf.DUMMYFUNCTION("""COMPUTED_VALUE"""),"It")</x:f>
      </x:c>
      <x:c r="C3364" s="1">
        <x:f>IFERROR(__xludf.DUMMYFUNCTION("""COMPUTED_VALUE"""),"2017")</x:f>
      </x:c>
    </x:row>
    <x:row r="3365" spans="1:10">
      <x:c r="A3365" s="1" t="s">
        <x:v>3374</x:v>
      </x:c>
      <x:c r="B3365" s="1">
        <x:f>IFERROR(__xludf.DUMMYFUNCTION("""COMPUTED_VALUE"""),"It Follows")</x:f>
      </x:c>
      <x:c r="C3365" s="1">
        <x:f>IFERROR(__xludf.DUMMYFUNCTION("""COMPUTED_VALUE"""),"2014")</x:f>
      </x:c>
    </x:row>
    <x:row r="3366" spans="1:10">
      <x:c r="A3366" s="1" t="s">
        <x:v>3375</x:v>
      </x:c>
      <x:c r="B3366" s="1">
        <x:f>IFERROR(__xludf.DUMMYFUNCTION("""COMPUTED_VALUE"""),"Ivanhoe")</x:f>
      </x:c>
      <x:c r="C3366" s="1">
        <x:f>IFERROR(__xludf.DUMMYFUNCTION("""COMPUTED_VALUE"""),"1952")</x:f>
      </x:c>
    </x:row>
    <x:row r="3367" spans="1:10">
      <x:c r="A3367" s="1" t="s">
        <x:v>3376</x:v>
      </x:c>
      <x:c r="B3367" s="1">
        <x:f>IFERROR(__xludf.DUMMYFUNCTION("""COMPUTED_VALUE"""),"Ja pots matar la núvia")</x:f>
      </x:c>
      <x:c r="C3367" s="1">
        <x:f>IFERROR(__xludf.DUMMYFUNCTION("""COMPUTED_VALUE"""),"2016")</x:f>
      </x:c>
    </x:row>
    <x:row r="3368" spans="1:10">
      <x:c r="A3368" s="1" t="s">
        <x:v>3377</x:v>
      </x:c>
      <x:c r="B3368" s="1">
        <x:f>IFERROR(__xludf.DUMMYFUNCTION("""COMPUTED_VALUE"""),"Ja t'enyoro")</x:f>
      </x:c>
      <x:c r="C3368" s="1">
        <x:f>IFERROR(__xludf.DUMMYFUNCTION("""COMPUTED_VALUE"""),"2015")</x:f>
      </x:c>
    </x:row>
    <x:row r="3369" spans="1:10">
      <x:c r="A3369" s="1" t="s">
        <x:v>3378</x:v>
      </x:c>
      <x:c r="B3369" s="1">
        <x:f>IFERROR(__xludf.DUMMYFUNCTION("""COMPUTED_VALUE"""),"Jaciment lunar")</x:f>
      </x:c>
      <x:c r="C3369" s="1">
        <x:f>IFERROR(__xludf.DUMMYFUNCTION("""COMPUTED_VALUE"""),"1996")</x:f>
      </x:c>
    </x:row>
    <x:row r="3370" spans="1:10">
      <x:c r="A3370" s="1" t="s">
        <x:v>3379</x:v>
      </x:c>
      <x:c r="B3370" s="1">
        <x:f>IFERROR(__xludf.DUMMYFUNCTION("""COMPUTED_VALUE"""),"Jack Frost")</x:f>
      </x:c>
      <x:c r="C3370" s="1">
        <x:f>IFERROR(__xludf.DUMMYFUNCTION("""COMPUTED_VALUE"""),"1998")</x:f>
      </x:c>
    </x:row>
    <x:row r="3371" spans="1:10">
      <x:c r="A3371" s="1" t="s">
        <x:v>3380</x:v>
      </x:c>
      <x:c r="B3371" s="1">
        <x:f>IFERROR(__xludf.DUMMYFUNCTION("""COMPUTED_VALUE"""),"Jack, el matagegants")</x:f>
      </x:c>
      <x:c r="C3371" s="1">
        <x:f>IFERROR(__xludf.DUMMYFUNCTION("""COMPUTED_VALUE"""),"2013")</x:f>
      </x:c>
    </x:row>
    <x:row r="3372" spans="1:10">
      <x:c r="A3372" s="1" t="s">
        <x:v>3381</x:v>
      </x:c>
      <x:c r="B3372" s="1">
        <x:f>IFERROR(__xludf.DUMMYFUNCTION("""COMPUTED_VALUE"""),"Jackie")</x:f>
      </x:c>
      <x:c r="C3372" s="1">
        <x:f>IFERROR(__xludf.DUMMYFUNCTION("""COMPUTED_VALUE"""),"2012")</x:f>
      </x:c>
    </x:row>
    <x:row r="3373" spans="1:10">
      <x:c r="A3373" s="1" t="s">
        <x:v>3382</x:v>
      </x:c>
      <x:c r="B3373" s="1">
        <x:f>IFERROR(__xludf.DUMMYFUNCTION("""COMPUTED_VALUE"""),"Jackie")</x:f>
      </x:c>
      <x:c r="C3373" s="1">
        <x:f>IFERROR(__xludf.DUMMYFUNCTION("""COMPUTED_VALUE"""),"2016")</x:f>
      </x:c>
    </x:row>
    <x:row r="3374" spans="1:10">
      <x:c r="A3374" s="1" t="s">
        <x:v>3383</x:v>
      </x:c>
      <x:c r="B3374" s="1">
        <x:f>IFERROR(__xludf.DUMMYFUNCTION("""COMPUTED_VALUE"""),"Jackie Brown")</x:f>
      </x:c>
      <x:c r="C3374" s="1">
        <x:f>IFERROR(__xludf.DUMMYFUNCTION("""COMPUTED_VALUE"""),"1997")</x:f>
      </x:c>
    </x:row>
    <x:row r="3375" spans="1:10">
      <x:c r="A3375" s="1" t="s">
        <x:v>3384</x:v>
      </x:c>
      <x:c r="B3375" s="1">
        <x:f>IFERROR(__xludf.DUMMYFUNCTION("""COMPUTED_VALUE"""),"Jacob llop")</x:f>
      </x:c>
      <x:c r="C3375" s="1">
        <x:f>IFERROR(__xludf.DUMMYFUNCTION("""COMPUTED_VALUE"""),"2011")</x:f>
      </x:c>
    </x:row>
    <x:row r="3376" spans="1:10">
      <x:c r="A3376" s="1" t="s">
        <x:v>3385</x:v>
      </x:c>
      <x:c r="B3376" s="1">
        <x:f>IFERROR(__xludf.DUMMYFUNCTION("""COMPUTED_VALUE"""),"Jacob, Mimi i els gossos del barri")</x:f>
      </x:c>
      <x:c r="C3376" s="1">
        <x:f>IFERROR(__xludf.DUMMYFUNCTION("""COMPUTED_VALUE"""),"2019")</x:f>
      </x:c>
    </x:row>
    <x:row r="3377" spans="1:10">
      <x:c r="A3377" s="1" t="s">
        <x:v>3386</x:v>
      </x:c>
      <x:c r="B3377" s="1">
        <x:f>IFERROR(__xludf.DUMMYFUNCTION("""COMPUTED_VALUE"""),"Jacuzzi al passat")</x:f>
      </x:c>
      <x:c r="C3377" s="1">
        <x:f>IFERROR(__xludf.DUMMYFUNCTION("""COMPUTED_VALUE"""),"2010")</x:f>
      </x:c>
    </x:row>
    <x:row r="3378" spans="1:10">
      <x:c r="A3378" s="1" t="s">
        <x:v>3387</x:v>
      </x:c>
      <x:c r="B3378" s="1">
        <x:f>IFERROR(__xludf.DUMMYFUNCTION("""COMPUTED_VALUE"""),"Jane Eyre")</x:f>
      </x:c>
      <x:c r="C3378" s="1">
        <x:f>IFERROR(__xludf.DUMMYFUNCTION("""COMPUTED_VALUE"""),"2011")</x:f>
      </x:c>
    </x:row>
    <x:row r="3379" spans="1:10">
      <x:c r="A3379" s="1" t="s">
        <x:v>3388</x:v>
      </x:c>
      <x:c r="B3379" s="1">
        <x:f>IFERROR(__xludf.DUMMYFUNCTION("""COMPUTED_VALUE"""),"Japó, l’imperi dels homes")</x:f>
      </x:c>
      <x:c r="C3379" s="1">
        <x:f>IFERROR(__xludf.DUMMYFUNCTION("""COMPUTED_VALUE"""),"1987")</x:f>
      </x:c>
    </x:row>
    <x:row r="3380" spans="1:10">
      <x:c r="A3380" s="1" t="s">
        <x:v>3389</x:v>
      </x:c>
      <x:c r="B3380" s="1">
        <x:f>IFERROR(__xludf.DUMMYFUNCTION("""COMPUTED_VALUE"""),"Jàson i els argonautes")</x:f>
      </x:c>
      <x:c r="C3380" s="1">
        <x:f>IFERROR(__xludf.DUMMYFUNCTION("""COMPUTED_VALUE"""),"1963")</x:f>
      </x:c>
    </x:row>
    <x:row r="3381" spans="1:10">
      <x:c r="A3381" s="1" t="s">
        <x:v>3390</x:v>
      </x:c>
      <x:c r="B3381" s="1">
        <x:f>IFERROR(__xludf.DUMMYFUNCTION("""COMPUTED_VALUE"""),"Jaume I, memòria d'un rei")</x:f>
      </x:c>
      <x:c r="C3381" s="1">
        <x:f>IFERROR(__xludf.DUMMYFUNCTION("""COMPUTED_VALUE"""),"2010")</x:f>
      </x:c>
    </x:row>
    <x:row r="3382" spans="1:10">
      <x:c r="A3382" s="1" t="s">
        <x:v>3391</x:v>
      </x:c>
      <x:c r="B3382" s="1">
        <x:f>IFERROR(__xludf.DUMMYFUNCTION("""COMPUTED_VALUE"""),"Javier Cercas i l'impostor")</x:f>
      </x:c>
      <x:c r="C3382" s="1">
        <x:f>IFERROR(__xludf.DUMMYFUNCTION("""COMPUTED_VALUE"""),"2025")</x:f>
      </x:c>
    </x:row>
    <x:row r="3383" spans="1:10">
      <x:c r="A3383" s="1" t="s">
        <x:v>3392</x:v>
      </x:c>
      <x:c r="B3383" s="1">
        <x:f>IFERROR(__xludf.DUMMYFUNCTION("""COMPUTED_VALUE"""),"JCVD")</x:f>
      </x:c>
      <x:c r="C3383" s="1">
        <x:f>IFERROR(__xludf.DUMMYFUNCTION("""COMPUTED_VALUE"""),"2008")</x:f>
      </x:c>
    </x:row>
    <x:row r="3384" spans="1:10">
      <x:c r="A3384" s="1" t="s">
        <x:v>3393</x:v>
      </x:c>
      <x:c r="B3384" s="1">
        <x:f>IFERROR(__xludf.DUMMYFUNCTION("""COMPUTED_VALUE"""),"Jean Michel Jarre - Destination Docklands")</x:f>
      </x:c>
      <x:c r="C3384" s="1">
        <x:f>IFERROR(__xludf.DUMMYFUNCTION("""COMPUTED_VALUE"""),"1988")</x:f>
      </x:c>
    </x:row>
    <x:row r="3385" spans="1:10">
      <x:c r="A3385" s="1" t="s">
        <x:v>3394</x:v>
      </x:c>
      <x:c r="B3385" s="1">
        <x:f>IFERROR(__xludf.DUMMYFUNCTION("""COMPUTED_VALUE"""),"Jean Michel Jarre - The Twelve Dreams Of The Sun")</x:f>
      </x:c>
      <x:c r="C3385" s="1">
        <x:f>IFERROR(__xludf.DUMMYFUNCTION("""COMPUTED_VALUE"""),"1999")</x:f>
      </x:c>
    </x:row>
    <x:row r="3386" spans="1:10">
      <x:c r="A3386" s="1" t="s">
        <x:v>3395</x:v>
      </x:c>
      <x:c r="B3386" s="1">
        <x:f>IFERROR(__xludf.DUMMYFUNCTION("""COMPUTED_VALUE"""),"Jean-François i el sentit de la vida")</x:f>
      </x:c>
      <x:c r="C3386" s="1">
        <x:f>IFERROR(__xludf.DUMMYFUNCTION("""COMPUTED_VALUE"""),"2018")</x:f>
      </x:c>
    </x:row>
    <x:row r="3387" spans="1:10">
      <x:c r="A3387" s="1" t="s">
        <x:v>3396</x:v>
      </x:c>
      <x:c r="B3387" s="1">
        <x:f>IFERROR(__xludf.DUMMYFUNCTION("""COMPUTED_VALUE"""),"Jeanny, la cinquena noia")</x:f>
      </x:c>
      <x:c r="C3387" s="1">
        <x:f>IFERROR(__xludf.DUMMYFUNCTION("""COMPUTED_VALUE"""),"2022")</x:f>
      </x:c>
    </x:row>
    <x:row r="3388" spans="1:10">
      <x:c r="A3388" s="1" t="s">
        <x:v>3397</x:v>
      </x:c>
      <x:c r="B3388" s="1">
        <x:f>IFERROR(__xludf.DUMMYFUNCTION("""COMPUTED_VALUE"""),"Jeepers Creepers 2")</x:f>
      </x:c>
      <x:c r="C3388" s="1">
        <x:f>IFERROR(__xludf.DUMMYFUNCTION("""COMPUTED_VALUE"""),"2003")</x:f>
      </x:c>
    </x:row>
    <x:row r="3389" spans="1:10">
      <x:c r="A3389" s="1" t="s">
        <x:v>3398</x:v>
      </x:c>
      <x:c r="B3389" s="1">
        <x:f>IFERROR(__xludf.DUMMYFUNCTION("""COMPUTED_VALUE"""),"Jeepers Creepers. El renaixement")</x:f>
      </x:c>
      <x:c r="C3389" s="1">
        <x:f>IFERROR(__xludf.DUMMYFUNCTION("""COMPUTED_VALUE"""),"2022")</x:f>
      </x:c>
    </x:row>
    <x:row r="3390" spans="1:10">
      <x:c r="A3390" s="1" t="s">
        <x:v>3399</x:v>
      </x:c>
      <x:c r="B3390" s="1">
        <x:f>IFERROR(__xludf.DUMMYFUNCTION("""COMPUTED_VALUE"""),"Jeremiah Johnson")</x:f>
      </x:c>
      <x:c r="C3390" s="1">
        <x:f>IFERROR(__xludf.DUMMYFUNCTION("""COMPUTED_VALUE"""),"1972")</x:f>
      </x:c>
    </x:row>
    <x:row r="3391" spans="1:10">
      <x:c r="A3391" s="1" t="s">
        <x:v>3400</x:v>
      </x:c>
      <x:c r="B3391" s="1">
        <x:f>IFERROR(__xludf.DUMMYFUNCTION("""COMPUTED_VALUE"""),"Jersey Boys")</x:f>
      </x:c>
      <x:c r="C3391" s="1">
        <x:f>IFERROR(__xludf.DUMMYFUNCTION("""COMPUTED_VALUE"""),"2014")</x:f>
      </x:c>
    </x:row>
    <x:row r="3392" spans="1:10">
      <x:c r="A3392" s="1" t="s">
        <x:v>3401</x:v>
      </x:c>
      <x:c r="B3392" s="1">
        <x:f>IFERROR(__xludf.DUMMYFUNCTION("""COMPUTED_VALUE"""),"Jesus Christ Superstar [VOSC]")</x:f>
      </x:c>
      <x:c r="C3392" s="1">
        <x:f>IFERROR(__xludf.DUMMYFUNCTION("""COMPUTED_VALUE"""),"1973")</x:f>
      </x:c>
    </x:row>
    <x:row r="3393" spans="1:10">
      <x:c r="A3393" s="1" t="s">
        <x:v>3402</x:v>
      </x:c>
      <x:c r="B3393" s="1">
        <x:f>IFERROR(__xludf.DUMMYFUNCTION("""COMPUTED_VALUE"""),"Jet Boy")</x:f>
      </x:c>
      <x:c r="C3393" s="1">
        <x:f>IFERROR(__xludf.DUMMYFUNCTION("""COMPUTED_VALUE"""),"2001")</x:f>
      </x:c>
    </x:row>
    <x:row r="3394" spans="1:10">
      <x:c r="A3394" s="1" t="s">
        <x:v>3403</x:v>
      </x:c>
      <x:c r="B3394" s="1">
        <x:f>IFERROR(__xludf.DUMMYFUNCTION("""COMPUTED_VALUE"""),"Jexi")</x:f>
      </x:c>
      <x:c r="C3394" s="1">
        <x:f>IFERROR(__xludf.DUMMYFUNCTION("""COMPUTED_VALUE"""),"2019")</x:f>
      </x:c>
    </x:row>
    <x:row r="3395" spans="1:10">
      <x:c r="A3395" s="1" t="s">
        <x:v>3404</x:v>
      </x:c>
      <x:c r="B3395" s="1">
        <x:f>IFERROR(__xludf.DUMMYFUNCTION("""COMPUTED_VALUE"""),"Jezebel")</x:f>
      </x:c>
      <x:c r="C3395" s="1">
        <x:f>IFERROR(__xludf.DUMMYFUNCTION("""COMPUTED_VALUE"""),"1938")</x:f>
      </x:c>
    </x:row>
    <x:row r="3396" spans="1:10">
      <x:c r="A3396" s="1" t="s">
        <x:v>3405</x:v>
      </x:c>
      <x:c r="B3396" s="1">
        <x:f>IFERROR(__xludf.DUMMYFUNCTION("""COMPUTED_VALUE"""),"JFK, cas pendent")</x:f>
      </x:c>
      <x:c r="C3396" s="1">
        <x:f>IFERROR(__xludf.DUMMYFUNCTION("""COMPUTED_VALUE"""),"2013")</x:f>
      </x:c>
    </x:row>
    <x:row r="3397" spans="1:10">
      <x:c r="A3397" s="1" t="s">
        <x:v>3406</x:v>
      </x:c>
      <x:c r="B3397" s="1">
        <x:f>IFERROR(__xludf.DUMMYFUNCTION("""COMPUTED_VALUE"""),"Jimmy Neutró, el nen inventor")</x:f>
      </x:c>
      <x:c r="C3397" s="1">
        <x:f>IFERROR(__xludf.DUMMYFUNCTION("""COMPUTED_VALUE"""),"2001")</x:f>
      </x:c>
    </x:row>
    <x:row r="3398" spans="1:10">
      <x:c r="A3398" s="1" t="s">
        <x:v>3407</x:v>
      </x:c>
      <x:c r="B3398" s="1">
        <x:f>IFERROR(__xludf.DUMMYFUNCTION("""COMPUTED_VALUE"""),"Jimmy Page &amp; Robert Plant - Live at Rockpalast")</x:f>
      </x:c>
      <x:c r="C3398" s="1">
        <x:f>IFERROR(__xludf.DUMMYFUNCTION("""COMPUTED_VALUE"""),"1998")</x:f>
      </x:c>
    </x:row>
    <x:row r="3399" spans="1:10">
      <x:c r="A3399" s="1" t="s">
        <x:v>3408</x:v>
      </x:c>
      <x:c r="B3399" s="1">
        <x:f>IFERROR(__xludf.DUMMYFUNCTION("""COMPUTED_VALUE"""),"Jimmy Page, Robert Plant - No Quarter, Unledded")</x:f>
      </x:c>
      <x:c r="C3399" s="1">
        <x:f>IFERROR(__xludf.DUMMYFUNCTION("""COMPUTED_VALUE"""),"2004")</x:f>
      </x:c>
    </x:row>
    <x:row r="3400" spans="1:10">
      <x:c r="A3400" s="1" t="s">
        <x:v>3409</x:v>
      </x:c>
      <x:c r="B3400" s="1">
        <x:f>IFERROR(__xludf.DUMMYFUNCTION("""COMPUTED_VALUE"""),"Jimmy's Hall [VOSC]")</x:f>
      </x:c>
      <x:c r="C3400" s="1">
        <x:f>IFERROR(__xludf.DUMMYFUNCTION("""COMPUTED_VALUE"""),"2014")</x:f>
      </x:c>
    </x:row>
    <x:row r="3401" spans="1:10">
      <x:c r="A3401" s="1" t="s">
        <x:v>3410</x:v>
      </x:c>
      <x:c r="B3401" s="1">
        <x:f>IFERROR(__xludf.DUMMYFUNCTION("""COMPUTED_VALUE"""),"Jindabyne")</x:f>
      </x:c>
      <x:c r="C3401" s="1">
        <x:f>IFERROR(__xludf.DUMMYFUNCTION("""COMPUTED_VALUE"""),"2006")</x:f>
      </x:c>
    </x:row>
    <x:row r="3402" spans="1:10">
      <x:c r="A3402" s="1" t="s">
        <x:v>3411</x:v>
      </x:c>
      <x:c r="B3402" s="1">
        <x:f>IFERROR(__xludf.DUMMYFUNCTION("""COMPUTED_VALUE"""),"Jo confesso")</x:f>
      </x:c>
      <x:c r="C3402" s="1">
        <x:f>IFERROR(__xludf.DUMMYFUNCTION("""COMPUTED_VALUE"""),"1953")</x:f>
      </x:c>
    </x:row>
    <x:row r="3403" spans="1:10">
      <x:c r="A3403" s="1" t="s">
        <x:v>3412</x:v>
      </x:c>
      <x:c r="B3403" s="1">
        <x:f>IFERROR(__xludf.DUMMYFUNCTION("""COMPUTED_VALUE"""),"Jo hi vaig ser")</x:f>
      </x:c>
      <x:c r="C3403" s="1">
        <x:f>IFERROR(__xludf.DUMMYFUNCTION("""COMPUTED_VALUE"""),"2012")</x:f>
      </x:c>
    </x:row>
    <x:row r="3404" spans="1:10">
      <x:c r="A3404" s="1" t="s">
        <x:v>3413</x:v>
      </x:c>
      <x:c r="B3404" s="1">
        <x:f>IFERROR(__xludf.DUMMYFUNCTION("""COMPUTED_VALUE"""),"Jo la busco")</x:f>
      </x:c>
      <x:c r="C3404" s="1">
        <x:f>IFERROR(__xludf.DUMMYFUNCTION("""COMPUTED_VALUE"""),"2018")</x:f>
      </x:c>
    </x:row>
    <x:row r="3405" spans="1:10">
      <x:c r="A3405" s="1" t="s">
        <x:v>3414</x:v>
      </x:c>
      <x:c r="B3405" s="1">
        <x:f>IFERROR(__xludf.DUMMYFUNCTION("""COMPUTED_VALUE"""),"Jo sí que et crec")</x:f>
      </x:c>
      <x:c r="C3405" s="1">
        <x:f>IFERROR(__xludf.DUMMYFUNCTION("""COMPUTED_VALUE"""),"2024")</x:f>
      </x:c>
    </x:row>
    <x:row r="3406" spans="1:10">
      <x:c r="A3406" s="1" t="s">
        <x:v>3415</x:v>
      </x:c>
      <x:c r="B3406" s="1">
        <x:f>IFERROR(__xludf.DUMMYFUNCTION("""COMPUTED_VALUE"""),"Jo sóc l'amor")</x:f>
      </x:c>
      <x:c r="C3406" s="1">
        <x:f>IFERROR(__xludf.DUMMYFUNCTION("""COMPUTED_VALUE"""),"2009")</x:f>
      </x:c>
    </x:row>
    <x:row r="3407" spans="1:10">
      <x:c r="A3407" s="1" t="s">
        <x:v>3416</x:v>
      </x:c>
      <x:c r="B3407" s="1">
        <x:f>IFERROR(__xludf.DUMMYFUNCTION("""COMPUTED_VALUE"""),"Jo sóc la Juani")</x:f>
      </x:c>
      <x:c r="C3407" s="1">
        <x:f>IFERROR(__xludf.DUMMYFUNCTION("""COMPUTED_VALUE"""),"2006")</x:f>
      </x:c>
    </x:row>
    <x:row r="3408" spans="1:10">
      <x:c r="A3408" s="1" t="s">
        <x:v>3417</x:v>
      </x:c>
      <x:c r="B3408" s="1">
        <x:f>IFERROR(__xludf.DUMMYFUNCTION("""COMPUTED_VALUE"""),"Jo soc nosaltres")</x:f>
      </x:c>
      <x:c r="C3408" s="1">
        <x:f>IFERROR(__xludf.DUMMYFUNCTION("""COMPUTED_VALUE"""),"2022")</x:f>
      </x:c>
    </x:row>
    <x:row r="3409" spans="1:10">
      <x:c r="A3409" s="1" t="s">
        <x:v>3418</x:v>
      </x:c>
      <x:c r="B3409" s="1">
        <x:f>IFERROR(__xludf.DUMMYFUNCTION("""COMPUTED_VALUE"""),"Jo vigilo el camí")</x:f>
      </x:c>
      <x:c r="C3409" s="1">
        <x:f>IFERROR(__xludf.DUMMYFUNCTION("""COMPUTED_VALUE"""),"1970")</x:f>
      </x:c>
    </x:row>
    <x:row r="3410" spans="1:10">
      <x:c r="A3410" s="1" t="s">
        <x:v>3419</x:v>
      </x:c>
      <x:c r="B3410" s="1">
        <x:f>IFERROR(__xludf.DUMMYFUNCTION("""COMPUTED_VALUE"""),"Jo, Daniel Blake")</x:f>
      </x:c>
      <x:c r="C3410" s="1">
        <x:f>IFERROR(__xludf.DUMMYFUNCTION("""COMPUTED_VALUE"""),"2016")</x:f>
      </x:c>
    </x:row>
    <x:row r="3411" spans="1:10">
      <x:c r="A3411" s="1" t="s">
        <x:v>3420</x:v>
      </x:c>
      <x:c r="B3411" s="1">
        <x:f>IFERROR(__xludf.DUMMYFUNCTION("""COMPUTED_VALUE"""),"Jo, Frankenstein")</x:f>
      </x:c>
      <x:c r="C3411" s="1">
        <x:f>IFERROR(__xludf.DUMMYFUNCTION("""COMPUTED_VALUE"""),"2014")</x:f>
      </x:c>
    </x:row>
    <x:row r="3412" spans="1:10">
      <x:c r="A3412" s="1" t="s">
        <x:v>3421</x:v>
      </x:c>
      <x:c r="B3412" s="1">
        <x:f>IFERROR(__xludf.DUMMYFUNCTION("""COMPUTED_VALUE"""),"Jo, gran caçador")</x:f>
      </x:c>
      <x:c r="C3412" s="1">
        <x:f>IFERROR(__xludf.DUMMYFUNCTION("""COMPUTED_VALUE"""),"1979")</x:f>
      </x:c>
    </x:row>
    <x:row r="3413" spans="1:10">
      <x:c r="A3413" s="1" t="s">
        <x:v>3422</x:v>
      </x:c>
      <x:c r="B3413" s="1">
        <x:f>IFERROR(__xludf.DUMMYFUNCTION("""COMPUTED_VALUE"""),"Jo, Ramon Llull")</x:f>
      </x:c>
      <x:c r="C3413" s="1">
        <x:f>IFERROR(__xludf.DUMMYFUNCTION("""COMPUTED_VALUE"""),"2016")</x:f>
      </x:c>
    </x:row>
    <x:row r="3414" spans="1:10">
      <x:c r="A3414" s="1" t="s">
        <x:v>3423</x:v>
      </x:c>
      <x:c r="B3414" s="1">
        <x:f>IFERROR(__xludf.DUMMYFUNCTION("""COMPUTED_VALUE"""),"Jo, robot")</x:f>
      </x:c>
      <x:c r="C3414" s="1">
        <x:f>IFERROR(__xludf.DUMMYFUNCTION("""COMPUTED_VALUE"""),"2004")</x:f>
      </x:c>
    </x:row>
    <x:row r="3415" spans="1:10">
      <x:c r="A3415" s="1" t="s">
        <x:v>3424</x:v>
      </x:c>
      <x:c r="B3415" s="1">
        <x:f>IFERROR(__xludf.DUMMYFUNCTION("""COMPUTED_VALUE"""),"Jo, Tonya")</x:f>
      </x:c>
      <x:c r="C3415" s="1">
        <x:f>IFERROR(__xludf.DUMMYFUNCTION("""COMPUTED_VALUE"""),"2017")</x:f>
      </x:c>
    </x:row>
    <x:row r="3416" spans="1:10">
      <x:c r="A3416" s="1" t="s">
        <x:v>3425</x:v>
      </x:c>
      <x:c r="B3416" s="1">
        <x:f>IFERROR(__xludf.DUMMYFUNCTION("""COMPUTED_VALUE"""),"Joan Baptista Humet - Concert al Palau de la Musica")</x:f>
      </x:c>
      <x:c r="C3416" s="1">
        <x:f>IFERROR(__xludf.DUMMYFUNCTION("""COMPUTED_VALUE"""),"1985")</x:f>
      </x:c>
    </x:row>
    <x:row r="3417" spans="1:10">
      <x:c r="A3417" s="1" t="s">
        <x:v>3426</x:v>
      </x:c>
      <x:c r="B3417" s="1">
        <x:f>IFERROR(__xludf.DUMMYFUNCTION("""COMPUTED_VALUE"""),"Joan Peiró i la justícia de Franco")</x:f>
      </x:c>
      <x:c r="C3417" s="1">
        <x:f>IFERROR(__xludf.DUMMYFUNCTION("""COMPUTED_VALUE"""),"2004")</x:f>
      </x:c>
    </x:row>
    <x:row r="3418" spans="1:10">
      <x:c r="A3418" s="1" t="s">
        <x:v>3427</x:v>
      </x:c>
      <x:c r="B3418" s="1">
        <x:f>IFERROR(__xludf.DUMMYFUNCTION("""COMPUTED_VALUE"""),"Joana Biarnés, una entre tots")</x:f>
      </x:c>
      <x:c r="C3418" s="1">
        <x:f>IFERROR(__xludf.DUMMYFUNCTION("""COMPUTED_VALUE"""),"2015")</x:f>
      </x:c>
    </x:row>
    <x:row r="3419" spans="1:10">
      <x:c r="A3419" s="1" t="s">
        <x:v>3428</x:v>
      </x:c>
      <x:c r="B3419" s="1">
        <x:f>IFERROR(__xludf.DUMMYFUNCTION("""COMPUTED_VALUE"""),"Joana d'Arc")</x:f>
      </x:c>
      <x:c r="C3419" s="1">
        <x:f>IFERROR(__xludf.DUMMYFUNCTION("""COMPUTED_VALUE"""),"1999")</x:f>
      </x:c>
    </x:row>
    <x:row r="3420" spans="1:10">
      <x:c r="A3420" s="1" t="s">
        <x:v>3429</x:v>
      </x:c>
      <x:c r="B3420" s="1">
        <x:f>IFERROR(__xludf.DUMMYFUNCTION("""COMPUTED_VALUE"""),"Jobs")</x:f>
      </x:c>
      <x:c r="C3420" s="1">
        <x:f>IFERROR(__xludf.DUMMYFUNCTION("""COMPUTED_VALUE"""),"2013")</x:f>
      </x:c>
    </x:row>
    <x:row r="3421" spans="1:10">
      <x:c r="A3421" s="1" t="s">
        <x:v>3430</x:v>
      </x:c>
      <x:c r="B3421" s="1">
        <x:f>IFERROR(__xludf.DUMMYFUNCTION("""COMPUTED_VALUE"""),"Joc amb la mort")</x:f>
      </x:c>
      <x:c r="C3421" s="1">
        <x:f>IFERROR(__xludf.DUMMYFUNCTION("""COMPUTED_VALUE"""),"1978")</x:f>
      </x:c>
    </x:row>
    <x:row r="3422" spans="1:10">
      <x:c r="A3422" s="1" t="s">
        <x:v>3431</x:v>
      </x:c>
      <x:c r="B3422" s="1">
        <x:f>IFERROR(__xludf.DUMMYFUNCTION("""COMPUTED_VALUE"""),"Joc d'armes")</x:f>
      </x:c>
      <x:c r="C3422" s="1">
        <x:f>IFERROR(__xludf.DUMMYFUNCTION("""COMPUTED_VALUE"""),"2016")</x:f>
      </x:c>
    </x:row>
    <x:row r="3423" spans="1:10">
      <x:c r="A3423" s="1" t="s">
        <x:v>3432</x:v>
      </x:c>
      <x:c r="B3423" s="1">
        <x:f>IFERROR(__xludf.DUMMYFUNCTION("""COMPUTED_VALUE"""),"Joc de dones")</x:f>
      </x:c>
      <x:c r="C3423" s="1">
        <x:f>IFERROR(__xludf.DUMMYFUNCTION("""COMPUTED_VALUE"""),"2004")</x:f>
      </x:c>
    </x:row>
    <x:row r="3424" spans="1:10">
      <x:c r="A3424" s="1" t="s">
        <x:v>3433</x:v>
      </x:c>
      <x:c r="B3424" s="1">
        <x:f>IFERROR(__xludf.DUMMYFUNCTION("""COMPUTED_VALUE"""),"Jocs bruts")</x:f>
      </x:c>
      <x:c r="C3424" s="1">
        <x:f>IFERROR(__xludf.DUMMYFUNCTION("""COMPUTED_VALUE"""),"2013")</x:f>
      </x:c>
    </x:row>
    <x:row r="3425" spans="1:10">
      <x:c r="A3425" s="1" t="s">
        <x:v>3434</x:v>
      </x:c>
      <x:c r="B3425" s="1">
        <x:f>IFERROR(__xludf.DUMMYFUNCTION("""COMPUTED_VALUE"""),"Jocs de guerra")</x:f>
      </x:c>
      <x:c r="C3425" s="1">
        <x:f>IFERROR(__xludf.DUMMYFUNCTION("""COMPUTED_VALUE"""),"1983")</x:f>
      </x:c>
    </x:row>
    <x:row r="3426" spans="1:10">
      <x:c r="A3426" s="1" t="s">
        <x:v>3435</x:v>
      </x:c>
      <x:c r="B3426" s="1">
        <x:f>IFERROR(__xludf.DUMMYFUNCTION("""COMPUTED_VALUE"""),"Jocs prohibits")</x:f>
      </x:c>
      <x:c r="C3426" s="1">
        <x:f>IFERROR(__xludf.DUMMYFUNCTION("""COMPUTED_VALUE"""),"1952")</x:f>
      </x:c>
    </x:row>
    <x:row r="3427" spans="1:10">
      <x:c r="A3427" s="1" t="s">
        <x:v>3436</x:v>
      </x:c>
      <x:c r="B3427" s="1">
        <x:f>IFERROR(__xludf.DUMMYFUNCTION("""COMPUTED_VALUE"""),"Jocs secrets")</x:f>
      </x:c>
      <x:c r="C3427" s="1">
        <x:f>IFERROR(__xludf.DUMMYFUNCTION("""COMPUTED_VALUE"""),"2006")</x:f>
      </x:c>
    </x:row>
    <x:row r="3428" spans="1:10">
      <x:c r="A3428" s="1" t="s">
        <x:v>3437</x:v>
      </x:c>
      <x:c r="B3428" s="1">
        <x:f>IFERROR(__xludf.DUMMYFUNCTION("""COMPUTED_VALUE"""),"Jodorowsky's Dune [VOSC]")</x:f>
      </x:c>
      <x:c r="C3428" s="1">
        <x:f>IFERROR(__xludf.DUMMYFUNCTION("""COMPUTED_VALUE"""),"2013")</x:f>
      </x:c>
    </x:row>
    <x:row r="3429" spans="1:10">
      <x:c r="A3429" s="1" t="s">
        <x:v>3438</x:v>
      </x:c>
      <x:c r="B3429" s="1">
        <x:f>IFERROR(__xludf.DUMMYFUNCTION("""COMPUTED_VALUE"""),"John Rambo")</x:f>
      </x:c>
      <x:c r="C3429" s="1">
        <x:f>IFERROR(__xludf.DUMMYFUNCTION("""COMPUTED_VALUE"""),"2008")</x:f>
      </x:c>
    </x:row>
    <x:row r="3430" spans="1:10">
      <x:c r="A3430" s="1" t="s">
        <x:v>3439</x:v>
      </x:c>
      <x:c r="B3430" s="1">
        <x:f>IFERROR(__xludf.DUMMYFUNCTION("""COMPUTED_VALUE"""),"John Wick 3: Parabellum")</x:f>
      </x:c>
      <x:c r="C3430" s="1">
        <x:f>IFERROR(__xludf.DUMMYFUNCTION("""COMPUTED_VALUE"""),"2019")</x:f>
      </x:c>
    </x:row>
    <x:row r="3431" spans="1:10">
      <x:c r="A3431" s="1" t="s">
        <x:v>3440</x:v>
      </x:c>
      <x:c r="B3431" s="1">
        <x:f>IFERROR(__xludf.DUMMYFUNCTION("""COMPUTED_VALUE"""),"John Wick Chapter 4")</x:f>
      </x:c>
      <x:c r="C3431" s="1">
        <x:f>IFERROR(__xludf.DUMMYFUNCTION("""COMPUTED_VALUE"""),"2023")</x:f>
      </x:c>
    </x:row>
    <x:row r="3432" spans="1:10">
      <x:c r="A3432" s="1" t="s">
        <x:v>3441</x:v>
      </x:c>
      <x:c r="B3432" s="1">
        <x:f>IFERROR(__xludf.DUMMYFUNCTION("""COMPUTED_VALUE"""),"Johnny English")</x:f>
      </x:c>
      <x:c r="C3432" s="1">
        <x:f>IFERROR(__xludf.DUMMYFUNCTION("""COMPUTED_VALUE"""),"2003")</x:f>
      </x:c>
    </x:row>
    <x:row r="3433" spans="1:10">
      <x:c r="A3433" s="1" t="s">
        <x:v>3442</x:v>
      </x:c>
      <x:c r="B3433" s="1">
        <x:f>IFERROR(__xludf.DUMMYFUNCTION("""COMPUTED_VALUE"""),"Johnny English Returns")</x:f>
      </x:c>
      <x:c r="C3433" s="1">
        <x:f>IFERROR(__xludf.DUMMYFUNCTION("""COMPUTED_VALUE"""),"2011")</x:f>
      </x:c>
    </x:row>
    <x:row r="3434" spans="1:10">
      <x:c r="A3434" s="1" t="s">
        <x:v>3443</x:v>
      </x:c>
      <x:c r="B3434" s="1">
        <x:f>IFERROR(__xludf.DUMMYFUNCTION("""COMPUTED_VALUE"""),"Johnny English torna a l'acció")</x:f>
      </x:c>
      <x:c r="C3434" s="1">
        <x:f>IFERROR(__xludf.DUMMYFUNCTION("""COMPUTED_VALUE"""),"2018")</x:f>
      </x:c>
    </x:row>
    <x:row r="3435" spans="1:10">
      <x:c r="A3435" s="1" t="s">
        <x:v>3444</x:v>
      </x:c>
      <x:c r="B3435" s="1">
        <x:f>IFERROR(__xludf.DUMMYFUNCTION("""COMPUTED_VALUE"""),"Johnny i Clementina a l'oest")</x:f>
      </x:c>
      <x:c r="C3435" s="1">
        <x:f>IFERROR(__xludf.DUMMYFUNCTION("""COMPUTED_VALUE"""),"1965")</x:f>
      </x:c>
    </x:row>
    <x:row r="3436" spans="1:10">
      <x:c r="A3436" s="1" t="s">
        <x:v>3445</x:v>
      </x:c>
      <x:c r="B3436" s="1">
        <x:f>IFERROR(__xludf.DUMMYFUNCTION("""COMPUTED_VALUE"""),"Johnny Mnemonic")</x:f>
      </x:c>
      <x:c r="C3436" s="1">
        <x:f>IFERROR(__xludf.DUMMYFUNCTION("""COMPUTED_VALUE"""),"1995")</x:f>
      </x:c>
    </x:row>
    <x:row r="3437" spans="1:10">
      <x:c r="A3437" s="1" t="s">
        <x:v>3446</x:v>
      </x:c>
      <x:c r="B3437" s="1">
        <x:f>IFERROR(__xludf.DUMMYFUNCTION("""COMPUTED_VALUE"""),"Jonah Hex")</x:f>
      </x:c>
      <x:c r="C3437" s="1">
        <x:f>IFERROR(__xludf.DUMMYFUNCTION("""COMPUTED_VALUE"""),"2010")</x:f>
      </x:c>
    </x:row>
    <x:row r="3438" spans="1:10">
      <x:c r="A3438" s="1" t="s">
        <x:v>3447</x:v>
      </x:c>
      <x:c r="B3438" s="1">
        <x:f>IFERROR(__xludf.DUMMYFUNCTION("""COMPUTED_VALUE"""),"Jordi Mir. Pompeufabrant Catalunya")</x:f>
      </x:c>
      <x:c r="C3438" s="1">
        <x:f>IFERROR(__xludf.DUMMYFUNCTION("""COMPUTED_VALUE"""),"2024")</x:f>
      </x:c>
    </x:row>
    <x:row r="3439" spans="1:10">
      <x:c r="A3439" s="1" t="s">
        <x:v>3448</x:v>
      </x:c>
      <x:c r="B3439" s="1">
        <x:f>IFERROR(__xludf.DUMMYFUNCTION("""COMPUTED_VALUE"""),"Jorge Fernández Díaz contra el mal")</x:f>
      </x:c>
      <x:c r="C3439" s="1">
        <x:f>IFERROR(__xludf.DUMMYFUNCTION("""COMPUTED_VALUE"""),"2021")</x:f>
      </x:c>
    </x:row>
    <x:row r="3440" spans="1:10">
      <x:c r="A3440" s="1" t="s">
        <x:v>3449</x:v>
      </x:c>
      <x:c r="B3440" s="1">
        <x:f>IFERROR(__xludf.DUMMYFUNCTION("""COMPUTED_VALUE"""),"Josee, el tigre i els peixos")</x:f>
      </x:c>
      <x:c r="C3440" s="1">
        <x:f>IFERROR(__xludf.DUMMYFUNCTION("""COMPUTED_VALUE"""),"2020")</x:f>
      </x:c>
    </x:row>
    <x:row r="3441" spans="1:10">
      <x:c r="A3441" s="1" t="s">
        <x:v>3450</x:v>
      </x:c>
      <x:c r="B3441" s="1">
        <x:f>IFERROR(__xludf.DUMMYFUNCTION("""COMPUTED_VALUE"""),"Josep")</x:f>
      </x:c>
      <x:c r="C3441" s="1">
        <x:f>IFERROR(__xludf.DUMMYFUNCTION("""COMPUTED_VALUE"""),"2020")</x:f>
      </x:c>
    </x:row>
    <x:row r="3442" spans="1:10">
      <x:c r="A3442" s="1" t="s">
        <x:v>3451</x:v>
      </x:c>
      <x:c r="B3442" s="1">
        <x:f>IFERROR(__xludf.DUMMYFUNCTION("""COMPUTED_VALUE"""),"Josep Tarradellas, memòria d'una legitimitat")</x:f>
      </x:c>
      <x:c r="C3442" s="1">
        <x:f>IFERROR(__xludf.DUMMYFUNCTION("""COMPUTED_VALUE"""),"1999")</x:f>
      </x:c>
    </x:row>
    <x:row r="3443" spans="1:10">
      <x:c r="A3443" s="1" t="s">
        <x:v>3452</x:v>
      </x:c>
      <x:c r="B3443" s="1">
        <x:f>IFERROR(__xludf.DUMMYFUNCTION("""COMPUTED_VALUE"""),"Joseph: Rei dels somnis")</x:f>
      </x:c>
      <x:c r="C3443" s="1">
        <x:f>IFERROR(__xludf.DUMMYFUNCTION("""COMPUTED_VALUE"""),"2000")</x:f>
      </x:c>
    </x:row>
    <x:row r="3444" spans="1:10">
      <x:c r="A3444" s="1" t="s">
        <x:v>3453</x:v>
      </x:c>
      <x:c r="B3444" s="1">
        <x:f>IFERROR(__xludf.DUMMYFUNCTION("""COMPUTED_VALUE"""),"Joséphine")</x:f>
      </x:c>
      <x:c r="C3444" s="1">
        <x:f>IFERROR(__xludf.DUMMYFUNCTION("""COMPUTED_VALUE"""),"2013")</x:f>
      </x:c>
    </x:row>
    <x:row r="3445" spans="1:10">
      <x:c r="A3445" s="1" t="s">
        <x:v>3454</x:v>
      </x:c>
      <x:c r="B3445" s="1">
        <x:f>IFERROR(__xludf.DUMMYFUNCTION("""COMPUTED_VALUE"""),"Jove i bonica")</x:f>
      </x:c>
      <x:c r="C3445" s="1">
        <x:f>IFERROR(__xludf.DUMMYFUNCTION("""COMPUTED_VALUE"""),"2013")</x:f>
      </x:c>
    </x:row>
    <x:row r="3446" spans="1:10">
      <x:c r="A3446" s="1" t="s">
        <x:v>3455</x:v>
      </x:c>
      <x:c r="B3446" s="1">
        <x:f>IFERROR(__xludf.DUMMYFUNCTION("""COMPUTED_VALUE"""),"Joventut")</x:f>
      </x:c>
      <x:c r="C3446" s="1">
        <x:f>IFERROR(__xludf.DUMMYFUNCTION("""COMPUTED_VALUE"""),"2015")</x:f>
      </x:c>
    </x:row>
    <x:row r="3447" spans="1:10">
      <x:c r="A3447" s="1" t="s">
        <x:v>3456</x:v>
      </x:c>
      <x:c r="B3447" s="1">
        <x:f>IFERROR(__xludf.DUMMYFUNCTION("""COMPUTED_VALUE"""),"Joves i bruixes")</x:f>
      </x:c>
      <x:c r="C3447" s="1">
        <x:f>IFERROR(__xludf.DUMMYFUNCTION("""COMPUTED_VALUE"""),"1996")</x:f>
      </x:c>
    </x:row>
    <x:row r="3448" spans="1:10">
      <x:c r="A3448" s="1" t="s">
        <x:v>3457</x:v>
      </x:c>
      <x:c r="B3448" s="1">
        <x:f>IFERROR(__xludf.DUMMYFUNCTION("""COMPUTED_VALUE"""),"Joves prodigiosos")</x:f>
      </x:c>
      <x:c r="C3448" s="1">
        <x:f>IFERROR(__xludf.DUMMYFUNCTION("""COMPUTED_VALUE"""),"2000")</x:f>
      </x:c>
    </x:row>
    <x:row r="3449" spans="1:10">
      <x:c r="A3449" s="1" t="s">
        <x:v>3458</x:v>
      </x:c>
      <x:c r="B3449" s="1">
        <x:f>IFERROR(__xludf.DUMMYFUNCTION("""COMPUTED_VALUE"""),"Joy")</x:f>
      </x:c>
      <x:c r="C3449" s="1">
        <x:f>IFERROR(__xludf.DUMMYFUNCTION("""COMPUTED_VALUE"""),"2015")</x:f>
      </x:c>
    </x:row>
    <x:row r="3450" spans="1:10">
      <x:c r="A3450" s="1" t="s">
        <x:v>3459</x:v>
      </x:c>
      <x:c r="B3450" s="1">
        <x:f>IFERROR(__xludf.DUMMYFUNCTION("""COMPUTED_VALUE"""),"Jubilació impossible")</x:f>
      </x:c>
      <x:c r="C3450" s="1">
        <x:f>IFERROR(__xludf.DUMMYFUNCTION("""COMPUTED_VALUE"""),"2019")</x:f>
      </x:c>
    </x:row>
    <x:row r="3451" spans="1:10">
      <x:c r="A3451" s="1" t="s">
        <x:v>3460</x:v>
      </x:c>
      <x:c r="B3451" s="1">
        <x:f>IFERROR(__xludf.DUMMYFUNCTION("""COMPUTED_VALUE"""),"Jubilació impossible 2")</x:f>
      </x:c>
      <x:c r="C3451" s="1">
        <x:f>IFERROR(__xludf.DUMMYFUNCTION("""COMPUTED_VALUE"""),"2022")</x:f>
      </x:c>
    </x:row>
    <x:row r="3452" spans="1:10">
      <x:c r="A3452" s="1" t="s">
        <x:v>3461</x:v>
      </x:c>
      <x:c r="B3452" s="1">
        <x:f>IFERROR(__xludf.DUMMYFUNCTION("""COMPUTED_VALUE"""),"Jude")</x:f>
      </x:c>
      <x:c r="C3452" s="1">
        <x:f>IFERROR(__xludf.DUMMYFUNCTION("""COMPUTED_VALUE"""),"1996")</x:f>
      </x:c>
    </x:row>
    <x:row r="3453" spans="1:10">
      <x:c r="A3453" s="1" t="s">
        <x:v>3462</x:v>
      </x:c>
      <x:c r="B3453" s="1">
        <x:f>IFERROR(__xludf.DUMMYFUNCTION("""COMPUTED_VALUE"""),"Judy &amp; Punch")</x:f>
      </x:c>
      <x:c r="C3453" s="1">
        <x:f>IFERROR(__xludf.DUMMYFUNCTION("""COMPUTED_VALUE"""),"2019")</x:f>
      </x:c>
    </x:row>
    <x:row r="3454" spans="1:10">
      <x:c r="A3454" s="1" t="s">
        <x:v>3463</x:v>
      </x:c>
      <x:c r="B3454" s="1">
        <x:f>IFERROR(__xludf.DUMMYFUNCTION("""COMPUTED_VALUE"""),"Jugant amb foc")</x:f>
      </x:c>
      <x:c r="C3454" s="1">
        <x:f>IFERROR(__xludf.DUMMYFUNCTION("""COMPUTED_VALUE"""),"2023")</x:f>
      </x:c>
    </x:row>
    <x:row r="3455" spans="1:10">
      <x:c r="A3455" s="1" t="s">
        <x:v>3464</x:v>
      </x:c>
      <x:c r="B3455" s="1">
        <x:f>IFERROR(__xludf.DUMMYFUNCTION("""COMPUTED_VALUE"""),"JuicyFields, l'engany rus")</x:f>
      </x:c>
      <x:c r="C3455" s="1">
        <x:f>IFERROR(__xludf.DUMMYFUNCTION("""COMPUTED_VALUE"""),"2024")</x:f>
      </x:c>
    </x:row>
    <x:row r="3456" spans="1:10">
      <x:c r="A3456" s="1" t="s">
        <x:v>3465</x:v>
      </x:c>
      <x:c r="B3456" s="1">
        <x:f>IFERROR(__xludf.DUMMYFUNCTION("""COMPUTED_VALUE"""),"Jujol-Gaudí, dos genis de l'arquitectura")</x:f>
      </x:c>
      <x:c r="C3456" s="1">
        <x:f>IFERROR(__xludf.DUMMYFUNCTION("""COMPUTED_VALUE"""),"2016")</x:f>
      </x:c>
    </x:row>
    <x:row r="3457" spans="1:10">
      <x:c r="A3457" s="1" t="s">
        <x:v>3466</x:v>
      </x:c>
      <x:c r="B3457" s="1">
        <x:f>IFERROR(__xludf.DUMMYFUNCTION("""COMPUTED_VALUE"""),"Júlia ist")</x:f>
      </x:c>
      <x:c r="C3457" s="1">
        <x:f>IFERROR(__xludf.DUMMYFUNCTION("""COMPUTED_VALUE"""),"2017")</x:f>
      </x:c>
    </x:row>
    <x:row r="3458" spans="1:10">
      <x:c r="A3458" s="1" t="s">
        <x:v>3467</x:v>
      </x:c>
      <x:c r="B3458" s="1">
        <x:f>IFERROR(__xludf.DUMMYFUNCTION("""COMPUTED_VALUE"""),"Julie i Julia")</x:f>
      </x:c>
      <x:c r="C3458" s="1">
        <x:f>IFERROR(__xludf.DUMMYFUNCTION("""COMPUTED_VALUE"""),"2009")</x:f>
      </x:c>
    </x:row>
    <x:row r="3459" spans="1:10">
      <x:c r="A3459" s="1" t="s">
        <x:v>3468</x:v>
      </x:c>
      <x:c r="B3459" s="1">
        <x:f>IFERROR(__xludf.DUMMYFUNCTION("""COMPUTED_VALUE"""),"Juliet, nua")</x:f>
      </x:c>
      <x:c r="C3459" s="1">
        <x:f>IFERROR(__xludf.DUMMYFUNCTION("""COMPUTED_VALUE"""),"2018")</x:f>
      </x:c>
    </x:row>
    <x:row r="3460" spans="1:10">
      <x:c r="A3460" s="1" t="s">
        <x:v>3469</x:v>
      </x:c>
      <x:c r="B3460" s="1">
        <x:f>IFERROR(__xludf.DUMMYFUNCTION("""COMPUTED_VALUE"""),"Jumanji")</x:f>
      </x:c>
      <x:c r="C3460" s="1">
        <x:f>IFERROR(__xludf.DUMMYFUNCTION("""COMPUTED_VALUE"""),"1995")</x:f>
      </x:c>
    </x:row>
    <x:row r="3461" spans="1:10">
      <x:c r="A3461" s="1" t="s">
        <x:v>3470</x:v>
      </x:c>
      <x:c r="B3461" s="1">
        <x:f>IFERROR(__xludf.DUMMYFUNCTION("""COMPUTED_VALUE"""),"Jumpin' Jack Flash")</x:f>
      </x:c>
      <x:c r="C3461" s="1">
        <x:f>IFERROR(__xludf.DUMMYFUNCTION("""COMPUTED_VALUE"""),"1986")</x:f>
      </x:c>
    </x:row>
    <x:row r="3462" spans="1:10">
      <x:c r="A3462" s="1" t="s">
        <x:v>3471</x:v>
      </x:c>
      <x:c r="B3462" s="1">
        <x:f>IFERROR(__xludf.DUMMYFUNCTION("""COMPUTED_VALUE"""),"Jumping the Broom")</x:f>
      </x:c>
      <x:c r="C3462" s="1">
        <x:f>IFERROR(__xludf.DUMMYFUNCTION("""COMPUTED_VALUE"""),"2011")</x:f>
      </x:c>
    </x:row>
    <x:row r="3463" spans="1:10">
      <x:c r="A3463" s="1" t="s">
        <x:v>3472</x:v>
      </x:c>
      <x:c r="B3463" s="1">
        <x:f>IFERROR(__xludf.DUMMYFUNCTION("""COMPUTED_VALUE"""),"Jungle Cruise")</x:f>
      </x:c>
      <x:c r="C3463" s="1">
        <x:f>IFERROR(__xludf.DUMMYFUNCTION("""COMPUTED_VALUE"""),"2021")</x:f>
      </x:c>
    </x:row>
    <x:row r="3464" spans="1:10">
      <x:c r="A3464" s="1" t="s">
        <x:v>3473</x:v>
      </x:c>
      <x:c r="B3464" s="1">
        <x:f>IFERROR(__xludf.DUMMYFUNCTION("""COMPUTED_VALUE"""),"Junior")</x:f>
      </x:c>
      <x:c r="C3464" s="1">
        <x:f>IFERROR(__xludf.DUMMYFUNCTION("""COMPUTED_VALUE"""),"2023")</x:f>
      </x:c>
    </x:row>
    <x:row r="3465" spans="1:10">
      <x:c r="A3465" s="1" t="s">
        <x:v>3474</x:v>
      </x:c>
      <x:c r="B3465" s="1">
        <x:f>IFERROR(__xludf.DUMMYFUNCTION("""COMPUTED_VALUE"""),"Junts i barrejats")</x:f>
      </x:c>
      <x:c r="C3465" s="1">
        <x:f>IFERROR(__xludf.DUMMYFUNCTION("""COMPUTED_VALUE"""),"2014")</x:f>
      </x:c>
    </x:row>
    <x:row r="3466" spans="1:10">
      <x:c r="A3466" s="1" t="s">
        <x:v>3475</x:v>
      </x:c>
      <x:c r="B3466" s="1">
        <x:f>IFERROR(__xludf.DUMMYFUNCTION("""COMPUTED_VALUE"""),"Junts i res més")</x:f>
      </x:c>
      <x:c r="C3466" s="1">
        <x:f>IFERROR(__xludf.DUMMYFUNCTION("""COMPUTED_VALUE"""),"2007")</x:f>
      </x:c>
    </x:row>
    <x:row r="3467" spans="1:10">
      <x:c r="A3467" s="1" t="s">
        <x:v>3476</x:v>
      </x:c>
      <x:c r="B3467" s="1">
        <x:f>IFERROR(__xludf.DUMMYFUNCTION("""COMPUTED_VALUE"""),"Jurassic World: Dominion")</x:f>
      </x:c>
      <x:c r="C3467" s="1">
        <x:f>IFERROR(__xludf.DUMMYFUNCTION("""COMPUTED_VALUE"""),"2022")</x:f>
      </x:c>
    </x:row>
    <x:row r="3468" spans="1:10">
      <x:c r="A3468" s="1" t="s">
        <x:v>3477</x:v>
      </x:c>
      <x:c r="B3468" s="1">
        <x:f>IFERROR(__xludf.DUMMYFUNCTION("""COMPUTED_VALUE"""),"Jurassic World: El regne caigut")</x:f>
      </x:c>
      <x:c r="C3468" s="1">
        <x:f>IFERROR(__xludf.DUMMYFUNCTION("""COMPUTED_VALUE"""),"2018")</x:f>
      </x:c>
    </x:row>
    <x:row r="3469" spans="1:10">
      <x:c r="A3469" s="1" t="s">
        <x:v>3478</x:v>
      </x:c>
      <x:c r="B3469" s="1">
        <x:f>IFERROR(__xludf.DUMMYFUNCTION("""COMPUTED_VALUE"""),"Jurassic World: el renéixer")</x:f>
      </x:c>
      <x:c r="C3469" s="1">
        <x:f>IFERROR(__xludf.DUMMYFUNCTION("""COMPUTED_VALUE"""),"2025")</x:f>
      </x:c>
    </x:row>
    <x:row r="3470" spans="1:10">
      <x:c r="A3470" s="1" t="s">
        <x:v>3479</x:v>
      </x:c>
      <x:c r="B3470" s="1">
        <x:f>IFERROR(__xludf.DUMMYFUNCTION("""COMPUTED_VALUE"""),"Just a gigolo")</x:f>
      </x:c>
      <x:c r="C3470" s="1">
        <x:f>IFERROR(__xludf.DUMMYFUNCTION("""COMPUTED_VALUE"""),"2019")</x:f>
      </x:c>
    </x:row>
    <x:row r="3471" spans="1:10">
      <x:c r="A3471" s="1" t="s">
        <x:v>3480</x:v>
      </x:c>
      <x:c r="B3471" s="1">
        <x:f>IFERROR(__xludf.DUMMYFUNCTION("""COMPUTED_VALUE"""),"Justícia per als rohingyes")</x:f>
      </x:c>
      <x:c r="C3471" s="1">
        <x:f>IFERROR(__xludf.DUMMYFUNCTION("""COMPUTED_VALUE"""),"2020")</x:f>
      </x:c>
    </x:row>
    <x:row r="3472" spans="1:10">
      <x:c r="A3472" s="1" t="s">
        <x:v>3481</x:v>
      </x:c>
      <x:c r="B3472" s="1">
        <x:f>IFERROR(__xludf.DUMMYFUNCTION("""COMPUTED_VALUE"""),"Jutge Dredd")</x:f>
      </x:c>
      <x:c r="C3472" s="1">
        <x:f>IFERROR(__xludf.DUMMYFUNCTION("""COMPUTED_VALUE"""),"1995")</x:f>
      </x:c>
    </x:row>
    <x:row r="3473" spans="1:10">
      <x:c r="A3473" s="1" t="s">
        <x:v>3482</x:v>
      </x:c>
      <x:c r="B3473" s="1">
        <x:f>IFERROR(__xludf.DUMMYFUNCTION("""COMPUTED_VALUE"""),"K-19")</x:f>
      </x:c>
      <x:c r="C3473" s="1">
        <x:f>IFERROR(__xludf.DUMMYFUNCTION("""COMPUTED_VALUE"""),"2002")</x:f>
      </x:c>
    </x:row>
    <x:row r="3474" spans="1:10">
      <x:c r="A3474" s="1" t="s">
        <x:v>3483</x:v>
      </x:c>
      <x:c r="B3474" s="1">
        <x:f>IFERROR(__xludf.DUMMYFUNCTION("""COMPUTED_VALUE"""),"K-Pax")</x:f>
      </x:c>
      <x:c r="C3474" s="1">
        <x:f>IFERROR(__xludf.DUMMYFUNCTION("""COMPUTED_VALUE"""),"2001")</x:f>
      </x:c>
    </x:row>
    <x:row r="3475" spans="1:10">
      <x:c r="A3475" s="1" t="s">
        <x:v>3484</x:v>
      </x:c>
      <x:c r="B3475" s="1">
        <x:f>IFERROR(__xludf.DUMMYFUNCTION("""COMPUTED_VALUE"""),"Kabul, City in the Wind [VOSC]")</x:f>
      </x:c>
      <x:c r="C3475" s="1">
        <x:f>IFERROR(__xludf.DUMMYFUNCTION("""COMPUTED_VALUE"""),"2018")</x:f>
      </x:c>
    </x:row>
    <x:row r="3476" spans="1:10">
      <x:c r="A3476" s="1" t="s">
        <x:v>3485</x:v>
      </x:c>
      <x:c r="B3476" s="1">
        <x:f>IFERROR(__xludf.DUMMYFUNCTION("""COMPUTED_VALUE"""),"Kaena, la profecia")</x:f>
      </x:c>
      <x:c r="C3476" s="1">
        <x:f>IFERROR(__xludf.DUMMYFUNCTION("""COMPUTED_VALUE"""),"2003")</x:f>
      </x:c>
    </x:row>
    <x:row r="3477" spans="1:10">
      <x:c r="A3477" s="1" t="s">
        <x:v>3486</x:v>
      </x:c>
      <x:c r="B3477" s="1">
        <x:f>IFERROR(__xludf.DUMMYFUNCTION("""COMPUTED_VALUE"""),"Kai Doh Maru")</x:f>
      </x:c>
      <x:c r="C3477" s="1">
        <x:f>IFERROR(__xludf.DUMMYFUNCTION("""COMPUTED_VALUE"""),"2001")</x:f>
      </x:c>
    </x:row>
    <x:row r="3478" spans="1:10">
      <x:c r="A3478" s="1" t="s">
        <x:v>3487</x:v>
      </x:c>
      <x:c r="B3478" s="1">
        <x:f>IFERROR(__xludf.DUMMYFUNCTION("""COMPUTED_VALUE"""),"Kamikaze Girls")</x:f>
      </x:c>
      <x:c r="C3478" s="1">
        <x:f>IFERROR(__xludf.DUMMYFUNCTION("""COMPUTED_VALUE"""),"2004")</x:f>
      </x:c>
    </x:row>
    <x:row r="3479" spans="1:10">
      <x:c r="A3479" s="1" t="s">
        <x:v>3488</x:v>
      </x:c>
      <x:c r="B3479" s="1">
        <x:f>IFERROR(__xludf.DUMMYFUNCTION("""COMPUTED_VALUE"""),"Kàrate a mort a Bangkok")</x:f>
      </x:c>
      <x:c r="C3479" s="1">
        <x:f>IFERROR(__xludf.DUMMYFUNCTION("""COMPUTED_VALUE"""),"1971")</x:f>
      </x:c>
    </x:row>
    <x:row r="3480" spans="1:10">
      <x:c r="A3480" s="1" t="s">
        <x:v>3489</x:v>
      </x:c>
      <x:c r="B3480" s="1">
        <x:f>IFERROR(__xludf.DUMMYFUNCTION("""COMPUTED_VALUE"""),"Karate Kid")</x:f>
      </x:c>
      <x:c r="C3480" s="1">
        <x:f>IFERROR(__xludf.DUMMYFUNCTION("""COMPUTED_VALUE"""),"2010")</x:f>
      </x:c>
    </x:row>
    <x:row r="3481" spans="1:10">
      <x:c r="A3481" s="1" t="s">
        <x:v>3490</x:v>
      </x:c>
      <x:c r="B3481" s="1">
        <x:f>IFERROR(__xludf.DUMMYFUNCTION("""COMPUTED_VALUE"""),"Karate Kid I")</x:f>
      </x:c>
      <x:c r="C3481" s="1">
        <x:f>IFERROR(__xludf.DUMMYFUNCTION("""COMPUTED_VALUE"""),"1984")</x:f>
      </x:c>
    </x:row>
    <x:row r="3482" spans="1:10">
      <x:c r="A3482" s="1" t="s">
        <x:v>3491</x:v>
      </x:c>
      <x:c r="B3482" s="1">
        <x:f>IFERROR(__xludf.DUMMYFUNCTION("""COMPUTED_VALUE"""),"Karate Kid II")</x:f>
      </x:c>
      <x:c r="C3482" s="1">
        <x:f>IFERROR(__xludf.DUMMYFUNCTION("""COMPUTED_VALUE"""),"1986")</x:f>
      </x:c>
    </x:row>
    <x:row r="3483" spans="1:10">
      <x:c r="A3483" s="1" t="s">
        <x:v>3492</x:v>
      </x:c>
      <x:c r="B3483" s="1">
        <x:f>IFERROR(__xludf.DUMMYFUNCTION("""COMPUTED_VALUE"""),"Karate Kid III")</x:f>
      </x:c>
      <x:c r="C3483" s="1">
        <x:f>IFERROR(__xludf.DUMMYFUNCTION("""COMPUTED_VALUE"""),"1989")</x:f>
      </x:c>
    </x:row>
    <x:row r="3484" spans="1:10">
      <x:c r="A3484" s="1" t="s">
        <x:v>3493</x:v>
      </x:c>
      <x:c r="B3484" s="1">
        <x:f>IFERROR(__xludf.DUMMYFUNCTION("""COMPUTED_VALUE"""),"Karnabal")</x:f>
      </x:c>
      <x:c r="C3484" s="1">
        <x:f>IFERROR(__xludf.DUMMYFUNCTION("""COMPUTED_VALUE"""),"1985")</x:f>
      </x:c>
    </x:row>
    <x:row r="3485" spans="1:10">
      <x:c r="A3485" s="1" t="s">
        <x:v>3494</x:v>
      </x:c>
      <x:c r="B3485" s="1">
        <x:f>IFERROR(__xludf.DUMMYFUNCTION("""COMPUTED_VALUE"""),"Katmandú, un mirall al cel")</x:f>
      </x:c>
      <x:c r="C3485" s="1">
        <x:f>IFERROR(__xludf.DUMMYFUNCTION("""COMPUTED_VALUE"""),"2011")</x:f>
      </x:c>
    </x:row>
    <x:row r="3486" spans="1:10">
      <x:c r="A3486" s="1" t="s">
        <x:v>3495</x:v>
      </x:c>
      <x:c r="B3486" s="1">
        <x:f>IFERROR(__xludf.DUMMYFUNCTION("""COMPUTED_VALUE"""),"Kauwboy")</x:f>
      </x:c>
      <x:c r="C3486" s="1">
        <x:f>IFERROR(__xludf.DUMMYFUNCTION("""COMPUTED_VALUE"""),"2012")</x:f>
      </x:c>
    </x:row>
    <x:row r="3487" spans="1:10">
      <x:c r="A3487" s="1" t="s">
        <x:v>3496</x:v>
      </x:c>
      <x:c r="B3487" s="1">
        <x:f>IFERROR(__xludf.DUMMYFUNCTION("""COMPUTED_VALUE"""),"Kebab Connection")</x:f>
      </x:c>
      <x:c r="C3487" s="1">
        <x:f>IFERROR(__xludf.DUMMYFUNCTION("""COMPUTED_VALUE"""),"2005")</x:f>
      </x:c>
    </x:row>
    <x:row r="3488" spans="1:10">
      <x:c r="A3488" s="1" t="s">
        <x:v>3497</x:v>
      </x:c>
      <x:c r="B3488" s="1">
        <x:f>IFERROR(__xludf.DUMMYFUNCTION("""COMPUTED_VALUE"""),"Keith Jarrett trio - Barcelona")</x:f>
      </x:c>
      <x:c r="C3488" s="1">
        <x:f>IFERROR(__xludf.DUMMYFUNCTION("""COMPUTED_VALUE"""),"1985")</x:f>
      </x:c>
    </x:row>
    <x:row r="3489" spans="1:10">
      <x:c r="A3489" s="1" t="s">
        <x:v>3498</x:v>
      </x:c>
      <x:c r="B3489" s="1">
        <x:f>IFERROR(__xludf.DUMMYFUNCTION("""COMPUTED_VALUE"""),"Kenshin, el guerrer samurai")</x:f>
      </x:c>
      <x:c r="C3489" s="1">
        <x:f>IFERROR(__xludf.DUMMYFUNCTION("""COMPUTED_VALUE"""),"2012")</x:f>
      </x:c>
    </x:row>
    <x:row r="3490" spans="1:10">
      <x:c r="A3490" s="1" t="s">
        <x:v>3499</x:v>
      </x:c>
      <x:c r="B3490" s="1">
        <x:f>IFERROR(__xludf.DUMMYFUNCTION("""COMPUTED_VALUE"""),"Kerity, la casa dels contes")</x:f>
      </x:c>
      <x:c r="C3490" s="1">
        <x:f>IFERROR(__xludf.DUMMYFUNCTION("""COMPUTED_VALUE"""),"2009")</x:f>
      </x:c>
    </x:row>
    <x:row r="3491" spans="1:10">
      <x:c r="A3491" s="1" t="s">
        <x:v>3500</x:v>
      </x:c>
      <x:c r="B3491" s="1">
        <x:f>IFERROR(__xludf.DUMMYFUNCTION("""COMPUTED_VALUE"""),"Khumba")</x:f>
      </x:c>
      <x:c r="C3491" s="1">
        <x:f>IFERROR(__xludf.DUMMYFUNCTION("""COMPUTED_VALUE"""),"2013")</x:f>
      </x:c>
    </x:row>
    <x:row r="3492" spans="1:10">
      <x:c r="A3492" s="1" t="s">
        <x:v>3501</x:v>
      </x:c>
      <x:c r="B3492" s="1">
        <x:f>IFERROR(__xludf.DUMMYFUNCTION("""COMPUTED_VALUE"""),"Kickboxer")</x:f>
      </x:c>
      <x:c r="C3492" s="1">
        <x:f>IFERROR(__xludf.DUMMYFUNCTION("""COMPUTED_VALUE"""),"1989")</x:f>
      </x:c>
    </x:row>
    <x:row r="3493" spans="1:10">
      <x:c r="A3493" s="1" t="s">
        <x:v>3502</x:v>
      </x:c>
      <x:c r="B3493" s="1">
        <x:f>IFERROR(__xludf.DUMMYFUNCTION("""COMPUTED_VALUE"""),"Kids")</x:f>
      </x:c>
      <x:c r="C3493" s="1">
        <x:f>IFERROR(__xludf.DUMMYFUNCTION("""COMPUTED_VALUE"""),"1995")</x:f>
      </x:c>
    </x:row>
    <x:row r="3494" spans="1:10">
      <x:c r="A3494" s="1" t="s">
        <x:v>3503</x:v>
      </x:c>
      <x:c r="B3494" s="1">
        <x:f>IFERROR(__xludf.DUMMYFUNCTION("""COMPUTED_VALUE"""),"Kids and Music. Sant Andreu Jazz Band")</x:f>
      </x:c>
      <x:c r="C3494" s="1">
        <x:f>IFERROR(__xludf.DUMMYFUNCTION("""COMPUTED_VALUE"""),"2012")</x:f>
      </x:c>
    </x:row>
    <x:row r="3495" spans="1:10">
      <x:c r="A3495" s="1" t="s">
        <x:v>3504</x:v>
      </x:c>
      <x:c r="B3495" s="1">
        <x:f>IFERROR(__xludf.DUMMYFUNCTION("""COMPUTED_VALUE"""),"Kiki, l'aprenent de bruixa")</x:f>
      </x:c>
      <x:c r="C3495" s="1">
        <x:f>IFERROR(__xludf.DUMMYFUNCTION("""COMPUTED_VALUE"""),"1989")</x:f>
      </x:c>
    </x:row>
    <x:row r="3496" spans="1:10">
      <x:c r="A3496" s="1" t="s">
        <x:v>3505</x:v>
      </x:c>
      <x:c r="B3496" s="1">
        <x:f>IFERROR(__xludf.DUMMYFUNCTION("""COMPUTED_VALUE"""),"Kikoriki. Equip invencible")</x:f>
      </x:c>
      <x:c r="C3496" s="1">
        <x:f>IFERROR(__xludf.DUMMYFUNCTION("""COMPUTED_VALUE"""),"2011")</x:f>
      </x:c>
    </x:row>
    <x:row r="3497" spans="1:10">
      <x:c r="A3497" s="1" t="s">
        <x:v>3506</x:v>
      </x:c>
      <x:c r="B3497" s="1">
        <x:f>IFERROR(__xludf.DUMMYFUNCTION("""COMPUTED_VALUE"""),"Kilian Jornet, de camí a l'Everest")</x:f>
      </x:c>
      <x:c r="C3497" s="1">
        <x:f>IFERROR(__xludf.DUMMYFUNCTION("""COMPUTED_VALUE"""),"2018")</x:f>
      </x:c>
    </x:row>
    <x:row r="3498" spans="1:10">
      <x:c r="A3498" s="1" t="s">
        <x:v>3507</x:v>
      </x:c>
      <x:c r="B3498" s="1">
        <x:f>IFERROR(__xludf.DUMMYFUNCTION("""COMPUTED_VALUE"""),"Kilian Jornet, el comptador de llacs")</x:f>
      </x:c>
      <x:c r="C3498" s="1">
        <x:f>IFERROR(__xludf.DUMMYFUNCTION("""COMPUTED_VALUE"""),"2013")</x:f>
      </x:c>
    </x:row>
    <x:row r="3499" spans="1:10">
      <x:c r="A3499" s="1" t="s">
        <x:v>3508</x:v>
      </x:c>
      <x:c r="B3499" s="1">
        <x:f>IFERROR(__xludf.DUMMYFUNCTION("""COMPUTED_VALUE"""),"Kill Bill: Volume 1")</x:f>
      </x:c>
      <x:c r="C3499" s="1">
        <x:f>IFERROR(__xludf.DUMMYFUNCTION("""COMPUTED_VALUE"""),"2003")</x:f>
      </x:c>
    </x:row>
    <x:row r="3500" spans="1:10">
      <x:c r="A3500" s="1" t="s">
        <x:v>3509</x:v>
      </x:c>
      <x:c r="B3500" s="1">
        <x:f>IFERROR(__xludf.DUMMYFUNCTION("""COMPUTED_VALUE"""),"Kill Bill: Volume 2")</x:f>
      </x:c>
      <x:c r="C3500" s="1">
        <x:f>IFERROR(__xludf.DUMMYFUNCTION("""COMPUTED_VALUE"""),"2004")</x:f>
      </x:c>
    </x:row>
    <x:row r="3501" spans="1:10">
      <x:c r="A3501" s="1" t="s">
        <x:v>3510</x:v>
      </x:c>
      <x:c r="B3501" s="1">
        <x:f>IFERROR(__xludf.DUMMYFUNCTION("""COMPUTED_VALUE"""),"Killers")</x:f>
      </x:c>
      <x:c r="C3501" s="1">
        <x:f>IFERROR(__xludf.DUMMYFUNCTION("""COMPUTED_VALUE"""),"2010")</x:f>
      </x:c>
    </x:row>
    <x:row r="3502" spans="1:10">
      <x:c r="A3502" s="1" t="s">
        <x:v>3511</x:v>
      </x:c>
      <x:c r="B3502" s="1">
        <x:f>IFERROR(__xludf.DUMMYFUNCTION("""COMPUTED_VALUE"""),"Kincsem")</x:f>
      </x:c>
      <x:c r="C3502" s="1">
        <x:f>IFERROR(__xludf.DUMMYFUNCTION("""COMPUTED_VALUE"""),"2017")</x:f>
      </x:c>
    </x:row>
    <x:row r="3503" spans="1:10">
      <x:c r="A3503" s="1" t="s">
        <x:v>3512</x:v>
      </x:c>
      <x:c r="B3503" s="1">
        <x:f>IFERROR(__xludf.DUMMYFUNCTION("""COMPUTED_VALUE"""),"King Kong")</x:f>
      </x:c>
      <x:c r="C3503" s="1">
        <x:f>IFERROR(__xludf.DUMMYFUNCTION("""COMPUTED_VALUE"""),"1933")</x:f>
      </x:c>
    </x:row>
    <x:row r="3504" spans="1:10">
      <x:c r="A3504" s="1" t="s">
        <x:v>3513</x:v>
      </x:c>
      <x:c r="B3504" s="1">
        <x:f>IFERROR(__xludf.DUMMYFUNCTION("""COMPUTED_VALUE"""),"Kinsey")</x:f>
      </x:c>
      <x:c r="C3504" s="1">
        <x:f>IFERROR(__xludf.DUMMYFUNCTION("""COMPUTED_VALUE"""),"2004")</x:f>
      </x:c>
    </x:row>
    <x:row r="3505" spans="1:10">
      <x:c r="A3505" s="1" t="s">
        <x:v>3514</x:v>
      </x:c>
      <x:c r="B3505" s="1">
        <x:f>IFERROR(__xludf.DUMMYFUNCTION("""COMPUTED_VALUE"""),"Kirikú i els animals salvatges")</x:f>
      </x:c>
      <x:c r="C3505" s="1">
        <x:f>IFERROR(__xludf.DUMMYFUNCTION("""COMPUTED_VALUE"""),"2005")</x:f>
      </x:c>
    </x:row>
    <x:row r="3506" spans="1:10">
      <x:c r="A3506" s="1" t="s">
        <x:v>3515</x:v>
      </x:c>
      <x:c r="B3506" s="1">
        <x:f>IFERROR(__xludf.DUMMYFUNCTION("""COMPUTED_VALUE"""),"Kirikú i la bruixa")</x:f>
      </x:c>
      <x:c r="C3506" s="1">
        <x:f>IFERROR(__xludf.DUMMYFUNCTION("""COMPUTED_VALUE"""),"1998")</x:f>
      </x:c>
    </x:row>
    <x:row r="3507" spans="1:10">
      <x:c r="A3507" s="1" t="s">
        <x:v>3516</x:v>
      </x:c>
      <x:c r="B3507" s="1">
        <x:f>IFERROR(__xludf.DUMMYFUNCTION("""COMPUTED_VALUE"""),"Klimt")</x:f>
      </x:c>
      <x:c r="C3507" s="1">
        <x:f>IFERROR(__xludf.DUMMYFUNCTION("""COMPUTED_VALUE"""),"2006")</x:f>
      </x:c>
    </x:row>
    <x:row r="3508" spans="1:10">
      <x:c r="A3508" s="1" t="s">
        <x:v>3517</x:v>
      </x:c>
      <x:c r="B3508" s="1">
        <x:f>IFERROR(__xludf.DUMMYFUNCTION("""COMPUTED_VALUE"""),"Klute")</x:f>
      </x:c>
      <x:c r="C3508" s="1">
        <x:f>IFERROR(__xludf.DUMMYFUNCTION("""COMPUTED_VALUE"""),"1971")</x:f>
      </x:c>
    </x:row>
    <x:row r="3509" spans="1:10">
      <x:c r="A3509" s="1" t="s">
        <x:v>3518</x:v>
      </x:c>
      <x:c r="B3509" s="1">
        <x:f>IFERROR(__xludf.DUMMYFUNCTION("""COMPUTED_VALUE"""),"KM 31 Quilòmetre 31")</x:f>
      </x:c>
      <x:c r="C3509" s="1">
        <x:f>IFERROR(__xludf.DUMMYFUNCTION("""COMPUTED_VALUE"""),"2006")</x:f>
      </x:c>
    </x:row>
    <x:row r="3510" spans="1:10">
      <x:c r="A3510" s="1" t="s">
        <x:v>3519</x:v>
      </x:c>
      <x:c r="B3510" s="1">
        <x:f>IFERROR(__xludf.DUMMYFUNCTION("""COMPUTED_VALUE"""),"Kneecap [VOSC]")</x:f>
      </x:c>
      <x:c r="C3510" s="1">
        <x:f>IFERROR(__xludf.DUMMYFUNCTION("""COMPUTED_VALUE"""),"2024")</x:f>
      </x:c>
    </x:row>
    <x:row r="3511" spans="1:10">
      <x:c r="A3511" s="1" t="s">
        <x:v>3520</x:v>
      </x:c>
      <x:c r="B3511" s="1">
        <x:f>IFERROR(__xludf.DUMMYFUNCTION("""COMPUTED_VALUE"""),"Komodo")</x:f>
      </x:c>
      <x:c r="C3511" s="1">
        <x:f>IFERROR(__xludf.DUMMYFUNCTION("""COMPUTED_VALUE"""),"1999")</x:f>
      </x:c>
    </x:row>
    <x:row r="3512" spans="1:10">
      <x:c r="A3512" s="1" t="s">
        <x:v>3521</x:v>
      </x:c>
      <x:c r="B3512" s="1">
        <x:f>IFERROR(__xludf.DUMMYFUNCTION("""COMPUTED_VALUE"""),"Kon-Tiki")</x:f>
      </x:c>
      <x:c r="C3512" s="1">
        <x:f>IFERROR(__xludf.DUMMYFUNCTION("""COMPUTED_VALUE"""),"2012")</x:f>
      </x:c>
    </x:row>
    <x:row r="3513" spans="1:10">
      <x:c r="A3513" s="1" t="s">
        <x:v>3522</x:v>
      </x:c>
      <x:c r="B3513" s="1">
        <x:f>IFERROR(__xludf.DUMMYFUNCTION("""COMPUTED_VALUE"""),"Kong: L'Illa Calavera")</x:f>
      </x:c>
      <x:c r="C3513" s="1">
        <x:f>IFERROR(__xludf.DUMMYFUNCTION("""COMPUTED_VALUE"""),"2017")</x:f>
      </x:c>
    </x:row>
    <x:row r="3514" spans="1:10">
      <x:c r="A3514" s="1" t="s">
        <x:v>3523</x:v>
      </x:c>
      <x:c r="B3514" s="1">
        <x:f>IFERROR(__xludf.DUMMYFUNCTION("""COMPUTED_VALUE"""),"Koyaanisqatsi")</x:f>
      </x:c>
      <x:c r="C3514" s="1">
        <x:f>IFERROR(__xludf.DUMMYFUNCTION("""COMPUTED_VALUE"""),"1982")</x:f>
      </x:c>
    </x:row>
    <x:row r="3515" spans="1:10">
      <x:c r="A3515" s="1" t="s">
        <x:v>3524</x:v>
      </x:c>
      <x:c r="B3515" s="1">
        <x:f>IFERROR(__xludf.DUMMYFUNCTION("""COMPUTED_VALUE"""),"Krabat i el molí del diable")</x:f>
      </x:c>
      <x:c r="C3515" s="1">
        <x:f>IFERROR(__xludf.DUMMYFUNCTION("""COMPUTED_VALUE"""),"2008")</x:f>
      </x:c>
    </x:row>
    <x:row r="3516" spans="1:10">
      <x:c r="A3516" s="1" t="s">
        <x:v>3525</x:v>
      </x:c>
      <x:c r="B3516" s="1">
        <x:f>IFERROR(__xludf.DUMMYFUNCTION("""COMPUTED_VALUE"""),"Krámpack")</x:f>
      </x:c>
      <x:c r="C3516" s="1">
        <x:f>IFERROR(__xludf.DUMMYFUNCTION("""COMPUTED_VALUE"""),"2000")</x:f>
      </x:c>
    </x:row>
    <x:row r="3517" spans="1:10">
      <x:c r="A3517" s="1" t="s">
        <x:v>3526</x:v>
      </x:c>
      <x:c r="B3517" s="1">
        <x:f>IFERROR(__xludf.DUMMYFUNCTION("""COMPUTED_VALUE"""),"Krull")</x:f>
      </x:c>
      <x:c r="C3517" s="1">
        <x:f>IFERROR(__xludf.DUMMYFUNCTION("""COMPUTED_VALUE"""),"1983")</x:f>
      </x:c>
    </x:row>
    <x:row r="3518" spans="1:10">
      <x:c r="A3518" s="1" t="s">
        <x:v>3527</x:v>
      </x:c>
      <x:c r="B3518" s="1">
        <x:f>IFERROR(__xludf.DUMMYFUNCTION("""COMPUTED_VALUE"""),"Kuap")</x:f>
      </x:c>
      <x:c r="C3518" s="1">
        <x:f>IFERROR(__xludf.DUMMYFUNCTION("""COMPUTED_VALUE"""),"2018")</x:f>
      </x:c>
    </x:row>
    <x:row r="3519" spans="1:10">
      <x:c r="A3519" s="1" t="s">
        <x:v>3528</x:v>
      </x:c>
      <x:c r="B3519" s="1">
        <x:f>IFERROR(__xludf.DUMMYFUNCTION("""COMPUTED_VALUE"""),"Kundun")</x:f>
      </x:c>
      <x:c r="C3519" s="1">
        <x:f>IFERROR(__xludf.DUMMYFUNCTION("""COMPUTED_VALUE"""),"1997")</x:f>
      </x:c>
    </x:row>
    <x:row r="3520" spans="1:10">
      <x:c r="A3520" s="1" t="s">
        <x:v>3529</x:v>
      </x:c>
      <x:c r="B3520" s="1">
        <x:f>IFERROR(__xludf.DUMMYFUNCTION("""COMPUTED_VALUE"""),"Kung Fu Panda")</x:f>
      </x:c>
      <x:c r="C3520" s="1">
        <x:f>IFERROR(__xludf.DUMMYFUNCTION("""COMPUTED_VALUE"""),"2008")</x:f>
      </x:c>
    </x:row>
    <x:row r="3521" spans="1:10">
      <x:c r="A3521" s="1" t="s">
        <x:v>3530</x:v>
      </x:c>
      <x:c r="B3521" s="1">
        <x:f>IFERROR(__xludf.DUMMYFUNCTION("""COMPUTED_VALUE"""),"Kung Fu Panda 2 [VOSC]")</x:f>
      </x:c>
      <x:c r="C3521" s="1">
        <x:f>IFERROR(__xludf.DUMMYFUNCTION("""COMPUTED_VALUE"""),"2011")</x:f>
      </x:c>
    </x:row>
    <x:row r="3522" spans="1:10">
      <x:c r="A3522" s="1" t="s">
        <x:v>3531</x:v>
      </x:c>
      <x:c r="B3522" s="1">
        <x:f>IFERROR(__xludf.DUMMYFUNCTION("""COMPUTED_VALUE"""),"Kung Fu Panda 4")</x:f>
      </x:c>
      <x:c r="C3522" s="1">
        <x:f>IFERROR(__xludf.DUMMYFUNCTION("""COMPUTED_VALUE"""),"2024")</x:f>
      </x:c>
    </x:row>
    <x:row r="3523" spans="1:10">
      <x:c r="A3523" s="1" t="s">
        <x:v>3532</x:v>
      </x:c>
      <x:c r="B3523" s="1">
        <x:f>IFERROR(__xludf.DUMMYFUNCTION("""COMPUTED_VALUE"""),"Kung Fu Sió")</x:f>
      </x:c>
      <x:c r="C3523" s="1">
        <x:f>IFERROR(__xludf.DUMMYFUNCTION("""COMPUTED_VALUE"""),"2004")</x:f>
      </x:c>
    </x:row>
    <x:row r="3524" spans="1:10">
      <x:c r="A3524" s="1" t="s">
        <x:v>3533</x:v>
      </x:c>
      <x:c r="B3524" s="1">
        <x:f>IFERROR(__xludf.DUMMYFUNCTION("""COMPUTED_VALUE"""),"Kuroko i el bàsquet 1. Recopilació de la copa d'hivern. L'hombra i la llum")</x:f>
      </x:c>
      <x:c r="C3524" s="1">
        <x:f>IFERROR(__xludf.DUMMYFUNCTION("""COMPUTED_VALUE"""),"2016")</x:f>
      </x:c>
    </x:row>
    <x:row r="3525" spans="1:10">
      <x:c r="A3525" s="1" t="s">
        <x:v>3534</x:v>
      </x:c>
      <x:c r="B3525" s="1">
        <x:f>IFERROR(__xludf.DUMMYFUNCTION("""COMPUTED_VALUE"""),"Kuroko i el bàsquet 2. La copa d'hivern. Més enllà de les llàgrimes")</x:f>
      </x:c>
      <x:c r="C3525" s="1">
        <x:f>IFERROR(__xludf.DUMMYFUNCTION("""COMPUTED_VALUE"""),"2016")</x:f>
      </x:c>
    </x:row>
    <x:row r="3526" spans="1:10">
      <x:c r="A3526" s="1" t="s">
        <x:v>3535</x:v>
      </x:c>
      <x:c r="B3526" s="1">
        <x:f>IFERROR(__xludf.DUMMYFUNCTION("""COMPUTED_VALUE"""),"Kuroko i el bàsquet 3. Recopilació de la copa d'hivern. Més enllà de les portes")</x:f>
      </x:c>
      <x:c r="C3526" s="1">
        <x:f>IFERROR(__xludf.DUMMYFUNCTION("""COMPUTED_VALUE"""),"2016")</x:f>
      </x:c>
    </x:row>
    <x:row r="3527" spans="1:10">
      <x:c r="A3527" s="1" t="s">
        <x:v>3536</x:v>
      </x:c>
      <x:c r="B3527" s="1">
        <x:f>IFERROR(__xludf.DUMMYFUNCTION("""COMPUTED_VALUE"""),"L.A. Confidential")</x:f>
      </x:c>
      <x:c r="C3527" s="1">
        <x:f>IFERROR(__xludf.DUMMYFUNCTION("""COMPUTED_VALUE"""),"1997")</x:f>
      </x:c>
    </x:row>
    <x:row r="3528" spans="1:10">
      <x:c r="A3528" s="1" t="s">
        <x:v>3537</x:v>
      </x:c>
      <x:c r="B3528" s="1">
        <x:f>IFERROR(__xludf.DUMMYFUNCTION("""COMPUTED_VALUE"""),"L'abella Maia")</x:f>
      </x:c>
      <x:c r="C3528" s="1">
        <x:f>IFERROR(__xludf.DUMMYFUNCTION("""COMPUTED_VALUE"""),"2014")</x:f>
      </x:c>
    </x:row>
    <x:row r="3529" spans="1:10">
      <x:c r="A3529" s="1" t="s">
        <x:v>3538</x:v>
      </x:c>
      <x:c r="B3529" s="1">
        <x:f>IFERROR(__xludf.DUMMYFUNCTION("""COMPUTED_VALUE"""),"L'abella Maia: Els Jocs de la Mel")</x:f>
      </x:c>
      <x:c r="C3529" s="1">
        <x:f>IFERROR(__xludf.DUMMYFUNCTION("""COMPUTED_VALUE"""),"2018")</x:f>
      </x:c>
    </x:row>
    <x:row r="3530" spans="1:10">
      <x:c r="A3530" s="1" t="s">
        <x:v>3539</x:v>
      </x:c>
      <x:c r="B3530" s="1">
        <x:f>IFERROR(__xludf.DUMMYFUNCTION("""COMPUTED_VALUE"""),"L'acusat perfecte")</x:f>
      </x:c>
      <x:c r="C3530" s="1">
        <x:f>IFERROR(__xludf.DUMMYFUNCTION("""COMPUTED_VALUE"""),"2019")</x:f>
      </x:c>
    </x:row>
    <x:row r="3531" spans="1:10">
      <x:c r="A3531" s="1" t="s">
        <x:v>3540</x:v>
      </x:c>
      <x:c r="B3531" s="1">
        <x:f>IFERROR(__xludf.DUMMYFUNCTION("""COMPUTED_VALUE"""),"L'adeu a la nit")</x:f>
      </x:c>
      <x:c r="C3531" s="1">
        <x:f>IFERROR(__xludf.DUMMYFUNCTION("""COMPUTED_VALUE"""),"2019")</x:f>
      </x:c>
    </x:row>
    <x:row r="3532" spans="1:10">
      <x:c r="A3532" s="1" t="s">
        <x:v>3541</x:v>
      </x:c>
      <x:c r="B3532" s="1">
        <x:f>IFERROR(__xludf.DUMMYFUNCTION("""COMPUTED_VALUE"""),"L'ADN del crim")</x:f>
      </x:c>
      <x:c r="C3532" s="1">
        <x:f>IFERROR(__xludf.DUMMYFUNCTION("""COMPUTED_VALUE"""),"2022")</x:f>
      </x:c>
    </x:row>
    <x:row r="3533" spans="1:10">
      <x:c r="A3533" s="1" t="s">
        <x:v>3542</x:v>
      </x:c>
      <x:c r="B3533" s="1">
        <x:f>IFERROR(__xludf.DUMMYFUNCTION("""COMPUTED_VALUE"""),"L'adopció")</x:f>
      </x:c>
      <x:c r="C3533" s="1">
        <x:f>IFERROR(__xludf.DUMMYFUNCTION("""COMPUTED_VALUE"""),"2015")</x:f>
      </x:c>
    </x:row>
    <x:row r="3534" spans="1:10">
      <x:c r="A3534" s="1" t="s">
        <x:v>3543</x:v>
      </x:c>
      <x:c r="B3534" s="1">
        <x:f>IFERROR(__xludf.DUMMYFUNCTION("""COMPUTED_VALUE"""),"L'adversari")</x:f>
      </x:c>
      <x:c r="C3534" s="1">
        <x:f>IFERROR(__xludf.DUMMYFUNCTION("""COMPUTED_VALUE"""),"2024")</x:f>
      </x:c>
    </x:row>
    <x:row r="3535" spans="1:10">
      <x:c r="A3535" s="1" t="s">
        <x:v>3544</x:v>
      </x:c>
      <x:c r="B3535" s="1">
        <x:f>IFERROR(__xludf.DUMMYFUNCTION("""COMPUTED_VALUE"""),"L’advocat del Lincoln")</x:f>
      </x:c>
      <x:c r="C3535" s="1">
        <x:f>IFERROR(__xludf.DUMMYFUNCTION("""COMPUTED_VALUE"""),"2011")</x:f>
      </x:c>
    </x:row>
    <x:row r="3536" spans="1:10">
      <x:c r="A3536" s="1" t="s">
        <x:v>3545</x:v>
      </x:c>
      <x:c r="B3536" s="1">
        <x:f>IFERROR(__xludf.DUMMYFUNCTION("""COMPUTED_VALUE"""),"L'afer Tornassol")</x:f>
      </x:c>
      <x:c r="C3536" s="1">
        <x:f>IFERROR(__xludf.DUMMYFUNCTION("""COMPUTED_VALUE"""),"1992")</x:f>
      </x:c>
    </x:row>
    <x:row r="3537" spans="1:10">
      <x:c r="A3537" s="1" t="s">
        <x:v>3546</x:v>
      </x:c>
      <x:c r="B3537" s="1">
        <x:f>IFERROR(__xludf.DUMMYFUNCTION("""COMPUTED_VALUE"""),"L'Agatha i la veritat del crim")</x:f>
      </x:c>
      <x:c r="C3537" s="1">
        <x:f>IFERROR(__xludf.DUMMYFUNCTION("""COMPUTED_VALUE"""),"2018")</x:f>
      </x:c>
    </x:row>
    <x:row r="3538" spans="1:10">
      <x:c r="A3538" s="1" t="s">
        <x:v>3547</x:v>
      </x:c>
      <x:c r="B3538" s="1">
        <x:f>IFERROR(__xludf.DUMMYFUNCTION("""COMPUTED_VALUE"""),"L'agència")</x:f>
      </x:c>
      <x:c r="C3538" s="1">
        <x:f>IFERROR(__xludf.DUMMYFUNCTION("""COMPUTED_VALUE"""),"1980")</x:f>
      </x:c>
    </x:row>
    <x:row r="3539" spans="1:10">
      <x:c r="A3539" s="1" t="s">
        <x:v>3548</x:v>
      </x:c>
      <x:c r="B3539" s="1">
        <x:f>IFERROR(__xludf.DUMMYFUNCTION("""COMPUTED_VALUE"""),"L'alberg vermell")</x:f>
      </x:c>
      <x:c r="C3539" s="1">
        <x:f>IFERROR(__xludf.DUMMYFUNCTION("""COMPUTED_VALUE"""),"2007")</x:f>
      </x:c>
    </x:row>
    <x:row r="3540" spans="1:10">
      <x:c r="A3540" s="1" t="s">
        <x:v>3549</x:v>
      </x:c>
      <x:c r="B3540" s="1">
        <x:f>IFERROR(__xludf.DUMMYFUNCTION("""COMPUTED_VALUE"""),"L'àlbum del Pep")</x:f>
      </x:c>
      <x:c r="C3540" s="1">
        <x:f>IFERROR(__xludf.DUMMYFUNCTION("""COMPUTED_VALUE"""),"2008")</x:f>
      </x:c>
    </x:row>
    <x:row r="3541" spans="1:10">
      <x:c r="A3541" s="1" t="s">
        <x:v>3550</x:v>
      </x:c>
      <x:c r="B3541" s="1">
        <x:f>IFERROR(__xludf.DUMMYFUNCTION("""COMPUTED_VALUE"""),"L'alegria que passa")</x:f>
      </x:c>
      <x:c r="C3541" s="1">
        <x:f>IFERROR(__xludf.DUMMYFUNCTION("""COMPUTED_VALUE"""),"2024")</x:f>
      </x:c>
    </x:row>
    <x:row r="3542" spans="1:10">
      <x:c r="A3542" s="1" t="s">
        <x:v>3551</x:v>
      </x:c>
      <x:c r="B3542" s="1">
        <x:f>IFERROR(__xludf.DUMMYFUNCTION("""COMPUTED_VALUE"""),"L'Alice ja no viu aquí")</x:f>
      </x:c>
      <x:c r="C3542" s="1">
        <x:f>IFERROR(__xludf.DUMMYFUNCTION("""COMPUTED_VALUE"""),"1974")</x:f>
      </x:c>
    </x:row>
    <x:row r="3543" spans="1:10">
      <x:c r="A3543" s="1" t="s">
        <x:v>3552</x:v>
      </x:c>
      <x:c r="B3543" s="1">
        <x:f>IFERROR(__xludf.DUMMYFUNCTION("""COMPUTED_VALUE"""),"L'alta societat")</x:f>
      </x:c>
      <x:c r="C3543" s="1">
        <x:f>IFERROR(__xludf.DUMMYFUNCTION("""COMPUTED_VALUE"""),"2016")</x:f>
      </x:c>
    </x:row>
    <x:row r="3544" spans="1:10">
      <x:c r="A3544" s="1" t="s">
        <x:v>3553</x:v>
      </x:c>
      <x:c r="B3544" s="1">
        <x:f>IFERROR(__xludf.DUMMYFUNCTION("""COMPUTED_VALUE"""),"L'altra cara de la forca")</x:f>
      </x:c>
      <x:c r="C3544" s="1">
        <x:f>IFERROR(__xludf.DUMMYFUNCTION("""COMPUTED_VALUE"""),"2008")</x:f>
      </x:c>
    </x:row>
    <x:row r="3545" spans="1:10">
      <x:c r="A3545" s="1" t="s">
        <x:v>3554</x:v>
      </x:c>
      <x:c r="B3545" s="1">
        <x:f>IFERROR(__xludf.DUMMYFUNCTION("""COMPUTED_VALUE"""),"L'altra cara del terror")</x:f>
      </x:c>
      <x:c r="C3545" s="1">
        <x:f>IFERROR(__xludf.DUMMYFUNCTION("""COMPUTED_VALUE"""),"2004")</x:f>
      </x:c>
    </x:row>
    <x:row r="3546" spans="1:10">
      <x:c r="A3546" s="1" t="s">
        <x:v>3555</x:v>
      </x:c>
      <x:c r="B3546" s="1">
        <x:f>IFERROR(__xludf.DUMMYFUNCTION("""COMPUTED_VALUE"""),"L'altra filla")</x:f>
      </x:c>
      <x:c r="C3546" s="1">
        <x:f>IFERROR(__xludf.DUMMYFUNCTION("""COMPUTED_VALUE"""),"2009")</x:f>
      </x:c>
    </x:row>
    <x:row r="3547" spans="1:10">
      <x:c r="A3547" s="1" t="s">
        <x:v>3556</x:v>
      </x:c>
      <x:c r="B3547" s="1">
        <x:f>IFERROR(__xludf.DUMMYFUNCTION("""COMPUTED_VALUE"""),"L'altra frontera")</x:f>
      </x:c>
      <x:c r="C3547" s="1">
        <x:f>IFERROR(__xludf.DUMMYFUNCTION("""COMPUTED_VALUE"""),"2014")</x:f>
      </x:c>
    </x:row>
    <x:row r="3548" spans="1:10">
      <x:c r="A3548" s="1" t="s">
        <x:v>3557</x:v>
      </x:c>
      <x:c r="B3548" s="1">
        <x:f>IFERROR(__xludf.DUMMYFUNCTION("""COMPUTED_VALUE"""),"L'altre costat de l'esperança")</x:f>
      </x:c>
      <x:c r="C3548" s="1">
        <x:f>IFERROR(__xludf.DUMMYFUNCTION("""COMPUTED_VALUE"""),"2017")</x:f>
      </x:c>
    </x:row>
    <x:row r="3549" spans="1:10">
      <x:c r="A3549" s="1" t="s">
        <x:v>3558</x:v>
      </x:c>
      <x:c r="B3549" s="1">
        <x:f>IFERROR(__xludf.DUMMYFUNCTION("""COMPUTED_VALUE"""),"L'altre costat de la vida")</x:f>
      </x:c>
      <x:c r="C3549" s="1">
        <x:f>IFERROR(__xludf.DUMMYFUNCTION("""COMPUTED_VALUE"""),"1996")</x:f>
      </x:c>
    </x:row>
    <x:row r="3550" spans="1:10">
      <x:c r="A3550" s="1" t="s">
        <x:v>3559</x:v>
      </x:c>
      <x:c r="B3550" s="1">
        <x:f>IFERROR(__xludf.DUMMYFUNCTION("""COMPUTED_VALUE"""),"L’altre Rusiñol")</x:f>
      </x:c>
      <x:c r="C3550" s="1">
        <x:f>IFERROR(__xludf.DUMMYFUNCTION("""COMPUTED_VALUE"""),"2006")</x:f>
      </x:c>
    </x:row>
    <x:row r="3551" spans="1:10">
      <x:c r="A3551" s="1" t="s">
        <x:v>3560</x:v>
      </x:c>
      <x:c r="B3551" s="1">
        <x:f>IFERROR(__xludf.DUMMYFUNCTION("""COMPUTED_VALUE"""),"L'alumne")</x:f>
      </x:c>
      <x:c r="C3551" s="1">
        <x:f>IFERROR(__xludf.DUMMYFUNCTION("""COMPUTED_VALUE"""),"2017")</x:f>
      </x:c>
    </x:row>
    <x:row r="3552" spans="1:10">
      <x:c r="A3552" s="1" t="s">
        <x:v>3561</x:v>
      </x:c>
      <x:c r="B3552" s="1">
        <x:f>IFERROR(__xludf.DUMMYFUNCTION("""COMPUTED_VALUE"""),"L'Alvin i els esquirols. Festa a la carretera")</x:f>
      </x:c>
      <x:c r="C3552" s="1">
        <x:f>IFERROR(__xludf.DUMMYFUNCTION("""COMPUTED_VALUE"""),"2015")</x:f>
      </x:c>
    </x:row>
    <x:row r="3553" spans="1:10">
      <x:c r="A3553" s="1" t="s">
        <x:v>3562</x:v>
      </x:c>
      <x:c r="B3553" s="1">
        <x:f>IFERROR(__xludf.DUMMYFUNCTION("""COMPUTED_VALUE"""),"L'amarga lluita del Noi del Sucre")</x:f>
      </x:c>
      <x:c r="C3553" s="1">
        <x:f>IFERROR(__xludf.DUMMYFUNCTION("""COMPUTED_VALUE"""),"2023")</x:f>
      </x:c>
    </x:row>
    <x:row r="3554" spans="1:10">
      <x:c r="A3554" s="1" t="s">
        <x:v>3563</x:v>
      </x:c>
      <x:c r="B3554" s="1">
        <x:f>IFERROR(__xludf.DUMMYFUNCTION("""COMPUTED_VALUE"""),"L'amenaça del drac")</x:f>
      </x:c>
      <x:c r="C3554" s="1">
        <x:f>IFERROR(__xludf.DUMMYFUNCTION("""COMPUTED_VALUE"""),"2003")</x:f>
      </x:c>
    </x:row>
    <x:row r="3555" spans="1:10">
      <x:c r="A3555" s="1" t="s">
        <x:v>3564</x:v>
      </x:c>
      <x:c r="B3555" s="1">
        <x:f>IFERROR(__xludf.DUMMYFUNCTION("""COMPUTED_VALUE"""),"L'americà impassible")</x:f>
      </x:c>
      <x:c r="C3555" s="1">
        <x:f>IFERROR(__xludf.DUMMYFUNCTION("""COMPUTED_VALUE"""),"2002")</x:f>
      </x:c>
    </x:row>
    <x:row r="3556" spans="1:10">
      <x:c r="A3556" s="1" t="s">
        <x:v>3565</x:v>
      </x:c>
      <x:c r="B3556" s="1">
        <x:f>IFERROR(__xludf.DUMMYFUNCTION("""COMPUTED_VALUE"""),"L'amfitrió perfecte")</x:f>
      </x:c>
      <x:c r="C3556" s="1">
        <x:f>IFERROR(__xludf.DUMMYFUNCTION("""COMPUTED_VALUE"""),"2010")</x:f>
      </x:c>
    </x:row>
    <x:row r="3557" spans="1:10">
      <x:c r="A3557" s="1" t="s">
        <x:v>3566</x:v>
      </x:c>
      <x:c r="B3557" s="1">
        <x:f>IFERROR(__xludf.DUMMYFUNCTION("""COMPUTED_VALUE"""),"L'amor de Tony")</x:f>
      </x:c>
      <x:c r="C3557" s="1">
        <x:f>IFERROR(__xludf.DUMMYFUNCTION("""COMPUTED_VALUE"""),"2010")</x:f>
      </x:c>
    </x:row>
    <x:row r="3558" spans="1:10">
      <x:c r="A3558" s="1" t="s">
        <x:v>3567</x:v>
      </x:c>
      <x:c r="B3558" s="1">
        <x:f>IFERROR(__xludf.DUMMYFUNCTION("""COMPUTED_VALUE"""),"L'amor és a l'aigua")</x:f>
      </x:c>
      <x:c r="C3558" s="1">
        <x:f>IFERROR(__xludf.DUMMYFUNCTION("""COMPUTED_VALUE"""),"2019")</x:f>
      </x:c>
    </x:row>
    <x:row r="3559" spans="1:10">
      <x:c r="A3559" s="1" t="s">
        <x:v>3568</x:v>
      </x:c>
      <x:c r="B3559" s="1">
        <x:f>IFERROR(__xludf.DUMMYFUNCTION("""COMPUTED_VALUE"""),"L'amor és a l'aire")</x:f>
      </x:c>
      <x:c r="C3559" s="1">
        <x:f>IFERROR(__xludf.DUMMYFUNCTION("""COMPUTED_VALUE"""),"2013")</x:f>
      </x:c>
    </x:row>
    <x:row r="3560" spans="1:10">
      <x:c r="A3560" s="1" t="s">
        <x:v>3569</x:v>
      </x:c>
      <x:c r="B3560" s="1">
        <x:f>IFERROR(__xludf.DUMMYFUNCTION("""COMPUTED_VALUE"""),"L'amor és estrany")</x:f>
      </x:c>
      <x:c r="C3560" s="1">
        <x:f>IFERROR(__xludf.DUMMYFUNCTION("""COMPUTED_VALUE"""),"2014")</x:f>
      </x:c>
    </x:row>
    <x:row r="3561" spans="1:10">
      <x:c r="A3561" s="1" t="s">
        <x:v>3570</x:v>
      </x:c>
      <x:c r="B3561" s="1">
        <x:f>IFERROR(__xludf.DUMMYFUNCTION("""COMPUTED_VALUE"""),"L'amor és un crim perfecte")</x:f>
      </x:c>
      <x:c r="C3561" s="1">
        <x:f>IFERROR(__xludf.DUMMYFUNCTION("""COMPUTED_VALUE"""),"2013")</x:f>
      </x:c>
    </x:row>
    <x:row r="3562" spans="1:10">
      <x:c r="A3562" s="1" t="s">
        <x:v>3571</x:v>
      </x:c>
      <x:c r="B3562" s="1">
        <x:f>IFERROR(__xludf.DUMMYFUNCTION("""COMPUTED_VALUE"""),"L'amor ho pot tot")</x:f>
      </x:c>
      <x:c r="C3562" s="1">
        <x:f>IFERROR(__xludf.DUMMYFUNCTION("""COMPUTED_VALUE"""),"2009")</x:f>
      </x:c>
    </x:row>
    <x:row r="3563" spans="1:10">
      <x:c r="A3563" s="1" t="s">
        <x:v>3572</x:v>
      </x:c>
      <x:c r="B3563" s="1">
        <x:f>IFERROR(__xludf.DUMMYFUNCTION("""COMPUTED_VALUE"""),"L'amor i altres desastres")</x:f>
      </x:c>
      <x:c r="C3563" s="1">
        <x:f>IFERROR(__xludf.DUMMYFUNCTION("""COMPUTED_VALUE"""),"2006")</x:f>
      </x:c>
    </x:row>
    <x:row r="3564" spans="1:10">
      <x:c r="A3564" s="1" t="s">
        <x:v>3573</x:v>
      </x:c>
      <x:c r="B3564" s="1">
        <x:f>IFERROR(__xludf.DUMMYFUNCTION("""COMPUTED_VALUE"""),"L'amor i altres objectius impossibles")</x:f>
      </x:c>
      <x:c r="C3564" s="1">
        <x:f>IFERROR(__xludf.DUMMYFUNCTION("""COMPUTED_VALUE"""),"2009")</x:f>
      </x:c>
    </x:row>
    <x:row r="3565" spans="1:10">
      <x:c r="A3565" s="1" t="s">
        <x:v>3574</x:v>
      </x:c>
      <x:c r="B3565" s="1">
        <x:f>IFERROR(__xludf.DUMMYFUNCTION("""COMPUTED_VALUE"""),"L'amor troba apartament")</x:f>
      </x:c>
      <x:c r="C3565" s="1">
        <x:f>IFERROR(__xludf.DUMMYFUNCTION("""COMPUTED_VALUE"""),"2021")</x:f>
      </x:c>
    </x:row>
    <x:row r="3566" spans="1:10">
      <x:c r="A3566" s="1" t="s">
        <x:v>3575</x:v>
      </x:c>
      <x:c r="B3566" s="1">
        <x:f>IFERROR(__xludf.DUMMYFUNCTION("""COMPUTED_VALUE"""),"L'Ancien i el món màgic")</x:f>
      </x:c>
      <x:c r="C3566" s="1">
        <x:f>IFERROR(__xludf.DUMMYFUNCTION("""COMPUTED_VALUE"""),"2017")</x:f>
      </x:c>
    </x:row>
    <x:row r="3567" spans="1:10">
      <x:c r="A3567" s="1" t="s">
        <x:v>3576</x:v>
      </x:c>
      <x:c r="B3567" s="1">
        <x:f>IFERROR(__xludf.DUMMYFUNCTION("""COMPUTED_VALUE"""),"L'aneguet lleig i jo!")</x:f>
      </x:c>
      <x:c r="C3567" s="1">
        <x:f>IFERROR(__xludf.DUMMYFUNCTION("""COMPUTED_VALUE"""),"2006")</x:f>
      </x:c>
    </x:row>
    <x:row r="3568" spans="1:10">
      <x:c r="A3568" s="1" t="s">
        <x:v>3577</x:v>
      </x:c>
      <x:c r="B3568" s="1">
        <x:f>IFERROR(__xludf.DUMMYFUNCTION("""COMPUTED_VALUE"""),"L'àngel de la mort")</x:f>
      </x:c>
      <x:c r="C3568" s="1">
        <x:f>IFERROR(__xludf.DUMMYFUNCTION("""COMPUTED_VALUE"""),"2018")</x:f>
      </x:c>
    </x:row>
    <x:row r="3569" spans="1:10">
      <x:c r="A3569" s="1" t="s">
        <x:v>3578</x:v>
      </x:c>
      <x:c r="B3569" s="1">
        <x:f>IFERROR(__xludf.DUMMYFUNCTION("""COMPUTED_VALUE"""),"L’Anton, el seu amic i la revolució russa")</x:f>
      </x:c>
      <x:c r="C3569" s="1">
        <x:f>IFERROR(__xludf.DUMMYFUNCTION("""COMPUTED_VALUE"""),"2019")</x:f>
      </x:c>
    </x:row>
    <x:row r="3570" spans="1:10">
      <x:c r="A3570" s="1" t="s">
        <x:v>3579</x:v>
      </x:c>
      <x:c r="B3570" s="1">
        <x:f>IFERROR(__xludf.DUMMYFUNCTION("""COMPUTED_VALUE"""),"L'any de la plaga")</x:f>
      </x:c>
      <x:c r="C3570" s="1">
        <x:f>IFERROR(__xludf.DUMMYFUNCTION("""COMPUTED_VALUE"""),"2018")</x:f>
      </x:c>
    </x:row>
    <x:row r="3571" spans="1:10">
      <x:c r="A3571" s="1" t="s">
        <x:v>3580</x:v>
      </x:c>
      <x:c r="B3571" s="1">
        <x:f>IFERROR(__xludf.DUMMYFUNCTION("""COMPUTED_VALUE"""),"L'any del diluvi")</x:f>
      </x:c>
      <x:c r="C3571" s="1">
        <x:f>IFERROR(__xludf.DUMMYFUNCTION("""COMPUTED_VALUE"""),"2004")</x:f>
      </x:c>
    </x:row>
    <x:row r="3572" spans="1:10">
      <x:c r="A3572" s="1" t="s">
        <x:v>3581</x:v>
      </x:c>
      <x:c r="B3572" s="1">
        <x:f>IFERROR(__xludf.DUMMYFUNCTION("""COMPUTED_VALUE"""),"L'any que vam viure perillosament")</x:f>
      </x:c>
      <x:c r="C3572" s="1">
        <x:f>IFERROR(__xludf.DUMMYFUNCTION("""COMPUTED_VALUE"""),"1982")</x:f>
      </x:c>
    </x:row>
    <x:row r="3573" spans="1:10">
      <x:c r="A3573" s="1" t="s">
        <x:v>3582</x:v>
      </x:c>
      <x:c r="B3573" s="1">
        <x:f>IFERROR(__xludf.DUMMYFUNCTION("""COMPUTED_VALUE"""),"L'any sense Santa Claus")</x:f>
      </x:c>
      <x:c r="C3573" s="1">
        <x:f>IFERROR(__xludf.DUMMYFUNCTION("""COMPUTED_VALUE"""),"2006")</x:f>
      </x:c>
    </x:row>
    <x:row r="3574" spans="1:10">
      <x:c r="A3574" s="1" t="s">
        <x:v>3583</x:v>
      </x:c>
      <x:c r="B3574" s="1">
        <x:f>IFERROR(__xludf.DUMMYFUNCTION("""COMPUTED_VALUE"""),"L'apagada")</x:f>
      </x:c>
      <x:c r="C3574" s="1">
        <x:f>IFERROR(__xludf.DUMMYFUNCTION("""COMPUTED_VALUE"""),"2019")</x:f>
      </x:c>
    </x:row>
    <x:row r="3575" spans="1:10">
      <x:c r="A3575" s="1" t="s">
        <x:v>3584</x:v>
      </x:c>
      <x:c r="B3575" s="1">
        <x:f>IFERROR(__xludf.DUMMYFUNCTION("""COMPUTED_VALUE"""),"L'aparició")</x:f>
      </x:c>
      <x:c r="C3575" s="1">
        <x:f>IFERROR(__xludf.DUMMYFUNCTION("""COMPUTED_VALUE"""),"2018")</x:f>
      </x:c>
    </x:row>
    <x:row r="3576" spans="1:10">
      <x:c r="A3576" s="1" t="s">
        <x:v>3585</x:v>
      </x:c>
      <x:c r="B3576" s="1">
        <x:f>IFERROR(__xludf.DUMMYFUNCTION("""COMPUTED_VALUE"""),"L'apartament")</x:f>
      </x:c>
      <x:c r="C3576" s="1">
        <x:f>IFERROR(__xludf.DUMMYFUNCTION("""COMPUTED_VALUE"""),"1960")</x:f>
      </x:c>
    </x:row>
    <x:row r="3577" spans="1:10">
      <x:c r="A3577" s="1" t="s">
        <x:v>3586</x:v>
      </x:c>
      <x:c r="B3577" s="1">
        <x:f>IFERROR(__xludf.DUMMYFUNCTION("""COMPUTED_VALUE"""),"L'aprenent de Pare Noel")</x:f>
      </x:c>
      <x:c r="C3577" s="1">
        <x:f>IFERROR(__xludf.DUMMYFUNCTION("""COMPUTED_VALUE"""),"2010")</x:f>
      </x:c>
    </x:row>
    <x:row r="3578" spans="1:10">
      <x:c r="A3578" s="1" t="s">
        <x:v>3587</x:v>
      </x:c>
      <x:c r="B3578" s="1">
        <x:f>IFERROR(__xludf.DUMMYFUNCTION("""COMPUTED_VALUE"""),"L'aprenent de Pare Noel i el floc de neu màgic")</x:f>
      </x:c>
      <x:c r="C3578" s="1">
        <x:f>IFERROR(__xludf.DUMMYFUNCTION("""COMPUTED_VALUE"""),"2013")</x:f>
      </x:c>
    </x:row>
    <x:row r="3579" spans="1:10">
      <x:c r="A3579" s="1" t="s">
        <x:v>3588</x:v>
      </x:c>
      <x:c r="B3579" s="1">
        <x:f>IFERROR(__xludf.DUMMYFUNCTION("""COMPUTED_VALUE"""),"L'apropiació del descobriment d'Amèrica, una conspiració d'estat")</x:f>
      </x:c>
      <x:c r="C3579" s="1">
        <x:f>IFERROR(__xludf.DUMMYFUNCTION("""COMPUTED_VALUE"""),"2003")</x:f>
      </x:c>
    </x:row>
    <x:row r="3580" spans="1:10">
      <x:c r="A3580" s="1" t="s">
        <x:v>3589</x:v>
      </x:c>
      <x:c r="B3580" s="1">
        <x:f>IFERROR(__xludf.DUMMYFUNCTION("""COMPUTED_VALUE"""),"L'arbre")</x:f>
      </x:c>
      <x:c r="C3580" s="1">
        <x:f>IFERROR(__xludf.DUMMYFUNCTION("""COMPUTED_VALUE"""),"2010")</x:f>
      </x:c>
    </x:row>
    <x:row r="3581" spans="1:10">
      <x:c r="A3581" s="1" t="s">
        <x:v>3590</x:v>
      </x:c>
      <x:c r="B3581" s="1">
        <x:f>IFERROR(__xludf.DUMMYFUNCTION("""COMPUTED_VALUE"""),"L'arbre de la sang")</x:f>
      </x:c>
      <x:c r="C3581" s="1">
        <x:f>IFERROR(__xludf.DUMMYFUNCTION("""COMPUTED_VALUE"""),"2018")</x:f>
      </x:c>
    </x:row>
    <x:row r="3582" spans="1:10">
      <x:c r="A3582" s="1" t="s">
        <x:v>3591</x:v>
      </x:c>
      <x:c r="B3582" s="1">
        <x:f>IFERROR(__xludf.DUMMYFUNCTION("""COMPUTED_VALUE"""),"L'arbre de la vida")</x:f>
      </x:c>
      <x:c r="C3582" s="1">
        <x:f>IFERROR(__xludf.DUMMYFUNCTION("""COMPUTED_VALUE"""),"2011")</x:f>
      </x:c>
    </x:row>
    <x:row r="3583" spans="1:10">
      <x:c r="A3583" s="1" t="s">
        <x:v>3592</x:v>
      </x:c>
      <x:c r="B3583" s="1">
        <x:f>IFERROR(__xludf.DUMMYFUNCTION("""COMPUTED_VALUE"""),"L'arbre de les cireres")</x:f>
      </x:c>
      <x:c r="C3583" s="1">
        <x:f>IFERROR(__xludf.DUMMYFUNCTION("""COMPUTED_VALUE"""),"1998")</x:f>
      </x:c>
    </x:row>
    <x:row r="3584" spans="1:10">
      <x:c r="A3584" s="1" t="s">
        <x:v>3593</x:v>
      </x:c>
      <x:c r="B3584" s="1">
        <x:f>IFERROR(__xludf.DUMMYFUNCTION("""COMPUTED_VALUE"""),"L'arbre de Nadal, la llegenda")</x:f>
      </x:c>
      <x:c r="C3584" s="1">
        <x:f>IFERROR(__xludf.DUMMYFUNCTION("""COMPUTED_VALUE"""),"2002")</x:f>
      </x:c>
    </x:row>
    <x:row r="3585" spans="1:10">
      <x:c r="A3585" s="1" t="s">
        <x:v>3594</x:v>
      </x:c>
      <x:c r="B3585" s="1">
        <x:f>IFERROR(__xludf.DUMMYFUNCTION("""COMPUTED_VALUE"""),"L'armadura de Déu")</x:f>
      </x:c>
      <x:c r="C3585" s="1">
        <x:f>IFERROR(__xludf.DUMMYFUNCTION("""COMPUTED_VALUE"""),"1986")</x:f>
      </x:c>
    </x:row>
    <x:row r="3586" spans="1:10">
      <x:c r="A3586" s="1" t="s">
        <x:v>3595</x:v>
      </x:c>
      <x:c r="B3586" s="1">
        <x:f>IFERROR(__xludf.DUMMYFUNCTION("""COMPUTED_VALUE"""),"L'armadura de Déu 2: Operació Còndor")</x:f>
      </x:c>
      <x:c r="C3586" s="1">
        <x:f>IFERROR(__xludf.DUMMYFUNCTION("""COMPUTED_VALUE"""),"1991")</x:f>
      </x:c>
    </x:row>
    <x:row r="3587" spans="1:10">
      <x:c r="A3587" s="1" t="s">
        <x:v>3596</x:v>
      </x:c>
      <x:c r="B3587" s="1">
        <x:f>IFERROR(__xludf.DUMMYFUNCTION("""COMPUTED_VALUE"""),"L'art de la comèdia")</x:f>
      </x:c>
      <x:c r="C3587" s="1">
        <x:f>IFERROR(__xludf.DUMMYFUNCTION("""COMPUTED_VALUE"""),"2015")</x:f>
      </x:c>
    </x:row>
    <x:row r="3588" spans="1:10">
      <x:c r="A3588" s="1" t="s">
        <x:v>3597</x:v>
      </x:c>
      <x:c r="B3588" s="1">
        <x:f>IFERROR(__xludf.DUMMYFUNCTION("""COMPUTED_VALUE"""),"L'art de robar")</x:f>
      </x:c>
      <x:c r="C3588" s="1">
        <x:f>IFERROR(__xludf.DUMMYFUNCTION("""COMPUTED_VALUE"""),"2013")</x:f>
      </x:c>
    </x:row>
    <x:row r="3589" spans="1:10">
      <x:c r="A3589" s="1" t="s">
        <x:v>3598</x:v>
      </x:c>
      <x:c r="B3589" s="1">
        <x:f>IFERROR(__xludf.DUMMYFUNCTION("""COMPUTED_VALUE"""),"L'Arthur i els Minimoys")</x:f>
      </x:c>
      <x:c r="C3589" s="1">
        <x:f>IFERROR(__xludf.DUMMYFUNCTION("""COMPUTED_VALUE"""),"2006")</x:f>
      </x:c>
    </x:row>
    <x:row r="3590" spans="1:10">
      <x:c r="A3590" s="1" t="s">
        <x:v>3599</x:v>
      </x:c>
      <x:c r="B3590" s="1">
        <x:f>IFERROR(__xludf.DUMMYFUNCTION("""COMPUTED_VALUE"""),"L'artista")</x:f>
      </x:c>
      <x:c r="C3590" s="1">
        <x:f>IFERROR(__xludf.DUMMYFUNCTION("""COMPUTED_VALUE"""),"2011")</x:f>
      </x:c>
    </x:row>
    <x:row r="3591" spans="1:10">
      <x:c r="A3591" s="1" t="s">
        <x:v>3600</x:v>
      </x:c>
      <x:c r="B3591" s="1">
        <x:f>IFERROR(__xludf.DUMMYFUNCTION("""COMPUTED_VALUE"""),"L'ascens d'Estat Islàmic")</x:f>
      </x:c>
      <x:c r="C3591" s="1">
        <x:f>IFERROR(__xludf.DUMMYFUNCTION("""COMPUTED_VALUE"""),"2014")</x:f>
      </x:c>
    </x:row>
    <x:row r="3592" spans="1:10">
      <x:c r="A3592" s="1" t="s">
        <x:v>3601</x:v>
      </x:c>
      <x:c r="B3592" s="1">
        <x:f>IFERROR(__xludf.DUMMYFUNCTION("""COMPUTED_VALUE"""),"L'ascens de les Tortugues Ninja: La pel·lícula")</x:f>
      </x:c>
      <x:c r="C3592" s="1">
        <x:f>IFERROR(__xludf.DUMMYFUNCTION("""COMPUTED_VALUE"""),"2022")</x:f>
      </x:c>
    </x:row>
    <x:row r="3593" spans="1:10">
      <x:c r="A3593" s="1" t="s">
        <x:v>3602</x:v>
      </x:c>
      <x:c r="B3593" s="1">
        <x:f>IFERROR(__xludf.DUMMYFUNCTION("""COMPUTED_VALUE"""),"L'assassí americà")</x:f>
      </x:c>
      <x:c r="C3593" s="1">
        <x:f>IFERROR(__xludf.DUMMYFUNCTION("""COMPUTED_VALUE"""),"2017")</x:f>
      </x:c>
    </x:row>
    <x:row r="3594" spans="1:10">
      <x:c r="A3594" s="1" t="s">
        <x:v>3603</x:v>
      </x:c>
      <x:c r="B3594" s="1">
        <x:f>IFERROR(__xludf.DUMMYFUNCTION("""COMPUTED_VALUE"""),"L'assassí és aquí")</x:f>
      </x:c>
      <x:c r="C3594" s="1">
        <x:f>IFERROR(__xludf.DUMMYFUNCTION("""COMPUTED_VALUE"""),"2016")</x:f>
      </x:c>
    </x:row>
    <x:row r="3595" spans="1:10">
      <x:c r="A3595" s="1" t="s">
        <x:v>3604</x:v>
      </x:c>
      <x:c r="B3595" s="1">
        <x:f>IFERROR(__xludf.DUMMYFUNCTION("""COMPUTED_VALUE"""),"L'assassí invisible")</x:f>
      </x:c>
      <x:c r="C3595" s="1">
        <x:f>IFERROR(__xludf.DUMMYFUNCTION("""COMPUTED_VALUE"""),"1977")</x:f>
      </x:c>
    </x:row>
    <x:row r="3596" spans="1:10">
      <x:c r="A3596" s="1" t="s">
        <x:v>3605</x:v>
      </x:c>
      <x:c r="B3596" s="1">
        <x:f>IFERROR(__xludf.DUMMYFUNCTION("""COMPUTED_VALUE"""),"L'assassina")</x:f>
      </x:c>
      <x:c r="C3596" s="1">
        <x:f>IFERROR(__xludf.DUMMYFUNCTION("""COMPUTED_VALUE"""),"2015")</x:f>
      </x:c>
    </x:row>
    <x:row r="3597" spans="1:10">
      <x:c r="A3597" s="1" t="s">
        <x:v>3606</x:v>
      </x:c>
      <x:c r="B3597" s="1">
        <x:f>IFERROR(__xludf.DUMMYFUNCTION("""COMPUTED_VALUE"""),"L'assassina de nòvios")</x:f>
      </x:c>
      <x:c r="C3597" s="1">
        <x:f>IFERROR(__xludf.DUMMYFUNCTION("""COMPUTED_VALUE"""),"2017")</x:f>
      </x:c>
    </x:row>
    <x:row r="3598" spans="1:10">
      <x:c r="A3598" s="1" t="s">
        <x:v>3607</x:v>
      </x:c>
      <x:c r="B3598" s="1">
        <x:f>IFERROR(__xludf.DUMMYFUNCTION("""COMPUTED_VALUE"""),"L'assassinat d'un gat")</x:f>
      </x:c>
      <x:c r="C3598" s="1">
        <x:f>IFERROR(__xludf.DUMMYFUNCTION("""COMPUTED_VALUE"""),"2014")</x:f>
      </x:c>
    </x:row>
    <x:row r="3599" spans="1:10">
      <x:c r="A3599" s="1" t="s">
        <x:v>3608</x:v>
      </x:c>
      <x:c r="B3599" s="1">
        <x:f>IFERROR(__xludf.DUMMYFUNCTION("""COMPUTED_VALUE"""),"L'assassinat de Richard Nixon")</x:f>
      </x:c>
      <x:c r="C3599" s="1">
        <x:f>IFERROR(__xludf.DUMMYFUNCTION("""COMPUTED_VALUE"""),"2004")</x:f>
      </x:c>
    </x:row>
    <x:row r="3600" spans="1:10">
      <x:c r="A3600" s="1" t="s">
        <x:v>3609</x:v>
      </x:c>
      <x:c r="B3600" s="1">
        <x:f>IFERROR(__xludf.DUMMYFUNCTION("""COMPUTED_VALUE"""),"L’Aston i les pedres")</x:f>
      </x:c>
      <x:c r="C3600" s="1">
        <x:f>IFERROR(__xludf.DUMMYFUNCTION("""COMPUTED_VALUE"""),"2007")</x:f>
      </x:c>
    </x:row>
    <x:row r="3601" spans="1:10">
      <x:c r="A3601" s="1" t="s">
        <x:v>3610</x:v>
      </x:c>
      <x:c r="B3601" s="1">
        <x:f>IFERROR(__xludf.DUMMYFUNCTION("""COMPUTED_VALUE"""),"L'auca del Senyor Esteve")</x:f>
      </x:c>
      <x:c r="C3601" s="1">
        <x:f>IFERROR(__xludf.DUMMYFUNCTION("""COMPUTED_VALUE"""),"1984")</x:f>
      </x:c>
    </x:row>
    <x:row r="3602" spans="1:10">
      <x:c r="A3602" s="1" t="s">
        <x:v>3611</x:v>
      </x:c>
      <x:c r="B3602" s="1">
        <x:f>IFERROR(__xludf.DUMMYFUNCTION("""COMPUTED_VALUE"""),"L'autèntica història de Jesse James")</x:f>
      </x:c>
      <x:c r="C3602" s="1">
        <x:f>IFERROR(__xludf.DUMMYFUNCTION("""COMPUTED_VALUE"""),"1957")</x:f>
      </x:c>
    </x:row>
    <x:row r="3603" spans="1:10">
      <x:c r="A3603" s="1" t="s">
        <x:v>3612</x:v>
      </x:c>
      <x:c r="B3603" s="1">
        <x:f>IFERROR(__xludf.DUMMYFUNCTION("""COMPUTED_VALUE"""),"L'autodeterminació depèn de nosaltres")</x:f>
      </x:c>
      <x:c r="C3603" s="1">
        <x:f>IFERROR(__xludf.DUMMYFUNCTION("""COMPUTED_VALUE"""),"2010")</x:f>
      </x:c>
    </x:row>
    <x:row r="3604" spans="1:10">
      <x:c r="A3604" s="1" t="s">
        <x:v>3613</x:v>
      </x:c>
      <x:c r="B3604" s="1">
        <x:f>IFERROR(__xludf.DUMMYFUNCTION("""COMPUTED_VALUE"""),"L'avenc")</x:f>
      </x:c>
      <x:c r="C3604" s="1">
        <x:f>IFERROR(__xludf.DUMMYFUNCTION("""COMPUTED_VALUE"""),"2020")</x:f>
      </x:c>
    </x:row>
    <x:row r="3605" spans="1:10">
      <x:c r="A3605" s="1" t="s">
        <x:v>3614</x:v>
      </x:c>
      <x:c r="B3605" s="1">
        <x:f>IFERROR(__xludf.DUMMYFUNCTION("""COMPUTED_VALUE"""),"L’aventura del Posidó")</x:f>
      </x:c>
      <x:c r="C3605" s="1">
        <x:f>IFERROR(__xludf.DUMMYFUNCTION("""COMPUTED_VALUE"""),"1972")</x:f>
      </x:c>
    </x:row>
    <x:row r="3606" spans="1:10">
      <x:c r="A3606" s="1" t="s">
        <x:v>3615</x:v>
      </x:c>
      <x:c r="B3606" s="1">
        <x:f>IFERROR(__xludf.DUMMYFUNCTION("""COMPUTED_VALUE"""),"L'aventura del Romànic")</x:f>
      </x:c>
      <x:c r="C3606" s="1">
        <x:f>IFERROR(__xludf.DUMMYFUNCTION("""COMPUTED_VALUE"""),"2011")</x:f>
      </x:c>
    </x:row>
    <x:row r="3607" spans="1:10">
      <x:c r="A3607" s="1" t="s">
        <x:v>3616</x:v>
      </x:c>
      <x:c r="B3607" s="1">
        <x:f>IFERROR(__xludf.DUMMYFUNCTION("""COMPUTED_VALUE"""),"L'aventura dels Aguiles")</x:f>
      </x:c>
      <x:c r="C3607" s="1">
        <x:f>IFERROR(__xludf.DUMMYFUNCTION("""COMPUTED_VALUE"""),"2006")</x:f>
      </x:c>
    </x:row>
    <x:row r="3608" spans="1:10">
      <x:c r="A3608" s="1" t="s">
        <x:v>3617</x:v>
      </x:c>
      <x:c r="B3608" s="1">
        <x:f>IFERROR(__xludf.DUMMYFUNCTION("""COMPUTED_VALUE"""),"L'aventurer")</x:f>
      </x:c>
      <x:c r="C3608" s="1">
        <x:f>IFERROR(__xludf.DUMMYFUNCTION("""COMPUTED_VALUE"""),"1917")</x:f>
      </x:c>
    </x:row>
    <x:row r="3609" spans="1:10">
      <x:c r="A3609" s="1" t="s">
        <x:v>3618</x:v>
      </x:c>
      <x:c r="B3609" s="1">
        <x:f>IFERROR(__xludf.DUMMYFUNCTION("""COMPUTED_VALUE"""),"L'aventurer de mitjanit")</x:f>
      </x:c>
      <x:c r="C3609" s="1">
        <x:f>IFERROR(__xludf.DUMMYFUNCTION("""COMPUTED_VALUE"""),"1982")</x:f>
      </x:c>
    </x:row>
    <x:row r="3610" spans="1:10">
      <x:c r="A3610" s="1" t="s">
        <x:v>3619</x:v>
      </x:c>
      <x:c r="B3610" s="1">
        <x:f>IFERROR(__xludf.DUMMYFUNCTION("""COMPUTED_VALUE"""),"L'avi de cent anys que es va escapar per la finestra")</x:f>
      </x:c>
      <x:c r="C3610" s="1">
        <x:f>IFERROR(__xludf.DUMMYFUNCTION("""COMPUTED_VALUE"""),"2013")</x:f>
      </x:c>
    </x:row>
    <x:row r="3611" spans="1:10">
      <x:c r="A3611" s="1" t="s">
        <x:v>3620</x:v>
      </x:c>
      <x:c r="B3611" s="1">
        <x:f>IFERROR(__xludf.DUMMYFUNCTION("""COMPUTED_VALUE"""),"L'avi de la criatura")</x:f>
      </x:c>
      <x:c r="C3611" s="1">
        <x:f>IFERROR(__xludf.DUMMYFUNCTION("""COMPUTED_VALUE"""),"1932")</x:f>
      </x:c>
    </x:row>
    <x:row r="3612" spans="1:10">
      <x:c r="A3612" s="1" t="s">
        <x:v>3621</x:v>
      </x:c>
      <x:c r="B3612" s="1">
        <x:f>IFERROR(__xludf.DUMMYFUNCTION("""COMPUTED_VALUE"""),"L'àvia")</x:f>
      </x:c>
      <x:c r="C3612" s="1">
        <x:f>IFERROR(__xludf.DUMMYFUNCTION("""COMPUTED_VALUE"""),"2015")</x:f>
      </x:c>
    </x:row>
    <x:row r="3613" spans="1:10">
      <x:c r="A3613" s="1" t="s">
        <x:v>3622</x:v>
      </x:c>
      <x:c r="B3613" s="1">
        <x:f>IFERROR(__xludf.DUMMYFUNCTION("""COMPUTED_VALUE"""),"L'àvia i el foraster")</x:f>
      </x:c>
      <x:c r="C3613" s="1">
        <x:f>IFERROR(__xludf.DUMMYFUNCTION("""COMPUTED_VALUE"""),"2024")</x:f>
      </x:c>
    </x:row>
    <x:row r="3614" spans="1:10">
      <x:c r="A3614" s="1" t="s">
        <x:v>3623</x:v>
      </x:c>
      <x:c r="B3614" s="1">
        <x:f>IFERROR(__xludf.DUMMYFUNCTION("""COMPUTED_VALUE"""),"L'aviador")</x:f>
      </x:c>
      <x:c r="C3614" s="1">
        <x:f>IFERROR(__xludf.DUMMYFUNCTION("""COMPUTED_VALUE"""),"2004")</x:f>
      </x:c>
    </x:row>
    <x:row r="3615" spans="1:10">
      <x:c r="A3615" s="1" t="s">
        <x:v>3624</x:v>
      </x:c>
      <x:c r="B3615" s="1">
        <x:f>IFERROR(__xludf.DUMMYFUNCTION("""COMPUTED_VALUE"""),"L'edat de la innocència")</x:f>
      </x:c>
      <x:c r="C3615" s="1">
        <x:f>IFERROR(__xludf.DUMMYFUNCTION("""COMPUTED_VALUE"""),"1993")</x:f>
      </x:c>
    </x:row>
    <x:row r="3616" spans="1:10">
      <x:c r="A3616" s="1" t="s">
        <x:v>3625</x:v>
      </x:c>
      <x:c r="B3616" s="1">
        <x:f>IFERROR(__xludf.DUMMYFUNCTION("""COMPUTED_VALUE"""),"L'edat imminent [VOSE]")</x:f>
      </x:c>
      <x:c r="C3616" s="1">
        <x:f>IFERROR(__xludf.DUMMYFUNCTION("""COMPUTED_VALUE"""),"2024")</x:f>
      </x:c>
    </x:row>
    <x:row r="3617" spans="1:10">
      <x:c r="A3617" s="1" t="s">
        <x:v>3626</x:v>
      </x:c>
      <x:c r="B3617" s="1">
        <x:f>IFERROR(__xludf.DUMMYFUNCTION("""COMPUTED_VALUE"""),"L'edat perfecta")</x:f>
      </x:c>
      <x:c r="C3617" s="1">
        <x:f>IFERROR(__xludf.DUMMYFUNCTION("""COMPUTED_VALUE"""),"2011")</x:f>
      </x:c>
    </x:row>
    <x:row r="3618" spans="1:10">
      <x:c r="A3618" s="1" t="s">
        <x:v>3627</x:v>
      </x:c>
      <x:c r="B3618" s="1">
        <x:f>IFERROR(__xludf.DUMMYFUNCTION("""COMPUTED_VALUE"""),"L'Eddie, l'àguila")</x:f>
      </x:c>
      <x:c r="C3618" s="1">
        <x:f>IFERROR(__xludf.DUMMYFUNCTION("""COMPUTED_VALUE"""),"2015")</x:f>
      </x:c>
    </x:row>
    <x:row r="3619" spans="1:10">
      <x:c r="A3619" s="1" t="s">
        <x:v>3628</x:v>
      </x:c>
      <x:c r="B3619" s="1">
        <x:f>IFERROR(__xludf.DUMMYFUNCTION("""COMPUTED_VALUE"""),"L'editor de llibres")</x:f>
      </x:c>
      <x:c r="C3619" s="1">
        <x:f>IFERROR(__xludf.DUMMYFUNCTION("""COMPUTED_VALUE"""),"2016")</x:f>
      </x:c>
    </x:row>
    <x:row r="3620" spans="1:10">
      <x:c r="A3620" s="1" t="s">
        <x:v>3629</x:v>
      </x:c>
      <x:c r="B3620" s="1">
        <x:f>IFERROR(__xludf.DUMMYFUNCTION("""COMPUTED_VALUE"""),"L'efecte papallona 2")</x:f>
      </x:c>
      <x:c r="C3620" s="1">
        <x:f>IFERROR(__xludf.DUMMYFUNCTION("""COMPUTED_VALUE"""),"2006")</x:f>
      </x:c>
    </x:row>
    <x:row r="3621" spans="1:10">
      <x:c r="A3621" s="1" t="s">
        <x:v>3630</x:v>
      </x:c>
      <x:c r="B3621" s="1">
        <x:f>IFERROR(__xludf.DUMMYFUNCTION("""COMPUTED_VALUE"""),"L'efecte Tik Tok")</x:f>
      </x:c>
      <x:c r="C3621" s="1">
        <x:f>IFERROR(__xludf.DUMMYFUNCTION("""COMPUTED_VALUE"""),"2023")</x:f>
      </x:c>
    </x:row>
    <x:row r="3622" spans="1:10">
      <x:c r="A3622" s="1" t="s">
        <x:v>3631</x:v>
      </x:c>
      <x:c r="B3622" s="1">
        <x:f>IFERROR(__xludf.DUMMYFUNCTION("""COMPUTED_VALUE"""),"L'elecció: Harris contra Trump")</x:f>
      </x:c>
      <x:c r="C3622" s="1">
        <x:f>IFERROR(__xludf.DUMMYFUNCTION("""COMPUTED_VALUE"""),"2024")</x:f>
      </x:c>
    </x:row>
    <x:row r="3623" spans="1:10">
      <x:c r="A3623" s="1" t="s">
        <x:v>3632</x:v>
      </x:c>
      <x:c r="B3623" s="1">
        <x:f>IFERROR(__xludf.DUMMYFUNCTION("""COMPUTED_VALUE"""),"L'elefanta del mag")</x:f>
      </x:c>
      <x:c r="C3623" s="1">
        <x:f>IFERROR(__xludf.DUMMYFUNCTION("""COMPUTED_VALUE"""),"2023")</x:f>
      </x:c>
    </x:row>
    <x:row r="3624" spans="1:10">
      <x:c r="A3624" s="1" t="s">
        <x:v>3633</x:v>
      </x:c>
      <x:c r="B3624" s="1">
        <x:f>IFERROR(__xludf.DUMMYFUNCTION("""COMPUTED_VALUE"""),"L'embolic burocràtic")</x:f>
      </x:c>
      <x:c r="C3624" s="1">
        <x:f>IFERROR(__xludf.DUMMYFUNCTION("""COMPUTED_VALUE"""),"2025")</x:f>
      </x:c>
    </x:row>
    <x:row r="3625" spans="1:10">
      <x:c r="A3625" s="1" t="s">
        <x:v>3634</x:v>
      </x:c>
      <x:c r="B3625" s="1">
        <x:f>IFERROR(__xludf.DUMMYFUNCTION("""COMPUTED_VALUE"""),"L'emperador del nord")</x:f>
      </x:c>
      <x:c r="C3625" s="1">
        <x:f>IFERROR(__xludf.DUMMYFUNCTION("""COMPUTED_VALUE"""),"1973")</x:f>
      </x:c>
    </x:row>
    <x:row r="3626" spans="1:10">
      <x:c r="A3626" s="1" t="s">
        <x:v>3635</x:v>
      </x:c>
      <x:c r="B3626" s="1">
        <x:f>IFERROR(__xludf.DUMMYFUNCTION("""COMPUTED_VALUE"""),"L'emperador i les seves bogeries")</x:f>
      </x:c>
      <x:c r="C3626" s="1">
        <x:f>IFERROR(__xludf.DUMMYFUNCTION("""COMPUTED_VALUE"""),"2000")</x:f>
      </x:c>
    </x:row>
    <x:row r="3627" spans="1:10">
      <x:c r="A3627" s="1" t="s">
        <x:v>3636</x:v>
      </x:c>
      <x:c r="B3627" s="1">
        <x:f>IFERROR(__xludf.DUMMYFUNCTION("""COMPUTED_VALUE"""),"L'emperadriu rebel")</x:f>
      </x:c>
      <x:c r="C3627" s="1">
        <x:f>IFERROR(__xludf.DUMMYFUNCTION("""COMPUTED_VALUE"""),"2022")</x:f>
      </x:c>
    </x:row>
    <x:row r="3628" spans="1:10">
      <x:c r="A3628" s="1" t="s">
        <x:v>3637</x:v>
      </x:c>
      <x:c r="B3628" s="1">
        <x:f>IFERROR(__xludf.DUMMYFUNCTION("""COMPUTED_VALUE"""),"L'empremta")</x:f>
      </x:c>
      <x:c r="C3628" s="1">
        <x:f>IFERROR(__xludf.DUMMYFUNCTION("""COMPUTED_VALUE"""),"2007")</x:f>
      </x:c>
    </x:row>
    <x:row r="3629" spans="1:10">
      <x:c r="A3629" s="1" t="s">
        <x:v>3638</x:v>
      </x:c>
      <x:c r="B3629" s="1">
        <x:f>IFERROR(__xludf.DUMMYFUNCTION("""COMPUTED_VALUE"""),"L'empremta del silenci")</x:f>
      </x:c>
      <x:c r="C3629" s="1">
        <x:f>IFERROR(__xludf.DUMMYFUNCTION("""COMPUTED_VALUE"""),"2006")</x:f>
      </x:c>
    </x:row>
    <x:row r="3630" spans="1:10">
      <x:c r="A3630" s="1" t="s">
        <x:v>3639</x:v>
      </x:c>
      <x:c r="B3630" s="1">
        <x:f>IFERROR(__xludf.DUMMYFUNCTION("""COMPUTED_VALUE"""),"L'Endemà")</x:f>
      </x:c>
      <x:c r="C3630" s="1">
        <x:f>IFERROR(__xludf.DUMMYFUNCTION("""COMPUTED_VALUE"""),"2014")</x:f>
      </x:c>
    </x:row>
    <x:row r="3631" spans="1:10">
      <x:c r="A3631" s="1" t="s">
        <x:v>3640</x:v>
      </x:c>
      <x:c r="B3631" s="1">
        <x:f>IFERROR(__xludf.DUMMYFUNCTION("""COMPUTED_VALUE"""),"L'enfonsament")</x:f>
      </x:c>
      <x:c r="C3631" s="1">
        <x:f>IFERROR(__xludf.DUMMYFUNCTION("""COMPUTED_VALUE"""),"2004")</x:f>
      </x:c>
    </x:row>
    <x:row r="3632" spans="1:10">
      <x:c r="A3632" s="1" t="s">
        <x:v>3641</x:v>
      </x:c>
      <x:c r="B3632" s="1">
        <x:f>IFERROR(__xludf.DUMMYFUNCTION("""COMPUTED_VALUE"""),"L'engany")</x:f>
      </x:c>
      <x:c r="C3632" s="1">
        <x:f>IFERROR(__xludf.DUMMYFUNCTION("""COMPUTED_VALUE"""),"2022")</x:f>
      </x:c>
    </x:row>
    <x:row r="3633" spans="1:10">
      <x:c r="A3633" s="1" t="s">
        <x:v>3642</x:v>
      </x:c>
      <x:c r="B3633" s="1">
        <x:f>IFERROR(__xludf.DUMMYFUNCTION("""COMPUTED_VALUE"""),"L'engranatge, els joves davant de l'islamisme radical")</x:f>
      </x:c>
      <x:c r="C3633" s="1">
        <x:f>IFERROR(__xludf.DUMMYFUNCTION("""COMPUTED_VALUE"""),"2015")</x:f>
      </x:c>
    </x:row>
    <x:row r="3634" spans="1:10">
      <x:c r="A3634" s="1" t="s">
        <x:v>3643</x:v>
      </x:c>
      <x:c r="B3634" s="1">
        <x:f>IFERROR(__xludf.DUMMYFUNCTION("""COMPUTED_VALUE"""),"L'enigma d'un altre món (Versió acolorida)")</x:f>
      </x:c>
      <x:c r="C3634" s="1">
        <x:f>IFERROR(__xludf.DUMMYFUNCTION("""COMPUTED_VALUE"""),"1951")</x:f>
      </x:c>
    </x:row>
    <x:row r="3635" spans="1:10">
      <x:c r="A3635" s="1" t="s">
        <x:v>3644</x:v>
      </x:c>
      <x:c r="B3635" s="1">
        <x:f>IFERROR(__xludf.DUMMYFUNCTION("""COMPUTED_VALUE"""),"L'enigma de Hidden Lake")</x:f>
      </x:c>
      <x:c r="C3635" s="1">
        <x:f>IFERROR(__xludf.DUMMYFUNCTION("""COMPUTED_VALUE"""),"2006")</x:f>
      </x:c>
    </x:row>
    <x:row r="3636" spans="1:10">
      <x:c r="A3636" s="1" t="s">
        <x:v>3645</x:v>
      </x:c>
      <x:c r="B3636" s="1">
        <x:f>IFERROR(__xludf.DUMMYFUNCTION("""COMPUTED_VALUE"""),"L'enigma del bruixot")</x:f>
      </x:c>
      <x:c r="C3636" s="1">
        <x:f>IFERROR(__xludf.DUMMYFUNCTION("""COMPUTED_VALUE"""),"1988")</x:f>
      </x:c>
    </x:row>
    <x:row r="3637" spans="1:10">
      <x:c r="A3637" s="1" t="s">
        <x:v>3646</x:v>
      </x:c>
      <x:c r="B3637" s="1">
        <x:f>IFERROR(__xludf.DUMMYFUNCTION("""COMPUTED_VALUE"""),"L’enigma Juggernaut")</x:f>
      </x:c>
      <x:c r="C3637" s="1">
        <x:f>IFERROR(__xludf.DUMMYFUNCTION("""COMPUTED_VALUE"""),"1974")</x:f>
      </x:c>
    </x:row>
    <x:row r="3638" spans="1:10">
      <x:c r="A3638" s="1" t="s">
        <x:v>3647</x:v>
      </x:c>
      <x:c r="B3638" s="1">
        <x:f>IFERROR(__xludf.DUMMYFUNCTION("""COMPUTED_VALUE"""),"L'enigma Verdaguer")</x:f>
      </x:c>
      <x:c r="C3638" s="1">
        <x:f>IFERROR(__xludf.DUMMYFUNCTION("""COMPUTED_VALUE"""),"2019")</x:f>
      </x:c>
    </x:row>
    <x:row r="3639" spans="1:10">
      <x:c r="A3639" s="1" t="s">
        <x:v>3648</x:v>
      </x:c>
      <x:c r="B3639" s="1">
        <x:f>IFERROR(__xludf.DUMMYFUNCTION("""COMPUTED_VALUE"""),"L'ens")</x:f>
      </x:c>
      <x:c r="C3639" s="1">
        <x:f>IFERROR(__xludf.DUMMYFUNCTION("""COMPUTED_VALUE"""),"1982")</x:f>
      </x:c>
    </x:row>
    <x:row r="3640" spans="1:10">
      <x:c r="A3640" s="1" t="s">
        <x:v>3649</x:v>
      </x:c>
      <x:c r="B3640" s="1">
        <x:f>IFERROR(__xludf.DUMMYFUNCTION("""COMPUTED_VALUE"""),"L'enviada")</x:f>
      </x:c>
      <x:c r="C3640" s="1">
        <x:f>IFERROR(__xludf.DUMMYFUNCTION("""COMPUTED_VALUE"""),"1998")</x:f>
      </x:c>
    </x:row>
    <x:row r="3641" spans="1:10">
      <x:c r="A3641" s="1" t="s">
        <x:v>3650</x:v>
      </x:c>
      <x:c r="B3641" s="1">
        <x:f>IFERROR(__xludf.DUMMYFUNCTION("""COMPUTED_VALUE"""),"L'equalitzador")</x:f>
      </x:c>
      <x:c r="C3641" s="1">
        <x:f>IFERROR(__xludf.DUMMYFUNCTION("""COMPUTED_VALUE"""),"2014")</x:f>
      </x:c>
    </x:row>
    <x:row r="3642" spans="1:10">
      <x:c r="A3642" s="1" t="s">
        <x:v>3651</x:v>
      </x:c>
      <x:c r="B3642" s="1">
        <x:f>IFERROR(__xludf.DUMMYFUNCTION("""COMPUTED_VALUE"""),"L'eriço")</x:f>
      </x:c>
      <x:c r="C3642" s="1">
        <x:f>IFERROR(__xludf.DUMMYFUNCTION("""COMPUTED_VALUE"""),"2009")</x:f>
      </x:c>
    </x:row>
    <x:row r="3643" spans="1:10">
      <x:c r="A3643" s="1" t="s">
        <x:v>3652</x:v>
      </x:c>
      <x:c r="B3643" s="1">
        <x:f>IFERROR(__xludf.DUMMYFUNCTION("""COMPUTED_VALUE"""),"L'esbojarrada historia de les galàxies")</x:f>
      </x:c>
      <x:c r="C3643" s="1">
        <x:f>IFERROR(__xludf.DUMMYFUNCTION("""COMPUTED_VALUE"""),"1987")</x:f>
      </x:c>
    </x:row>
    <x:row r="3644" spans="1:10">
      <x:c r="A3644" s="1" t="s">
        <x:v>3653</x:v>
      </x:c>
      <x:c r="B3644" s="1">
        <x:f>IFERROR(__xludf.DUMMYFUNCTION("""COMPUTED_VALUE"""),"L'escala de cargol")</x:f>
      </x:c>
      <x:c r="C3644" s="1">
        <x:f>IFERROR(__xludf.DUMMYFUNCTION("""COMPUTED_VALUE"""),"1975")</x:f>
      </x:c>
    </x:row>
    <x:row r="3645" spans="1:10">
      <x:c r="A3645" s="1" t="s">
        <x:v>3654</x:v>
      </x:c>
      <x:c r="B3645" s="1">
        <x:f>IFERROR(__xludf.DUMMYFUNCTION("""COMPUTED_VALUE"""),"L'escàndol")</x:f>
      </x:c>
      <x:c r="C3645" s="1">
        <x:f>IFERROR(__xludf.DUMMYFUNCTION("""COMPUTED_VALUE"""),"2019")</x:f>
      </x:c>
    </x:row>
    <x:row r="3646" spans="1:10">
      <x:c r="A3646" s="1" t="s">
        <x:v>3655</x:v>
      </x:c>
      <x:c r="B3646" s="1">
        <x:f>IFERROR(__xludf.DUMMYFUNCTION("""COMPUTED_VALUE"""),"L'escàndol Ted Kennedy")</x:f>
      </x:c>
      <x:c r="C3646" s="1">
        <x:f>IFERROR(__xludf.DUMMYFUNCTION("""COMPUTED_VALUE"""),"2017")</x:f>
      </x:c>
    </x:row>
    <x:row r="3647" spans="1:10">
      <x:c r="A3647" s="1" t="s">
        <x:v>3656</x:v>
      </x:c>
      <x:c r="B3647" s="1">
        <x:f>IFERROR(__xludf.DUMMYFUNCTION("""COMPUTED_VALUE"""),"L'escola de la vida")</x:f>
      </x:c>
      <x:c r="C3647" s="1">
        <x:f>IFERROR(__xludf.DUMMYFUNCTION("""COMPUTED_VALUE"""),"2017")</x:f>
      </x:c>
    </x:row>
    <x:row r="3648" spans="1:10">
      <x:c r="A3648" s="1" t="s">
        <x:v>3657</x:v>
      </x:c>
      <x:c r="B3648" s="1">
        <x:f>IFERROR(__xludf.DUMMYFUNCTION("""COMPUTED_VALUE"""),"L'escola inclusiva")</x:f>
      </x:c>
      <x:c r="C3648" s="1">
        <x:f>IFERROR(__xludf.DUMMYFUNCTION("""COMPUTED_VALUE"""),"2025")</x:f>
      </x:c>
    </x:row>
    <x:row r="3649" spans="1:10">
      <x:c r="A3649" s="1" t="s">
        <x:v>3658</x:v>
      </x:c>
      <x:c r="B3649" s="1">
        <x:f>IFERROR(__xludf.DUMMYFUNCTION("""COMPUTED_VALUE"""),"L'escollit")</x:f>
      </x:c>
      <x:c r="C3649" s="1">
        <x:f>IFERROR(__xludf.DUMMYFUNCTION("""COMPUTED_VALUE"""),"2006")</x:f>
      </x:c>
    </x:row>
    <x:row r="3650" spans="1:10">
      <x:c r="A3650" s="1" t="s">
        <x:v>3659</x:v>
      </x:c>
      <x:c r="B3650" s="1">
        <x:f>IFERROR(__xludf.DUMMYFUNCTION("""COMPUTED_VALUE"""),"L'Escollit")</x:f>
      </x:c>
      <x:c r="C3650" s="1">
        <x:f>IFERROR(__xludf.DUMMYFUNCTION("""COMPUTED_VALUE"""),"2016")</x:f>
      </x:c>
    </x:row>
    <x:row r="3651" spans="1:10">
      <x:c r="A3651" s="1" t="s">
        <x:v>3660</x:v>
      </x:c>
      <x:c r="B3651" s="1">
        <x:f>IFERROR(__xludf.DUMMYFUNCTION("""COMPUTED_VALUE"""),"L'escorta del sicari")</x:f>
      </x:c>
      <x:c r="C3651" s="1">
        <x:f>IFERROR(__xludf.DUMMYFUNCTION("""COMPUTED_VALUE"""),"2017")</x:f>
      </x:c>
    </x:row>
    <x:row r="3652" spans="1:10">
      <x:c r="A3652" s="1" t="s">
        <x:v>3661</x:v>
      </x:c>
      <x:c r="B3652" s="1">
        <x:f>IFERROR(__xludf.DUMMYFUNCTION("""COMPUTED_VALUE"""),"L'escorxador")</x:f>
      </x:c>
      <x:c r="C3652" s="1">
        <x:f>IFERROR(__xludf.DUMMYFUNCTION("""COMPUTED_VALUE"""),"2022")</x:f>
      </x:c>
    </x:row>
    <x:row r="3653" spans="1:10">
      <x:c r="A3653" s="1" t="s">
        <x:v>3662</x:v>
      </x:c>
      <x:c r="B3653" s="1">
        <x:f>IFERROR(__xludf.DUMMYFUNCTION("""COMPUTED_VALUE"""),"L'escot")</x:f>
      </x:c>
      <x:c r="C3653" s="1">
        <x:f>IFERROR(__xludf.DUMMYFUNCTION("""COMPUTED_VALUE"""),"1987")</x:f>
      </x:c>
    </x:row>
    <x:row r="3654" spans="1:10">
      <x:c r="A3654" s="1" t="s">
        <x:v>3663</x:v>
      </x:c>
      <x:c r="B3654" s="1">
        <x:f>IFERROR(__xludf.DUMMYFUNCTION("""COMPUTED_VALUE"""),"L'escriptor")</x:f>
      </x:c>
      <x:c r="C3654" s="1">
        <x:f>IFERROR(__xludf.DUMMYFUNCTION("""COMPUTED_VALUE"""),"2010")</x:f>
      </x:c>
    </x:row>
    <x:row r="3655" spans="1:10">
      <x:c r="A3655" s="1" t="s">
        <x:v>3664</x:v>
      </x:c>
      <x:c r="B3655" s="1">
        <x:f>IFERROR(__xludf.DUMMYFUNCTION("""COMPUTED_VALUE"""),"L'escull")</x:f>
      </x:c>
      <x:c r="C3655" s="1">
        <x:f>IFERROR(__xludf.DUMMYFUNCTION("""COMPUTED_VALUE"""),"2010")</x:f>
      </x:c>
    </x:row>
    <x:row r="3656" spans="1:10">
      <x:c r="A3656" s="1" t="s">
        <x:v>3665</x:v>
      </x:c>
      <x:c r="B3656" s="1">
        <x:f>IFERROR(__xludf.DUMMYFUNCTION("""COMPUTED_VALUE"""),"L'Escurçó Negre - Endarrere i endavant")</x:f>
      </x:c>
      <x:c r="C3656" s="1">
        <x:f>IFERROR(__xludf.DUMMYFUNCTION("""COMPUTED_VALUE"""),"1999")</x:f>
      </x:c>
    </x:row>
    <x:row r="3657" spans="1:10">
      <x:c r="A3657" s="1" t="s">
        <x:v>3666</x:v>
      </x:c>
      <x:c r="B3657" s="1">
        <x:f>IFERROR(__xludf.DUMMYFUNCTION("""COMPUTED_VALUE"""),"L'esdeveniment")</x:f>
      </x:c>
      <x:c r="C3657" s="1">
        <x:f>IFERROR(__xludf.DUMMYFUNCTION("""COMPUTED_VALUE"""),"2021")</x:f>
      </x:c>
    </x:row>
    <x:row r="3658" spans="1:10">
      <x:c r="A3658" s="1" t="s">
        <x:v>3667</x:v>
      </x:c>
      <x:c r="B3658" s="1">
        <x:f>IFERROR(__xludf.DUMMYFUNCTION("""COMPUTED_VALUE"""),"L'espantataurons")</x:f>
      </x:c>
      <x:c r="C3658" s="1">
        <x:f>IFERROR(__xludf.DUMMYFUNCTION("""COMPUTED_VALUE"""),"2004")</x:f>
      </x:c>
    </x:row>
    <x:row r="3659" spans="1:10">
      <x:c r="A3659" s="1" t="s">
        <x:v>3668</x:v>
      </x:c>
      <x:c r="B3659" s="1">
        <x:f>IFERROR(__xludf.DUMMYFUNCTION("""COMPUTED_VALUE"""),"L'espasa mil-lenaria")</x:f>
      </x:c>
      <x:c r="C3659" s="1">
        <x:f>IFERROR(__xludf.DUMMYFUNCTION("""COMPUTED_VALUE"""),"1993")</x:f>
      </x:c>
    </x:row>
    <x:row r="3660" spans="1:10">
      <x:c r="A3660" s="1" t="s">
        <x:v>3669</x:v>
      </x:c>
      <x:c r="B3660" s="1">
        <x:f>IFERROR(__xludf.DUMMYFUNCTION("""COMPUTED_VALUE"""),"L'especialista")</x:f>
      </x:c>
      <x:c r="C3660" s="1">
        <x:f>IFERROR(__xludf.DUMMYFUNCTION("""COMPUTED_VALUE"""),"1994")</x:f>
      </x:c>
    </x:row>
    <x:row r="3661" spans="1:10">
      <x:c r="A3661" s="1" t="s">
        <x:v>3670</x:v>
      </x:c>
      <x:c r="B3661" s="1">
        <x:f>IFERROR(__xludf.DUMMYFUNCTION("""COMPUTED_VALUE"""),"L'esperit burleta")</x:f>
      </x:c>
      <x:c r="C3661" s="1">
        <x:f>IFERROR(__xludf.DUMMYFUNCTION("""COMPUTED_VALUE"""),"2020")</x:f>
      </x:c>
    </x:row>
    <x:row r="3662" spans="1:10">
      <x:c r="A3662" s="1" t="s">
        <x:v>3671</x:v>
      </x:c>
      <x:c r="B3662" s="1">
        <x:f>IFERROR(__xludf.DUMMYFUNCTION("""COMPUTED_VALUE"""),"L'Esperit del Bosc")</x:f>
      </x:c>
      <x:c r="C3662" s="1">
        <x:f>IFERROR(__xludf.DUMMYFUNCTION("""COMPUTED_VALUE"""),"2008")</x:f>
      </x:c>
    </x:row>
    <x:row r="3663" spans="1:10">
      <x:c r="A3663" s="1" t="s">
        <x:v>3672</x:v>
      </x:c>
      <x:c r="B3663" s="1">
        <x:f>IFERROR(__xludf.DUMMYFUNCTION("""COMPUTED_VALUE"""),"L'espia")</x:f>
      </x:c>
      <x:c r="C3663" s="1">
        <x:f>IFERROR(__xludf.DUMMYFUNCTION("""COMPUTED_VALUE"""),"2019")</x:f>
      </x:c>
    </x:row>
    <x:row r="3664" spans="1:10">
      <x:c r="A3664" s="1" t="s">
        <x:v>3673</x:v>
      </x:c>
      <x:c r="B3664" s="1">
        <x:f>IFERROR(__xludf.DUMMYFUNCTION("""COMPUTED_VALUE"""),"L'espia que em va estimar")</x:f>
      </x:c>
      <x:c r="C3664" s="1">
        <x:f>IFERROR(__xludf.DUMMYFUNCTION("""COMPUTED_VALUE"""),"1977")</x:f>
      </x:c>
    </x:row>
    <x:row r="3665" spans="1:10">
      <x:c r="A3665" s="1" t="s">
        <x:v>3674</x:v>
      </x:c>
      <x:c r="B3665" s="1">
        <x:f>IFERROR(__xludf.DUMMYFUNCTION("""COMPUTED_VALUE"""),"L'espia que em va plantar")</x:f>
      </x:c>
      <x:c r="C3665" s="1">
        <x:f>IFERROR(__xludf.DUMMYFUNCTION("""COMPUTED_VALUE"""),"2018")</x:f>
      </x:c>
    </x:row>
    <x:row r="3666" spans="1:10">
      <x:c r="A3666" s="1" t="s">
        <x:v>3675</x:v>
      </x:c>
      <x:c r="B3666" s="1">
        <x:f>IFERROR(__xludf.DUMMYFUNCTION("""COMPUTED_VALUE"""),"L'espòs infeliç [VOSC]")</x:f>
      </x:c>
      <x:c r="C3666" s="1">
        <x:f>IFERROR(__xludf.DUMMYFUNCTION("""COMPUTED_VALUE"""),"2021")</x:f>
      </x:c>
    </x:row>
    <x:row r="3667" spans="1:10">
      <x:c r="A3667" s="1" t="s">
        <x:v>3676</x:v>
      </x:c>
      <x:c r="B3667" s="1">
        <x:f>IFERROR(__xludf.DUMMYFUNCTION("""COMPUTED_VALUE"""),"L'esposa de Txaikovski")</x:f>
      </x:c>
      <x:c r="C3667" s="1">
        <x:f>IFERROR(__xludf.DUMMYFUNCTION("""COMPUTED_VALUE"""),"2022")</x:f>
      </x:c>
    </x:row>
    <x:row r="3668" spans="1:10">
      <x:c r="A3668" s="1" t="s">
        <x:v>3677</x:v>
      </x:c>
      <x:c r="B3668" s="1">
        <x:f>IFERROR(__xludf.DUMMYFUNCTION("""COMPUTED_VALUE"""),"L'esquadró suïcida")</x:f>
      </x:c>
      <x:c r="C3668" s="1">
        <x:f>IFERROR(__xludf.DUMMYFUNCTION("""COMPUTED_VALUE"""),"2016")</x:f>
      </x:c>
    </x:row>
    <x:row r="3669" spans="1:10">
      <x:c r="A3669" s="1" t="s">
        <x:v>3678</x:v>
      </x:c>
      <x:c r="B3669" s="1">
        <x:f>IFERROR(__xludf.DUMMYFUNCTION("""COMPUTED_VALUE"""),"L'ésser perfecte")</x:f>
      </x:c>
      <x:c r="C3669" s="1">
        <x:f>IFERROR(__xludf.DUMMYFUNCTION("""COMPUTED_VALUE"""),"2006")</x:f>
      </x:c>
    </x:row>
    <x:row r="3670" spans="1:10">
      <x:c r="A3670" s="1" t="s">
        <x:v>3679</x:v>
      </x:c>
      <x:c r="B3670" s="1">
        <x:f>IFERROR(__xludf.DUMMYFUNCTION("""COMPUTED_VALUE"""),"L'estafa")</x:f>
      </x:c>
      <x:c r="C3670" s="1">
        <x:f>IFERROR(__xludf.DUMMYFUNCTION("""COMPUTED_VALUE"""),"2019")</x:f>
      </x:c>
    </x:row>
    <x:row r="3671" spans="1:10">
      <x:c r="A3671" s="1" t="s">
        <x:v>3680</x:v>
      </x:c>
      <x:c r="B3671" s="1">
        <x:f>IFERROR(__xludf.DUMMYFUNCTION("""COMPUTED_VALUE"""),"L'estel misteriós")</x:f>
      </x:c>
      <x:c r="C3671" s="1">
        <x:f>IFERROR(__xludf.DUMMYFUNCTION("""COMPUTED_VALUE"""),"1991")</x:f>
      </x:c>
    </x:row>
    <x:row r="3672" spans="1:10">
      <x:c r="A3672" s="1" t="s">
        <x:v>3681</x:v>
      </x:c>
      <x:c r="B3672" s="1">
        <x:f>IFERROR(__xludf.DUMMYFUNCTION("""COMPUTED_VALUE"""),"L'estelada de Verdun")</x:f>
      </x:c>
      <x:c r="C3672" s="1">
        <x:f>IFERROR(__xludf.DUMMYFUNCTION("""COMPUTED_VALUE"""),"2014")</x:f>
      </x:c>
    </x:row>
    <x:row r="3673" spans="1:10">
      <x:c r="A3673" s="1" t="s">
        <x:v>3682</x:v>
      </x:c>
      <x:c r="B3673" s="1">
        <x:f>IFERROR(__xludf.DUMMYFUNCTION("""COMPUTED_VALUE"""),"L'estelada, un símbol provisional")</x:f>
      </x:c>
      <x:c r="C3673" s="1">
        <x:f>IFERROR(__xludf.DUMMYFUNCTION("""COMPUTED_VALUE"""),"2013")</x:f>
      </x:c>
    </x:row>
    <x:row r="3674" spans="1:10">
      <x:c r="A3674" s="1" t="s">
        <x:v>3683</x:v>
      </x:c>
      <x:c r="B3674" s="1">
        <x:f>IFERROR(__xludf.DUMMYFUNCTION("""COMPUTED_VALUE"""),"L'estil americà")</x:f>
      </x:c>
      <x:c r="C3674" s="1">
        <x:f>IFERROR(__xludf.DUMMYFUNCTION("""COMPUTED_VALUE"""),"1986")</x:f>
      </x:c>
    </x:row>
    <x:row r="3675" spans="1:10">
      <x:c r="A3675" s="1" t="s">
        <x:v>3684</x:v>
      </x:c>
      <x:c r="B3675" s="1">
        <x:f>IFERROR(__xludf.DUMMYFUNCTION("""COMPUTED_VALUE"""),"L'estiu de la seva vida")</x:f>
      </x:c>
      <x:c r="C3675" s="1">
        <x:f>IFERROR(__xludf.DUMMYFUNCTION("""COMPUTED_VALUE"""),"2012")</x:f>
      </x:c>
    </x:row>
    <x:row r="3676" spans="1:10">
      <x:c r="A3676" s="1" t="s">
        <x:v>3685</x:v>
      </x:c>
      <x:c r="B3676" s="1">
        <x:f>IFERROR(__xludf.DUMMYFUNCTION("""COMPUTED_VALUE"""),"L'estrany amor de Martha Ivers")</x:f>
      </x:c>
      <x:c r="C3676" s="1">
        <x:f>IFERROR(__xludf.DUMMYFUNCTION("""COMPUTED_VALUE"""),"1946")</x:f>
      </x:c>
    </x:row>
    <x:row r="3677" spans="1:10">
      <x:c r="A3677" s="1" t="s">
        <x:v>3686</x:v>
      </x:c>
      <x:c r="B3677" s="1">
        <x:f>IFERROR(__xludf.DUMMYFUNCTION("""COMPUTED_VALUE"""),"L'estratègia de Putin")</x:f>
      </x:c>
      <x:c r="C3677" s="1">
        <x:f>IFERROR(__xludf.DUMMYFUNCTION("""COMPUTED_VALUE"""),"2022")</x:f>
      </x:c>
    </x:row>
    <x:row r="3678" spans="1:10">
      <x:c r="A3678" s="1" t="s">
        <x:v>3687</x:v>
      </x:c>
      <x:c r="B3678" s="1">
        <x:f>IFERROR(__xludf.DUMMYFUNCTION("""COMPUTED_VALUE"""),"L'estratègia del cucut")</x:f>
      </x:c>
      <x:c r="C3678" s="1">
        <x:f>IFERROR(__xludf.DUMMYFUNCTION("""COMPUTED_VALUE"""),"2001")</x:f>
      </x:c>
    </x:row>
    <x:row r="3679" spans="1:10">
      <x:c r="A3679" s="1" t="s">
        <x:v>3688</x:v>
      </x:c>
      <x:c r="B3679" s="1">
        <x:f>IFERROR(__xludf.DUMMYFUNCTION("""COMPUTED_VALUE"""),"L'exèrcit de les ombres")</x:f>
      </x:c>
      <x:c r="C3679" s="1">
        <x:f>IFERROR(__xludf.DUMMYFUNCTION("""COMPUTED_VALUE"""),"1969")</x:f>
      </x:c>
    </x:row>
    <x:row r="3680" spans="1:10">
      <x:c r="A3680" s="1" t="s">
        <x:v>3689</x:v>
      </x:c>
      <x:c r="B3680" s="1">
        <x:f>IFERROR(__xludf.DUMMYFUNCTION("""COMPUTED_VALUE"""),"L'exèrcit del pare")</x:f>
      </x:c>
      <x:c r="C3680" s="1">
        <x:f>IFERROR(__xludf.DUMMYFUNCTION("""COMPUTED_VALUE"""),"2016")</x:f>
      </x:c>
    </x:row>
    <x:row r="3681" spans="1:10">
      <x:c r="A3681" s="1" t="s">
        <x:v>3690</x:v>
      </x:c>
      <x:c r="B3681" s="1">
        <x:f>IFERROR(__xludf.DUMMYFUNCTION("""COMPUTED_VALUE"""),"L'Exili de Kobane")</x:f>
      </x:c>
      <x:c r="C3681" s="1">
        <x:f>IFERROR(__xludf.DUMMYFUNCTION("""COMPUTED_VALUE"""),"2015")</x:f>
      </x:c>
    </x:row>
    <x:row r="3682" spans="1:10">
      <x:c r="A3682" s="1" t="s">
        <x:v>3691</x:v>
      </x:c>
      <x:c r="B3682" s="1">
        <x:f>IFERROR(__xludf.DUMMYFUNCTION("""COMPUTED_VALUE"""),"L'èxit de la temporada")</x:f>
      </x:c>
      <x:c r="C3682" s="1">
        <x:f>IFERROR(__xludf.DUMMYFUNCTION("""COMPUTED_VALUE"""),"2022")</x:f>
      </x:c>
    </x:row>
    <x:row r="3683" spans="1:10">
      <x:c r="A3683" s="1" t="s">
        <x:v>3692</x:v>
      </x:c>
      <x:c r="B3683" s="1">
        <x:f>IFERROR(__xludf.DUMMYFUNCTION("""COMPUTED_VALUE"""),"L’exorcisme de l’Emily Rose")</x:f>
      </x:c>
      <x:c r="C3683" s="1">
        <x:f>IFERROR(__xludf.DUMMYFUNCTION("""COMPUTED_VALUE"""),"2005")</x:f>
      </x:c>
    </x:row>
    <x:row r="3684" spans="1:10">
      <x:c r="A3684" s="1" t="s">
        <x:v>3693</x:v>
      </x:c>
      <x:c r="B3684" s="1">
        <x:f>IFERROR(__xludf.DUMMYFUNCTION("""COMPUTED_VALUE"""),"L'exorcista: El muntatge del director")</x:f>
      </x:c>
      <x:c r="C3684" s="1">
        <x:f>IFERROR(__xludf.DUMMYFUNCTION("""COMPUTED_VALUE"""),"1973")</x:f>
      </x:c>
    </x:row>
    <x:row r="3685" spans="1:10">
      <x:c r="A3685" s="1" t="s">
        <x:v>3694</x:v>
      </x:c>
      <x:c r="B3685" s="1">
        <x:f>IFERROR(__xludf.DUMMYFUNCTION("""COMPUTED_VALUE"""),"L'exòtic Hotel Marigold")</x:f>
      </x:c>
      <x:c r="C3685" s="1">
        <x:f>IFERROR(__xludf.DUMMYFUNCTION("""COMPUTED_VALUE"""),"2011")</x:f>
      </x:c>
    </x:row>
    <x:row r="3686" spans="1:10">
      <x:c r="A3686" s="1" t="s">
        <x:v>3695</x:v>
      </x:c>
      <x:c r="B3686" s="1">
        <x:f>IFERROR(__xludf.DUMMYFUNCTION("""COMPUTED_VALUE"""),"L'Expedient Berlín")</x:f>
      </x:c>
      <x:c r="C3686" s="1">
        <x:f>IFERROR(__xludf.DUMMYFUNCTION("""COMPUTED_VALUE"""),"2013")</x:f>
      </x:c>
    </x:row>
    <x:row r="3687" spans="1:10">
      <x:c r="A3687" s="1" t="s">
        <x:v>3696</x:v>
      </x:c>
      <x:c r="B3687" s="1">
        <x:f>IFERROR(__xludf.DUMMYFUNCTION("""COMPUTED_VALUE"""),"L'expedient Warren")</x:f>
      </x:c>
      <x:c r="C3687" s="1">
        <x:f>IFERROR(__xludf.DUMMYFUNCTION("""COMPUTED_VALUE"""),"2013")</x:f>
      </x:c>
    </x:row>
    <x:row r="3688" spans="1:10">
      <x:c r="A3688" s="1" t="s">
        <x:v>3697</x:v>
      </x:c>
      <x:c r="B3688" s="1">
        <x:f>IFERROR(__xludf.DUMMYFUNCTION("""COMPUTED_VALUE"""),"L'expedient Warren: El cas Enfield")</x:f>
      </x:c>
      <x:c r="C3688" s="1">
        <x:f>IFERROR(__xludf.DUMMYFUNCTION("""COMPUTED_VALUE"""),"2016")</x:f>
      </x:c>
    </x:row>
    <x:row r="3689" spans="1:10">
      <x:c r="A3689" s="1" t="s">
        <x:v>3698</x:v>
      </x:c>
      <x:c r="B3689" s="1">
        <x:f>IFERROR(__xludf.DUMMYFUNCTION("""COMPUTED_VALUE"""),"L'experiment")</x:f>
      </x:c>
      <x:c r="C3689" s="1">
        <x:f>IFERROR(__xludf.DUMMYFUNCTION("""COMPUTED_VALUE"""),"2001")</x:f>
      </x:c>
    </x:row>
    <x:row r="3690" spans="1:10">
      <x:c r="A3690" s="1" t="s">
        <x:v>3699</x:v>
      </x:c>
      <x:c r="B3690" s="1">
        <x:f>IFERROR(__xludf.DUMMYFUNCTION("""COMPUTED_VALUE"""),"L'experiment Belko")</x:f>
      </x:c>
      <x:c r="C3690" s="1">
        <x:f>IFERROR(__xludf.DUMMYFUNCTION("""COMPUTED_VALUE"""),"2016")</x:f>
      </x:c>
    </x:row>
    <x:row r="3691" spans="1:10">
      <x:c r="A3691" s="1" t="s">
        <x:v>3700</x:v>
      </x:c>
      <x:c r="B3691" s="1">
        <x:f>IFERROR(__xludf.DUMMYFUNCTION("""COMPUTED_VALUE"""),"L'experiment del doctor Quatermass")</x:f>
      </x:c>
      <x:c r="C3691" s="1">
        <x:f>IFERROR(__xludf.DUMMYFUNCTION("""COMPUTED_VALUE"""),"1955")</x:f>
      </x:c>
    </x:row>
    <x:row r="3692" spans="1:10">
      <x:c r="A3692" s="1" t="s">
        <x:v>3701</x:v>
      </x:c>
      <x:c r="B3692" s="1">
        <x:f>IFERROR(__xludf.DUMMYFUNCTION("""COMPUTED_VALUE"""),"L'exprés de mitjanit")</x:f>
      </x:c>
      <x:c r="C3692" s="1">
        <x:f>IFERROR(__xludf.DUMMYFUNCTION("""COMPUTED_VALUE"""),"1978")</x:f>
      </x:c>
    </x:row>
    <x:row r="3693" spans="1:10">
      <x:c r="A3693" s="1" t="s">
        <x:v>3702</x:v>
      </x:c>
      <x:c r="B3693" s="1">
        <x:f>IFERROR(__xludf.DUMMYFUNCTION("""COMPUTED_VALUE"""),"L'extraordinari viatge de T.S. Spivet")</x:f>
      </x:c>
      <x:c r="C3693" s="1">
        <x:f>IFERROR(__xludf.DUMMYFUNCTION("""COMPUTED_VALUE"""),"2013")</x:f>
      </x:c>
    </x:row>
    <x:row r="3694" spans="1:10">
      <x:c r="A3694" s="1" t="s">
        <x:v>3703</x:v>
      </x:c>
      <x:c r="B3694" s="1">
        <x:f>IFERROR(__xludf.DUMMYFUNCTION("""COMPUTED_VALUE"""),"L'habitació")</x:f>
      </x:c>
      <x:c r="C3694" s="1">
        <x:f>IFERROR(__xludf.DUMMYFUNCTION("""COMPUTED_VALUE"""),"2015")</x:f>
      </x:c>
    </x:row>
    <x:row r="3695" spans="1:10">
      <x:c r="A3695" s="1" t="s">
        <x:v>3704</x:v>
      </x:c>
      <x:c r="B3695" s="1">
        <x:f>IFERROR(__xludf.DUMMYFUNCTION("""COMPUTED_VALUE"""),"L'habitació 1408")</x:f>
      </x:c>
      <x:c r="C3695" s="1">
        <x:f>IFERROR(__xludf.DUMMYFUNCTION("""COMPUTED_VALUE"""),"2007")</x:f>
      </x:c>
    </x:row>
    <x:row r="3696" spans="1:10">
      <x:c r="A3696" s="1" t="s">
        <x:v>3705</x:v>
      </x:c>
      <x:c r="B3696" s="1">
        <x:f>IFERROR(__xludf.DUMMYFUNCTION("""COMPUTED_VALUE"""),"L'habitació d'en Marvin")</x:f>
      </x:c>
      <x:c r="C3696" s="1">
        <x:f>IFERROR(__xludf.DUMMYFUNCTION("""COMPUTED_VALUE"""),"1996")</x:f>
      </x:c>
    </x:row>
    <x:row r="3697" spans="1:10">
      <x:c r="A3697" s="1" t="s">
        <x:v>3706</x:v>
      </x:c>
      <x:c r="B3697" s="1">
        <x:f>IFERROR(__xludf.DUMMYFUNCTION("""COMPUTED_VALUE"""),"L'habitació de Fermat")</x:f>
      </x:c>
      <x:c r="C3697" s="1">
        <x:f>IFERROR(__xludf.DUMMYFUNCTION("""COMPUTED_VALUE"""),"2007")</x:f>
      </x:c>
    </x:row>
    <x:row r="3698" spans="1:10">
      <x:c r="A3698" s="1" t="s">
        <x:v>3707</x:v>
      </x:c>
      <x:c r="B3698" s="1">
        <x:f>IFERROR(__xludf.DUMMYFUNCTION("""COMPUTED_VALUE"""),"L'habitació del pànic")</x:f>
      </x:c>
      <x:c r="C3698" s="1">
        <x:f>IFERROR(__xludf.DUMMYFUNCTION("""COMPUTED_VALUE"""),"2002")</x:f>
      </x:c>
    </x:row>
    <x:row r="3699" spans="1:10">
      <x:c r="A3699" s="1" t="s">
        <x:v>3708</x:v>
      </x:c>
      <x:c r="B3699" s="1">
        <x:f>IFERROR(__xludf.DUMMYFUNCTION("""COMPUTED_VALUE"""),"L'herència")</x:f>
      </x:c>
      <x:c r="C3699" s="1">
        <x:f>IFERROR(__xludf.DUMMYFUNCTION("""COMPUTED_VALUE"""),"2016")</x:f>
      </x:c>
    </x:row>
    <x:row r="3700" spans="1:10">
      <x:c r="A3700" s="1" t="s">
        <x:v>3709</x:v>
      </x:c>
      <x:c r="B3700" s="1">
        <x:f>IFERROR(__xludf.DUMMYFUNCTION("""COMPUTED_VALUE"""),"L'hèroe")</x:f>
      </x:c>
      <x:c r="C3700" s="1">
        <x:f>IFERROR(__xludf.DUMMYFUNCTION("""COMPUTED_VALUE"""),"2021")</x:f>
      </x:c>
    </x:row>
    <x:row r="3701" spans="1:10">
      <x:c r="A3701" s="1" t="s">
        <x:v>3710</x:v>
      </x:c>
      <x:c r="B3701" s="1">
        <x:f>IFERROR(__xludf.DUMMYFUNCTION("""COMPUTED_VALUE"""),"L'heroi de Berlín")</x:f>
      </x:c>
      <x:c r="C3701" s="1">
        <x:f>IFERROR(__xludf.DUMMYFUNCTION("""COMPUTED_VALUE"""),"2016")</x:f>
      </x:c>
    </x:row>
    <x:row r="3702" spans="1:10">
      <x:c r="A3702" s="1" t="s">
        <x:v>3711</x:v>
      </x:c>
      <x:c r="B3702" s="1">
        <x:f>IFERROR(__xludf.DUMMYFUNCTION("""COMPUTED_VALUE"""),"L'heroi del coco")</x:f>
      </x:c>
      <x:c r="C3702" s="1">
        <x:f>IFERROR(__xludf.DUMMYFUNCTION("""COMPUTED_VALUE"""),"2015")</x:f>
      </x:c>
    </x:row>
    <x:row r="3703" spans="1:10">
      <x:c r="A3703" s="1" t="s">
        <x:v>3712</x:v>
      </x:c>
      <x:c r="B3703" s="1">
        <x:f>IFERROR(__xludf.DUMMYFUNCTION("""COMPUTED_VALUE"""),"L'hivern i la primavera al regne d'Escampeta")</x:f>
      </x:c>
      <x:c r="C3703" s="1">
        <x:f>IFERROR(__xludf.DUMMYFUNCTION("""COMPUTED_VALUE"""),"2008")</x:f>
      </x:c>
    </x:row>
    <x:row r="3704" spans="1:10">
      <x:c r="A3704" s="1" t="s">
        <x:v>3713</x:v>
      </x:c>
      <x:c r="B3704" s="1">
        <x:f>IFERROR(__xludf.DUMMYFUNCTION("""COMPUTED_VALUE"""),"L'home bicentenari")</x:f>
      </x:c>
      <x:c r="C3704" s="1">
        <x:f>IFERROR(__xludf.DUMMYFUNCTION("""COMPUTED_VALUE"""),"1999")</x:f>
      </x:c>
    </x:row>
    <x:row r="3705" spans="1:10">
      <x:c r="A3705" s="1" t="s">
        <x:v>3714</x:v>
      </x:c>
      <x:c r="B3705" s="1">
        <x:f>IFERROR(__xludf.DUMMYFUNCTION("""COMPUTED_VALUE"""),"L'home d'acer")</x:f>
      </x:c>
      <x:c r="C3705" s="1">
        <x:f>IFERROR(__xludf.DUMMYFUNCTION("""COMPUTED_VALUE"""),"2013")</x:f>
      </x:c>
    </x:row>
    <x:row r="3706" spans="1:10">
      <x:c r="A3706" s="1" t="s">
        <x:v>3715</x:v>
      </x:c>
      <x:c r="B3706" s="1">
        <x:f>IFERROR(__xludf.DUMMYFUNCTION("""COMPUTED_VALUE"""),"L'home d'Alcatraz")</x:f>
      </x:c>
      <x:c r="C3706" s="1">
        <x:f>IFERROR(__xludf.DUMMYFUNCTION("""COMPUTED_VALUE"""),"1962")</x:f>
      </x:c>
    </x:row>
    <x:row r="3707" spans="1:10">
      <x:c r="A3707" s="1" t="s">
        <x:v>3716</x:v>
      </x:c>
      <x:c r="B3707" s="1">
        <x:f>IFERROR(__xludf.DUMMYFUNCTION("""COMPUTED_VALUE"""),"L'home d'enlloc")</x:f>
      </x:c>
      <x:c r="C3707" s="1">
        <x:f>IFERROR(__xludf.DUMMYFUNCTION("""COMPUTED_VALUE"""),"2010")</x:f>
      </x:c>
    </x:row>
    <x:row r="3708" spans="1:10">
      <x:c r="A3708" s="1" t="s">
        <x:v>3717</x:v>
      </x:c>
      <x:c r="B3708" s="1">
        <x:f>IFERROR(__xludf.DUMMYFUNCTION("""COMPUTED_VALUE"""),"L'home de Colorado")</x:f>
      </x:c>
      <x:c r="C3708" s="1">
        <x:f>IFERROR(__xludf.DUMMYFUNCTION("""COMPUTED_VALUE"""),"1948")</x:f>
      </x:c>
    </x:row>
    <x:row r="3709" spans="1:10">
      <x:c r="A3709" s="1" t="s">
        <x:v>3718</x:v>
      </x:c>
      <x:c r="B3709" s="1">
        <x:f>IFERROR(__xludf.DUMMYFUNCTION("""COMPUTED_VALUE"""),"L'home de l'oest")</x:f>
      </x:c>
      <x:c r="C3709" s="1">
        <x:f>IFERROR(__xludf.DUMMYFUNCTION("""COMPUTED_VALUE"""),"1958")</x:f>
      </x:c>
    </x:row>
    <x:row r="3710" spans="1:10">
      <x:c r="A3710" s="1" t="s">
        <x:v>3719</x:v>
      </x:c>
      <x:c r="B3710" s="1">
        <x:f>IFERROR(__xludf.DUMMYFUNCTION("""COMPUTED_VALUE"""),"L'home de la camisa taronja")</x:f>
      </x:c>
      <x:c r="C3710" s="1">
        <x:f>IFERROR(__xludf.DUMMYFUNCTION("""COMPUTED_VALUE"""),"2017")</x:f>
      </x:c>
    </x:row>
    <x:row r="3711" spans="1:10">
      <x:c r="A3711" s="1" t="s">
        <x:v>3720</x:v>
      </x:c>
      <x:c r="B3711" s="1">
        <x:f>IFERROR(__xludf.DUMMYFUNCTION("""COMPUTED_VALUE"""),"L'home de la casa")</x:f>
      </x:c>
      <x:c r="C3711" s="1">
        <x:f>IFERROR(__xludf.DUMMYFUNCTION("""COMPUTED_VALUE"""),"2005")</x:f>
      </x:c>
    </x:row>
    <x:row r="3712" spans="1:10">
      <x:c r="A3712" s="1" t="s">
        <x:v>3721</x:v>
      </x:c>
      <x:c r="B3712" s="1">
        <x:f>IFERROR(__xludf.DUMMYFUNCTION("""COMPUTED_VALUE"""),"L'home de la cornisa")</x:f>
      </x:c>
      <x:c r="C3712" s="1">
        <x:f>IFERROR(__xludf.DUMMYFUNCTION("""COMPUTED_VALUE"""),"2012")</x:f>
      </x:c>
    </x:row>
    <x:row r="3713" spans="1:10">
      <x:c r="A3713" s="1" t="s">
        <x:v>3722</x:v>
      </x:c>
      <x:c r="B3713" s="1">
        <x:f>IFERROR(__xludf.DUMMYFUNCTION("""COMPUTED_VALUE"""),"L'home de la pistola d'or")</x:f>
      </x:c>
      <x:c r="C3713" s="1">
        <x:f>IFERROR(__xludf.DUMMYFUNCTION("""COMPUTED_VALUE"""),"1974")</x:f>
      </x:c>
    </x:row>
    <x:row r="3714" spans="1:10">
      <x:c r="A3714" s="1" t="s">
        <x:v>3723</x:v>
      </x:c>
      <x:c r="B3714" s="1">
        <x:f>IFERROR(__xludf.DUMMYFUNCTION("""COMPUTED_VALUE"""),"L'home de Laramie")</x:f>
      </x:c>
      <x:c r="C3714" s="1">
        <x:f>IFERROR(__xludf.DUMMYFUNCTION("""COMPUTED_VALUE"""),"1955")</x:f>
      </x:c>
    </x:row>
    <x:row r="3715" spans="1:10">
      <x:c r="A3715" s="1" t="s">
        <x:v>3724</x:v>
      </x:c>
      <x:c r="B3715" s="1">
        <x:f>IFERROR(__xludf.DUMMYFUNCTION("""COMPUTED_VALUE"""),"L'home de les estrelles")</x:f>
      </x:c>
      <x:c r="C3715" s="1">
        <x:f>IFERROR(__xludf.DUMMYFUNCTION("""COMPUTED_VALUE"""),"1995")</x:f>
      </x:c>
    </x:row>
    <x:row r="3716" spans="1:10">
      <x:c r="A3716" s="1" t="s">
        <x:v>3725</x:v>
      </x:c>
      <x:c r="B3716" s="1">
        <x:f>IFERROR(__xludf.DUMMYFUNCTION("""COMPUTED_VALUE"""),"L'home de les ombres")</x:f>
      </x:c>
      <x:c r="C3716" s="1">
        <x:f>IFERROR(__xludf.DUMMYFUNCTION("""COMPUTED_VALUE"""),"2012")</x:f>
      </x:c>
    </x:row>
    <x:row r="3717" spans="1:10">
      <x:c r="A3717" s="1" t="s">
        <x:v>3726</x:v>
      </x:c>
      <x:c r="B3717" s="1">
        <x:f>IFERROR(__xludf.DUMMYFUNCTION("""COMPUTED_VALUE"""),"L'home del braç d'or")</x:f>
      </x:c>
      <x:c r="C3717" s="1">
        <x:f>IFERROR(__xludf.DUMMYFUNCTION("""COMPUTED_VALUE"""),"1955")</x:f>
      </x:c>
    </x:row>
    <x:row r="3718" spans="1:10">
      <x:c r="A3718" s="1" t="s">
        <x:v>3727</x:v>
      </x:c>
      <x:c r="B3718" s="1">
        <x:f>IFERROR(__xludf.DUMMYFUNCTION("""COMPUTED_VALUE"""),"L'home del carrer")</x:f>
      </x:c>
      <x:c r="C3718" s="1">
        <x:f>IFERROR(__xludf.DUMMYFUNCTION("""COMPUTED_VALUE"""),"1941")</x:f>
      </x:c>
    </x:row>
    <x:row r="3719" spans="1:10">
      <x:c r="A3719" s="1" t="s">
        <x:v>3728</x:v>
      </x:c>
      <x:c r="B3719" s="1">
        <x:f>IFERROR(__xludf.DUMMYFUNCTION("""COMPUTED_VALUE"""),"L'home del cor de ferro")</x:f>
      </x:c>
      <x:c r="C3719" s="1">
        <x:f>IFERROR(__xludf.DUMMYFUNCTION("""COMPUTED_VALUE"""),"2017")</x:f>
      </x:c>
    </x:row>
    <x:row r="3720" spans="1:10">
      <x:c r="A3720" s="1" t="s">
        <x:v>3729</x:v>
      </x:c>
      <x:c r="B3720" s="1">
        <x:f>IFERROR(__xludf.DUMMYFUNCTION("""COMPUTED_VALUE"""),"L'home del metro")</x:f>
      </x:c>
      <x:c r="C3720" s="1">
        <x:f>IFERROR(__xludf.DUMMYFUNCTION("""COMPUTED_VALUE"""),"2014")</x:f>
      </x:c>
    </x:row>
    <x:row r="3721" spans="1:10">
      <x:c r="A3721" s="1" t="s">
        <x:v>3730</x:v>
      </x:c>
      <x:c r="B3721" s="1">
        <x:f>IFERROR(__xludf.DUMMYFUNCTION("""COMPUTED_VALUE"""),"L'home del planeta X")</x:f>
      </x:c>
      <x:c r="C3721" s="1">
        <x:f>IFERROR(__xludf.DUMMYFUNCTION("""COMPUTED_VALUE"""),"1951")</x:f>
      </x:c>
    </x:row>
    <x:row r="3722" spans="1:10">
      <x:c r="A3722" s="1" t="s">
        <x:v>3731</x:v>
      </x:c>
      <x:c r="B3722" s="1">
        <x:f>IFERROR(__xludf.DUMMYFUNCTION("""COMPUTED_VALUE"""),"L'home dels nassos")</x:f>
      </x:c>
      <x:c r="C3722" s="1">
        <x:f>IFERROR(__xludf.DUMMYFUNCTION("""COMPUTED_VALUE"""),"2023")</x:f>
      </x:c>
    </x:row>
    <x:row r="3723" spans="1:10">
      <x:c r="A3723" s="1" t="s">
        <x:v>3732</x:v>
      </x:c>
      <x:c r="B3723" s="1">
        <x:f>IFERROR(__xludf.DUMMYFUNCTION("""COMPUTED_VALUE"""),"L'home dibuixat. Una conversa amb Jaume Sisa")</x:f>
      </x:c>
      <x:c r="C3723" s="1">
        <x:f>IFERROR(__xludf.DUMMYFUNCTION("""COMPUTED_VALUE"""),"2021")</x:f>
      </x:c>
    </x:row>
    <x:row r="3724" spans="1:10">
      <x:c r="A3724" s="1" t="s">
        <x:v>3733</x:v>
      </x:c>
      <x:c r="B3724" s="1">
        <x:f>IFERROR(__xludf.DUMMYFUNCTION("""COMPUTED_VALUE"""),"L’home elefant")</x:f>
      </x:c>
      <x:c r="C3724" s="1">
        <x:f>IFERROR(__xludf.DUMMYFUNCTION("""COMPUTED_VALUE"""),"1980")</x:f>
      </x:c>
    </x:row>
    <x:row r="3725" spans="1:10">
      <x:c r="A3725" s="1" t="s">
        <x:v>3734</x:v>
      </x:c>
      <x:c r="B3725" s="1">
        <x:f>IFERROR(__xludf.DUMMYFUNCTION("""COMPUTED_VALUE"""),"L'home invisible")</x:f>
      </x:c>
      <x:c r="C3725" s="1">
        <x:f>IFERROR(__xludf.DUMMYFUNCTION("""COMPUTED_VALUE"""),"1933")</x:f>
      </x:c>
    </x:row>
    <x:row r="3726" spans="1:10">
      <x:c r="A3726" s="1" t="s">
        <x:v>3735</x:v>
      </x:c>
      <x:c r="B3726" s="1">
        <x:f>IFERROR(__xludf.DUMMYFUNCTION("""COMPUTED_VALUE"""),"L'home llop")</x:f>
      </x:c>
      <x:c r="C3726" s="1">
        <x:f>IFERROR(__xludf.DUMMYFUNCTION("""COMPUTED_VALUE"""),"2010")</x:f>
      </x:c>
    </x:row>
    <x:row r="3727" spans="1:10">
      <x:c r="A3727" s="1" t="s">
        <x:v>3736</x:v>
      </x:c>
      <x:c r="B3727" s="1">
        <x:f>IFERROR(__xludf.DUMMYFUNCTION("""COMPUTED_VALUE"""),"L'home llop [VOSC]")</x:f>
      </x:c>
      <x:c r="C3727" s="1">
        <x:f>IFERROR(__xludf.DUMMYFUNCTION("""COMPUTED_VALUE"""),"1941")</x:f>
      </x:c>
    </x:row>
    <x:row r="3728" spans="1:10">
      <x:c r="A3728" s="1" t="s">
        <x:v>3737</x:v>
      </x:c>
      <x:c r="B3728" s="1">
        <x:f>IFERROR(__xludf.DUMMYFUNCTION("""COMPUTED_VALUE"""),"L'home més enfadat de Brooklyn")</x:f>
      </x:c>
      <x:c r="C3728" s="1">
        <x:f>IFERROR(__xludf.DUMMYFUNCTION("""COMPUTED_VALUE"""),"2014")</x:f>
      </x:c>
    </x:row>
    <x:row r="3729" spans="1:10">
      <x:c r="A3729" s="1" t="s">
        <x:v>3738</x:v>
      </x:c>
      <x:c r="B3729" s="1">
        <x:f>IFERROR(__xludf.DUMMYFUNCTION("""COMPUTED_VALUE"""),"L'home omega")</x:f>
      </x:c>
      <x:c r="C3729" s="1">
        <x:f>IFERROR(__xludf.DUMMYFUNCTION("""COMPUTED_VALUE"""),"1971")</x:f>
      </x:c>
    </x:row>
    <x:row r="3730" spans="1:10">
      <x:c r="A3730" s="1" t="s">
        <x:v>3739</x:v>
      </x:c>
      <x:c r="B3730" s="1">
        <x:f>IFERROR(__xludf.DUMMYFUNCTION("""COMPUTED_VALUE"""),"L'home perfecte")</x:f>
      </x:c>
      <x:c r="C3730" s="1">
        <x:f>IFERROR(__xludf.DUMMYFUNCTION("""COMPUTED_VALUE"""),"2021")</x:f>
      </x:c>
    </x:row>
    <x:row r="3731" spans="1:10">
      <x:c r="A3731" s="1" t="s">
        <x:v>3740</x:v>
      </x:c>
      <x:c r="B3731" s="1">
        <x:f>IFERROR(__xludf.DUMMYFUNCTION("""COMPUTED_VALUE"""),"L'home que coneixia l'infinit")</x:f>
      </x:c>
      <x:c r="C3731" s="1">
        <x:f>IFERROR(__xludf.DUMMYFUNCTION("""COMPUTED_VALUE"""),"2015")</x:f>
      </x:c>
    </x:row>
    <x:row r="3732" spans="1:10">
      <x:c r="A3732" s="1" t="s">
        <x:v>3741</x:v>
      </x:c>
      <x:c r="B3732" s="1">
        <x:f>IFERROR(__xludf.DUMMYFUNCTION("""COMPUTED_VALUE"""),"L'home que plantava arbres [VOSC]")</x:f>
      </x:c>
      <x:c r="C3732" s="1">
        <x:f>IFERROR(__xludf.DUMMYFUNCTION("""COMPUTED_VALUE"""),"1987")</x:f>
      </x:c>
    </x:row>
    <x:row r="3733" spans="1:10">
      <x:c r="A3733" s="1" t="s">
        <x:v>3742</x:v>
      </x:c>
      <x:c r="B3733" s="1">
        <x:f>IFERROR(__xludf.DUMMYFUNCTION("""COMPUTED_VALUE"""),"L'home que sabia massa")</x:f>
      </x:c>
      <x:c r="C3733" s="1">
        <x:f>IFERROR(__xludf.DUMMYFUNCTION("""COMPUTED_VALUE"""),"1956")</x:f>
      </x:c>
    </x:row>
    <x:row r="3734" spans="1:10">
      <x:c r="A3734" s="1" t="s">
        <x:v>3743</x:v>
      </x:c>
      <x:c r="B3734" s="1">
        <x:f>IFERROR(__xludf.DUMMYFUNCTION("""COMPUTED_VALUE"""),"L'home que va inventar el Nadal")</x:f>
      </x:c>
      <x:c r="C3734" s="1">
        <x:f>IFERROR(__xludf.DUMMYFUNCTION("""COMPUTED_VALUE"""),"2017")</x:f>
      </x:c>
    </x:row>
    <x:row r="3735" spans="1:10">
      <x:c r="A3735" s="1" t="s">
        <x:v>3744</x:v>
      </x:c>
      <x:c r="B3735" s="1">
        <x:f>IFERROR(__xludf.DUMMYFUNCTION("""COMPUTED_VALUE"""),"L'home que va matar Hitler i després el Bigfoot")</x:f>
      </x:c>
      <x:c r="C3735" s="1">
        <x:f>IFERROR(__xludf.DUMMYFUNCTION("""COMPUTED_VALUE"""),"2018")</x:f>
      </x:c>
    </x:row>
    <x:row r="3736" spans="1:10">
      <x:c r="A3736" s="1" t="s">
        <x:v>3745</x:v>
      </x:c>
      <x:c r="B3736" s="1">
        <x:f>IFERROR(__xludf.DUMMYFUNCTION("""COMPUTED_VALUE"""),"L'home que va matar Liberty Valance")</x:f>
      </x:c>
      <x:c r="C3736" s="1">
        <x:f>IFERROR(__xludf.DUMMYFUNCTION("""COMPUTED_VALUE"""),"1962")</x:f>
      </x:c>
    </x:row>
    <x:row r="3737" spans="1:10">
      <x:c r="A3737" s="1" t="s">
        <x:v>3746</x:v>
      </x:c>
      <x:c r="B3737" s="1">
        <x:f>IFERROR(__xludf.DUMMYFUNCTION("""COMPUTED_VALUE"""),"L'home sense ombra")</x:f>
      </x:c>
      <x:c r="C3737" s="1">
        <x:f>IFERROR(__xludf.DUMMYFUNCTION("""COMPUTED_VALUE"""),"2000")</x:f>
      </x:c>
    </x:row>
    <x:row r="3738" spans="1:10">
      <x:c r="A3738" s="1" t="s">
        <x:v>3747</x:v>
      </x:c>
      <x:c r="B3738" s="1">
        <x:f>IFERROR(__xludf.DUMMYFUNCTION("""COMPUTED_VALUE"""),"L'honor del comandant Lex")</x:f>
      </x:c>
      <x:c r="C3738" s="1">
        <x:f>IFERROR(__xludf.DUMMYFUNCTION("""COMPUTED_VALUE"""),"1952")</x:f>
      </x:c>
    </x:row>
    <x:row r="3739" spans="1:10">
      <x:c r="A3739" s="1" t="s">
        <x:v>3748</x:v>
      </x:c>
      <x:c r="B3739" s="1">
        <x:f>IFERROR(__xludf.DUMMYFUNCTION("""COMPUTED_VALUE"""),"L'hora 25")</x:f>
      </x:c>
      <x:c r="C3739" s="1">
        <x:f>IFERROR(__xludf.DUMMYFUNCTION("""COMPUTED_VALUE"""),"1967")</x:f>
      </x:c>
    </x:row>
    <x:row r="3740" spans="1:10">
      <x:c r="A3740" s="1" t="s">
        <x:v>3749</x:v>
      </x:c>
      <x:c r="B3740" s="1">
        <x:f>IFERROR(__xludf.DUMMYFUNCTION("""COMPUTED_VALUE"""),"L'hora d'estiu")</x:f>
      </x:c>
      <x:c r="C3740" s="1">
        <x:f>IFERROR(__xludf.DUMMYFUNCTION("""COMPUTED_VALUE"""),"2008")</x:f>
      </x:c>
    </x:row>
    <x:row r="3741" spans="1:10">
      <x:c r="A3741" s="1" t="s">
        <x:v>3750</x:v>
      </x:c>
      <x:c r="B3741" s="1">
        <x:f>IFERROR(__xludf.DUMMYFUNCTION("""COMPUTED_VALUE"""),"L'hora de les pistoles")</x:f>
      </x:c>
      <x:c r="C3741" s="1">
        <x:f>IFERROR(__xludf.DUMMYFUNCTION("""COMPUTED_VALUE"""),"1967")</x:f>
      </x:c>
    </x:row>
    <x:row r="3742" spans="1:10">
      <x:c r="A3742" s="1" t="s">
        <x:v>3751</x:v>
      </x:c>
      <x:c r="B3742" s="1">
        <x:f>IFERROR(__xludf.DUMMYFUNCTION("""COMPUTED_VALUE"""),"L'hora del pati")</x:f>
      </x:c>
      <x:c r="C3742" s="1">
        <x:f>IFERROR(__xludf.DUMMYFUNCTION("""COMPUTED_VALUE"""),"2010")</x:f>
      </x:c>
    </x:row>
    <x:row r="3743" spans="1:10">
      <x:c r="A3743" s="1" t="s">
        <x:v>3752</x:v>
      </x:c>
      <x:c r="B3743" s="1">
        <x:f>IFERROR(__xludf.DUMMYFUNCTION("""COMPUTED_VALUE"""),"L'hostal de la Glòria")</x:f>
      </x:c>
      <x:c r="C3743" s="1">
        <x:f>IFERROR(__xludf.DUMMYFUNCTION("""COMPUTED_VALUE"""),"1992")</x:f>
      </x:c>
    </x:row>
    <x:row r="3744" spans="1:10">
      <x:c r="A3744" s="1" t="s">
        <x:v>3753</x:v>
      </x:c>
      <x:c r="B3744" s="1">
        <x:f>IFERROR(__xludf.DUMMYFUNCTION("""COMPUTED_VALUE"""),"L'hostal vermell")</x:f>
      </x:c>
      <x:c r="C3744" s="1">
        <x:f>IFERROR(__xludf.DUMMYFUNCTION("""COMPUTED_VALUE"""),"2007")</x:f>
      </x:c>
    </x:row>
    <x:row r="3745" spans="1:10">
      <x:c r="A3745" s="1" t="s">
        <x:v>3754</x:v>
      </x:c>
      <x:c r="B3745" s="1">
        <x:f>IFERROR(__xludf.DUMMYFUNCTION("""COMPUTED_VALUE"""),"L'hoste")</x:f>
      </x:c>
      <x:c r="C3745" s="1">
        <x:f>IFERROR(__xludf.DUMMYFUNCTION("""COMPUTED_VALUE"""),"2006")</x:f>
      </x:c>
    </x:row>
    <x:row r="3746" spans="1:10">
      <x:c r="A3746" s="1" t="s">
        <x:v>3755</x:v>
      </x:c>
      <x:c r="B3746" s="1">
        <x:f>IFERROR(__xludf.DUMMYFUNCTION("""COMPUTED_VALUE"""),"L'hoste (The Host)")</x:f>
      </x:c>
      <x:c r="C3746" s="1">
        <x:f>IFERROR(__xludf.DUMMYFUNCTION("""COMPUTED_VALUE"""),"2013")</x:f>
      </x:c>
    </x:row>
    <x:row r="3747" spans="1:10">
      <x:c r="A3747" s="1" t="s">
        <x:v>3756</x:v>
      </x:c>
      <x:c r="B3747" s="1">
        <x:f>IFERROR(__xludf.DUMMYFUNCTION("""COMPUTED_VALUE"""),"L'Hotel Royal")</x:f>
      </x:c>
      <x:c r="C3747" s="1">
        <x:f>IFERROR(__xludf.DUMMYFUNCTION("""COMPUTED_VALUE"""),"2023")</x:f>
      </x:c>
    </x:row>
    <x:row r="3748" spans="1:10">
      <x:c r="A3748" s="1" t="s">
        <x:v>3757</x:v>
      </x:c>
      <x:c r="B3748" s="1">
        <x:f>IFERROR(__xludf.DUMMYFUNCTION("""COMPUTED_VALUE"""),"L'idioma imposible")</x:f>
      </x:c>
      <x:c r="C3748" s="1">
        <x:f>IFERROR(__xludf.DUMMYFUNCTION("""COMPUTED_VALUE"""),"2010")</x:f>
      </x:c>
    </x:row>
    <x:row r="3749" spans="1:10">
      <x:c r="A3749" s="1" t="s">
        <x:v>3758</x:v>
      </x:c>
      <x:c r="B3749" s="1">
        <x:f>IFERROR(__xludf.DUMMYFUNCTION("""COMPUTED_VALUE"""),"L'ídol caigut")</x:f>
      </x:c>
      <x:c r="C3749" s="1">
        <x:f>IFERROR(__xludf.DUMMYFUNCTION("""COMPUTED_VALUE"""),"1948")</x:f>
      </x:c>
    </x:row>
    <x:row r="3750" spans="1:10">
      <x:c r="A3750" s="1" t="s">
        <x:v>3759</x:v>
      </x:c>
      <x:c r="B3750" s="1">
        <x:f>IFERROR(__xludf.DUMMYFUNCTION("""COMPUTED_VALUE"""),"L'illa")</x:f>
      </x:c>
      <x:c r="C3750" s="1">
        <x:f>IFERROR(__xludf.DUMMYFUNCTION("""COMPUTED_VALUE"""),"2005")</x:f>
      </x:c>
    </x:row>
    <x:row r="3751" spans="1:10">
      <x:c r="A3751" s="1" t="s">
        <x:v>3760</x:v>
      </x:c>
      <x:c r="B3751" s="1">
        <x:f>IFERROR(__xludf.DUMMYFUNCTION("""COMPUTED_VALUE"""),"L'illa de l'Ós")</x:f>
      </x:c>
      <x:c r="C3751" s="1">
        <x:f>IFERROR(__xludf.DUMMYFUNCTION("""COMPUTED_VALUE"""),"1979")</x:f>
      </x:c>
    </x:row>
    <x:row r="3752" spans="1:10">
      <x:c r="A3752" s="1" t="s">
        <x:v>3761</x:v>
      </x:c>
      <x:c r="B3752" s="1">
        <x:f>IFERROR(__xludf.DUMMYFUNCTION("""COMPUTED_VALUE"""),"L'illa de la Nim")</x:f>
      </x:c>
      <x:c r="C3752" s="1">
        <x:f>IFERROR(__xludf.DUMMYFUNCTION("""COMPUTED_VALUE"""),"2008")</x:f>
      </x:c>
    </x:row>
    <x:row r="3753" spans="1:10">
      <x:c r="A3753" s="1" t="s">
        <x:v>3762</x:v>
      </x:c>
      <x:c r="B3753" s="1">
        <x:f>IFERROR(__xludf.DUMMYFUNCTION("""COMPUTED_VALUE"""),"L'illa de les ànimes perdudes")</x:f>
      </x:c>
      <x:c r="C3753" s="1">
        <x:f>IFERROR(__xludf.DUMMYFUNCTION("""COMPUTED_VALUE"""),"2007")</x:f>
      </x:c>
    </x:row>
    <x:row r="3754" spans="1:10">
      <x:c r="A3754" s="1" t="s">
        <x:v>3763</x:v>
      </x:c>
      <x:c r="B3754" s="1">
        <x:f>IFERROR(__xludf.DUMMYFUNCTION("""COMPUTED_VALUE"""),"L'illa del Dr. Moreau")</x:f>
      </x:c>
      <x:c r="C3754" s="1">
        <x:f>IFERROR(__xludf.DUMMYFUNCTION("""COMPUTED_VALUE"""),"1977")</x:f>
      </x:c>
    </x:row>
    <x:row r="3755" spans="1:10">
      <x:c r="A3755" s="1" t="s">
        <x:v>3764</x:v>
      </x:c>
      <x:c r="B3755" s="1">
        <x:f>IFERROR(__xludf.DUMMYFUNCTION("""COMPUTED_VALUE"""),"L'illa dels oblidats")</x:f>
      </x:c>
      <x:c r="C3755" s="1">
        <x:f>IFERROR(__xludf.DUMMYFUNCTION("""COMPUTED_VALUE"""),"2010")</x:f>
      </x:c>
    </x:row>
    <x:row r="3756" spans="1:10">
      <x:c r="A3756" s="1" t="s">
        <x:v>3765</x:v>
      </x:c>
      <x:c r="B3756" s="1">
        <x:f>IFERROR(__xludf.DUMMYFUNCTION("""COMPUTED_VALUE"""),"L'illa dels records i el mirall màgic")</x:f>
      </x:c>
      <x:c r="C3756" s="1">
        <x:f>IFERROR(__xludf.DUMMYFUNCTION("""COMPUTED_VALUE"""),"2009")</x:f>
      </x:c>
    </x:row>
    <x:row r="3757" spans="1:10">
      <x:c r="A3757" s="1" t="s">
        <x:v>3766</x:v>
      </x:c>
      <x:c r="B3757" s="1">
        <x:f>IFERROR(__xludf.DUMMYFUNCTION("""COMPUTED_VALUE"""),"L'illa Negra")</x:f>
      </x:c>
      <x:c r="C3757" s="1">
        <x:f>IFERROR(__xludf.DUMMYFUNCTION("""COMPUTED_VALUE"""),"1991")</x:f>
      </x:c>
    </x:row>
    <x:row r="3758" spans="1:10">
      <x:c r="A3758" s="1" t="s">
        <x:v>3767</x:v>
      </x:c>
      <x:c r="B3758" s="1">
        <x:f>IFERROR(__xludf.DUMMYFUNCTION("""COMPUTED_VALUE"""),"L'il·lusionista")</x:f>
      </x:c>
      <x:c r="C3758" s="1">
        <x:f>IFERROR(__xludf.DUMMYFUNCTION("""COMPUTED_VALUE"""),"2006")</x:f>
      </x:c>
    </x:row>
    <x:row r="3759" spans="1:10">
      <x:c r="A3759" s="1" t="s">
        <x:v>3768</x:v>
      </x:c>
      <x:c r="B3759" s="1">
        <x:f>IFERROR(__xludf.DUMMYFUNCTION("""COMPUTED_VALUE"""),"L'il·lusionista")</x:f>
      </x:c>
      <x:c r="C3759" s="1">
        <x:f>IFERROR(__xludf.DUMMYFUNCTION("""COMPUTED_VALUE"""),"2024")</x:f>
      </x:c>
    </x:row>
    <x:row r="3760" spans="1:10">
      <x:c r="A3760" s="1" t="s">
        <x:v>3769</x:v>
      </x:c>
      <x:c r="B3760" s="1">
        <x:f>IFERROR(__xludf.DUMMYFUNCTION("""COMPUTED_VALUE"""),"L'illusionniste [VOSC]")</x:f>
      </x:c>
      <x:c r="C3760" s="1">
        <x:f>IFERROR(__xludf.DUMMYFUNCTION("""COMPUTED_VALUE"""),"2010")</x:f>
      </x:c>
    </x:row>
    <x:row r="3761" spans="1:10">
      <x:c r="A3761" s="1" t="s">
        <x:v>3770</x:v>
      </x:c>
      <x:c r="B3761" s="1">
        <x:f>IFERROR(__xludf.DUMMYFUNCTION("""COMPUTED_VALUE"""),"L'imaginari del Doctor Parnassus")</x:f>
      </x:c>
      <x:c r="C3761" s="1">
        <x:f>IFERROR(__xludf.DUMMYFUNCTION("""COMPUTED_VALUE"""),"2009")</x:f>
      </x:c>
    </x:row>
    <x:row r="3762" spans="1:10">
      <x:c r="A3762" s="1" t="s">
        <x:v>3771</x:v>
      </x:c>
      <x:c r="B3762" s="1">
        <x:f>IFERROR(__xludf.DUMMYFUNCTION("""COMPUTED_VALUE"""),"L'immigrant")</x:f>
      </x:c>
      <x:c r="C3762" s="1">
        <x:f>IFERROR(__xludf.DUMMYFUNCTION("""COMPUTED_VALUE"""),"1917")</x:f>
      </x:c>
    </x:row>
    <x:row r="3763" spans="1:10">
      <x:c r="A3763" s="1" t="s">
        <x:v>3772</x:v>
      </x:c>
      <x:c r="B3763" s="1">
        <x:f>IFERROR(__xludf.DUMMYFUNCTION("""COMPUTED_VALUE"""),"L'Imperi del Sol")</x:f>
      </x:c>
      <x:c r="C3763" s="1">
        <x:f>IFERROR(__xludf.DUMMYFUNCTION("""COMPUTED_VALUE"""),"1987")</x:f>
      </x:c>
    </x:row>
    <x:row r="3764" spans="1:10">
      <x:c r="A3764" s="1" t="s">
        <x:v>3773</x:v>
      </x:c>
      <x:c r="B3764" s="1">
        <x:f>IFERROR(__xludf.DUMMYFUNCTION("""COMPUTED_VALUE"""),"L'imperi dels llops")</x:f>
      </x:c>
      <x:c r="C3764" s="1">
        <x:f>IFERROR(__xludf.DUMMYFUNCTION("""COMPUTED_VALUE"""),"2005")</x:f>
      </x:c>
    </x:row>
    <x:row r="3765" spans="1:10">
      <x:c r="A3765" s="1" t="s">
        <x:v>3774</x:v>
      </x:c>
      <x:c r="B3765" s="1">
        <x:f>IFERROR(__xludf.DUMMYFUNCTION("""COMPUTED_VALUE"""),"L'incident [VOSC]")</x:f>
      </x:c>
      <x:c r="C3765" s="1">
        <x:f>IFERROR(__xludf.DUMMYFUNCTION("""COMPUTED_VALUE"""),"1967")</x:f>
      </x:c>
    </x:row>
    <x:row r="3766" spans="1:10">
      <x:c r="A3766" s="1" t="s">
        <x:v>3775</x:v>
      </x:c>
      <x:c r="B3766" s="1">
        <x:f>IFERROR(__xludf.DUMMYFUNCTION("""COMPUTED_VALUE"""),"L'increïble Hulk")</x:f>
      </x:c>
      <x:c r="C3766" s="1">
        <x:f>IFERROR(__xludf.DUMMYFUNCTION("""COMPUTED_VALUE"""),"2008")</x:f>
      </x:c>
    </x:row>
    <x:row r="3767" spans="1:10">
      <x:c r="A3767" s="1" t="s">
        <x:v>3776</x:v>
      </x:c>
      <x:c r="B3767" s="1">
        <x:f>IFERROR(__xludf.DUMMYFUNCTION("""COMPUTED_VALUE"""),"L'infern")</x:f>
      </x:c>
      <x:c r="C3767" s="1">
        <x:f>IFERROR(__xludf.DUMMYFUNCTION("""COMPUTED_VALUE"""),"2005")</x:f>
      </x:c>
    </x:row>
    <x:row r="3768" spans="1:10">
      <x:c r="A3768" s="1" t="s">
        <x:v>3777</x:v>
      </x:c>
      <x:c r="B3768" s="1">
        <x:f>IFERROR(__xludf.DUMMYFUNCTION("""COMPUTED_VALUE"""),"L'infinit [VOSC]")</x:f>
      </x:c>
      <x:c r="C3768" s="1">
        <x:f>IFERROR(__xludf.DUMMYFUNCTION("""COMPUTED_VALUE"""),"2017")</x:f>
      </x:c>
    </x:row>
    <x:row r="3769" spans="1:10">
      <x:c r="A3769" s="1" t="s">
        <x:v>3778</x:v>
      </x:c>
      <x:c r="B3769" s="1">
        <x:f>IFERROR(__xludf.DUMMYFUNCTION("""COMPUTED_VALUE"""),"L'informe Auschwitz")</x:f>
      </x:c>
      <x:c r="C3769" s="1">
        <x:f>IFERROR(__xludf.DUMMYFUNCTION("""COMPUTED_VALUE"""),"2021")</x:f>
      </x:c>
    </x:row>
    <x:row r="3770" spans="1:10">
      <x:c r="A3770" s="1" t="s">
        <x:v>3779</x:v>
      </x:c>
      <x:c r="B3770" s="1">
        <x:f>IFERROR(__xludf.DUMMYFUNCTION("""COMPUTED_VALUE"""),"L'innocent")</x:f>
      </x:c>
      <x:c r="C3770" s="1">
        <x:f>IFERROR(__xludf.DUMMYFUNCTION("""COMPUTED_VALUE"""),"1976")</x:f>
      </x:c>
    </x:row>
    <x:row r="3771" spans="1:10">
      <x:c r="A3771" s="1" t="s">
        <x:v>3780</x:v>
      </x:c>
      <x:c r="B3771" s="1">
        <x:f>IFERROR(__xludf.DUMMYFUNCTION("""COMPUTED_VALUE"""),"L'innocent")</x:f>
      </x:c>
      <x:c r="C3771" s="1">
        <x:f>IFERROR(__xludf.DUMMYFUNCTION("""COMPUTED_VALUE"""),"2011")</x:f>
      </x:c>
    </x:row>
    <x:row r="3772" spans="1:10">
      <x:c r="A3772" s="1" t="s">
        <x:v>3781</x:v>
      </x:c>
      <x:c r="B3772" s="1">
        <x:f>IFERROR(__xludf.DUMMYFUNCTION("""COMPUTED_VALUE"""),"L'inspector general")</x:f>
      </x:c>
      <x:c r="C3772" s="1">
        <x:f>IFERROR(__xludf.DUMMYFUNCTION("""COMPUTED_VALUE"""),"1949")</x:f>
      </x:c>
    </x:row>
    <x:row r="3773" spans="1:10">
      <x:c r="A3773" s="1" t="s">
        <x:v>3782</x:v>
      </x:c>
      <x:c r="B3773" s="1">
        <x:f>IFERROR(__xludf.DUMMYFUNCTION("""COMPUTED_VALUE"""),"L'inspector Lavardin")</x:f>
      </x:c>
      <x:c r="C3773" s="1">
        <x:f>IFERROR(__xludf.DUMMYFUNCTION("""COMPUTED_VALUE"""),"1986")</x:f>
      </x:c>
    </x:row>
    <x:row r="3774" spans="1:10">
      <x:c r="A3774" s="1" t="s">
        <x:v>3783</x:v>
      </x:c>
      <x:c r="B3774" s="1">
        <x:f>IFERROR(__xludf.DUMMYFUNCTION("""COMPUTED_VALUE"""),"L'intercanvi")</x:f>
      </x:c>
      <x:c r="C3774" s="1">
        <x:f>IFERROR(__xludf.DUMMYFUNCTION("""COMPUTED_VALUE"""),"2008")</x:f>
      </x:c>
    </x:row>
    <x:row r="3775" spans="1:10">
      <x:c r="A3775" s="1" t="s">
        <x:v>3784</x:v>
      </x:c>
      <x:c r="B3775" s="1">
        <x:f>IFERROR(__xludf.DUMMYFUNCTION("""COMPUTED_VALUE"""),"L'intrús")</x:f>
      </x:c>
      <x:c r="C3775" s="1">
        <x:f>IFERROR(__xludf.DUMMYFUNCTION("""COMPUTED_VALUE"""),"2004")</x:f>
      </x:c>
    </x:row>
    <x:row r="3776" spans="1:10">
      <x:c r="A3776" s="1" t="s">
        <x:v>3785</x:v>
      </x:c>
      <x:c r="B3776" s="1">
        <x:f>IFERROR(__xludf.DUMMYFUNCTION("""COMPUTED_VALUE"""),"L'irlandès")</x:f>
      </x:c>
      <x:c r="C3776" s="1">
        <x:f>IFERROR(__xludf.DUMMYFUNCTION("""COMPUTED_VALUE"""),"2011")</x:f>
      </x:c>
    </x:row>
    <x:row r="3777" spans="1:10">
      <x:c r="A3777" s="1" t="s">
        <x:v>3786</x:v>
      </x:c>
      <x:c r="B3777" s="1">
        <x:f>IFERROR(__xludf.DUMMYFUNCTION("""COMPUTED_VALUE"""),"L'OBC a la Sagrada Família")</x:f>
      </x:c>
      <x:c r="C3777" s="1">
        <x:f>IFERROR(__xludf.DUMMYFUNCTION("""COMPUTED_VALUE"""),"2015")</x:f>
      </x:c>
    </x:row>
    <x:row r="3778" spans="1:10">
      <x:c r="A3778" s="1" t="s">
        <x:v>3787</x:v>
      </x:c>
      <x:c r="B3778" s="1">
        <x:f>IFERROR(__xludf.DUMMYFUNCTION("""COMPUTED_VALUE"""),"L'obsessió d'una professora")</x:f>
      </x:c>
      <x:c r="C3778" s="1">
        <x:f>IFERROR(__xludf.DUMMYFUNCTION("""COMPUTED_VALUE"""),"2015")</x:f>
      </x:c>
    </x:row>
    <x:row r="3779" spans="1:10">
      <x:c r="A3779" s="1" t="s">
        <x:v>3788</x:v>
      </x:c>
      <x:c r="B3779" s="1">
        <x:f>IFERROR(__xludf.DUMMYFUNCTION("""COMPUTED_VALUE"""),"L'ocult")</x:f>
      </x:c>
      <x:c r="C3779" s="1">
        <x:f>IFERROR(__xludf.DUMMYFUNCTION("""COMPUTED_VALUE"""),"1987")</x:f>
      </x:c>
    </x:row>
    <x:row r="3780" spans="1:10">
      <x:c r="A3780" s="1" t="s">
        <x:v>3789</x:v>
      </x:c>
      <x:c r="B3780" s="1">
        <x:f>IFERROR(__xludf.DUMMYFUNCTION("""COMPUTED_VALUE"""),"L'odissea")</x:f>
      </x:c>
      <x:c r="C3780" s="1">
        <x:f>IFERROR(__xludf.DUMMYFUNCTION("""COMPUTED_VALUE"""),"2016")</x:f>
      </x:c>
    </x:row>
    <x:row r="3781" spans="1:10">
      <x:c r="A3781" s="1" t="s">
        <x:v>3790</x:v>
      </x:c>
      <x:c r="B3781" s="1">
        <x:f>IFERROR(__xludf.DUMMYFUNCTION("""COMPUTED_VALUE"""),"L'odissea del llop")</x:f>
      </x:c>
      <x:c r="C3781" s="1">
        <x:f>IFERROR(__xludf.DUMMYFUNCTION("""COMPUTED_VALUE"""),"2019")</x:f>
      </x:c>
    </x:row>
    <x:row r="3782" spans="1:10">
      <x:c r="A3782" s="1" t="s">
        <x:v>3791</x:v>
      </x:c>
      <x:c r="B3782" s="1">
        <x:f>IFERROR(__xludf.DUMMYFUNCTION("""COMPUTED_VALUE"""),"L'ofici d'aprendre")</x:f>
      </x:c>
      <x:c r="C3782" s="1">
        <x:f>IFERROR(__xludf.DUMMYFUNCTION("""COMPUTED_VALUE"""),"2021")</x:f>
      </x:c>
    </x:row>
    <x:row r="3783" spans="1:10">
      <x:c r="A3783" s="1" t="s">
        <x:v>3792</x:v>
      </x:c>
      <x:c r="B3783" s="1">
        <x:f>IFERROR(__xludf.DUMMYFUNCTION("""COMPUTED_VALUE"""),"L’oficial i l’espia")</x:f>
      </x:c>
      <x:c r="C3783" s="1">
        <x:f>IFERROR(__xludf.DUMMYFUNCTION("""COMPUTED_VALUE"""),"2019")</x:f>
      </x:c>
    </x:row>
    <x:row r="3784" spans="1:10">
      <x:c r="A3784" s="1" t="s">
        <x:v>3793</x:v>
      </x:c>
      <x:c r="B3784" s="1">
        <x:f>IFERROR(__xludf.DUMMYFUNCTION("""COMPUTED_VALUE"""),"L'ofrena")</x:f>
      </x:c>
      <x:c r="C3784" s="1">
        <x:f>IFERROR(__xludf.DUMMYFUNCTION("""COMPUTED_VALUE"""),"2020")</x:f>
      </x:c>
    </x:row>
    <x:row r="3785" spans="1:10">
      <x:c r="A3785" s="1" t="s">
        <x:v>3794</x:v>
      </x:c>
      <x:c r="B3785" s="1">
        <x:f>IFERROR(__xludf.DUMMYFUNCTION("""COMPUTED_VALUE"""),"L'ogre del meu sogre")</x:f>
      </x:c>
      <x:c r="C3785" s="1">
        <x:f>IFERROR(__xludf.DUMMYFUNCTION("""COMPUTED_VALUE"""),"2015")</x:f>
      </x:c>
    </x:row>
    <x:row r="3786" spans="1:10">
      <x:c r="A3786" s="1" t="s">
        <x:v>3795</x:v>
      </x:c>
      <x:c r="B3786" s="1">
        <x:f>IFERROR(__xludf.DUMMYFUNCTION("""COMPUTED_VALUE"""),"L'oli de la vida")</x:f>
      </x:c>
      <x:c r="C3786" s="1">
        <x:f>IFERROR(__xludf.DUMMYFUNCTION("""COMPUTED_VALUE"""),"1992")</x:f>
      </x:c>
    </x:row>
    <x:row r="3787" spans="1:10">
      <x:c r="A3787" s="1" t="s">
        <x:v>3796</x:v>
      </x:c>
      <x:c r="B3787" s="1">
        <x:f>IFERROR(__xludf.DUMMYFUNCTION("""COMPUTED_VALUE"""),"L'olla a pressió")</x:f>
      </x:c>
      <x:c r="C3787" s="1">
        <x:f>IFERROR(__xludf.DUMMYFUNCTION("""COMPUTED_VALUE"""),"2006")</x:f>
      </x:c>
    </x:row>
    <x:row r="3788" spans="1:10">
      <x:c r="A3788" s="1" t="s">
        <x:v>3797</x:v>
      </x:c>
      <x:c r="B3788" s="1">
        <x:f>IFERROR(__xludf.DUMMYFUNCTION("""COMPUTED_VALUE"""),"L'olla de grills")</x:f>
      </x:c>
      <x:c r="C3788" s="1">
        <x:f>IFERROR(__xludf.DUMMYFUNCTION("""COMPUTED_VALUE"""),"1996")</x:f>
      </x:c>
    </x:row>
    <x:row r="3789" spans="1:10">
      <x:c r="A3789" s="1" t="s">
        <x:v>3798</x:v>
      </x:c>
      <x:c r="B3789" s="1">
        <x:f>IFERROR(__xludf.DUMMYFUNCTION("""COMPUTED_VALUE"""),"L'ombra d'Evita")</x:f>
      </x:c>
      <x:c r="C3789" s="1">
        <x:f>IFERROR(__xludf.DUMMYFUNCTION("""COMPUTED_VALUE"""),"2011")</x:f>
      </x:c>
    </x:row>
    <x:row r="3790" spans="1:10">
      <x:c r="A3790" s="1" t="s">
        <x:v>3799</x:v>
      </x:c>
      <x:c r="B3790" s="1">
        <x:f>IFERROR(__xludf.DUMMYFUNCTION("""COMPUTED_VALUE"""),"L'ombra d'un segrest")</x:f>
      </x:c>
      <x:c r="C3790" s="1">
        <x:f>IFERROR(__xludf.DUMMYFUNCTION("""COMPUTED_VALUE"""),"2004")</x:f>
      </x:c>
    </x:row>
    <x:row r="3791" spans="1:10">
      <x:c r="A3791" s="1" t="s">
        <x:v>3800</x:v>
      </x:c>
      <x:c r="B3791" s="1">
        <x:f>IFERROR(__xludf.DUMMYFUNCTION("""COMPUTED_VALUE"""),"L'ombra de Caravaggio")</x:f>
      </x:c>
      <x:c r="C3791" s="1">
        <x:f>IFERROR(__xludf.DUMMYFUNCTION("""COMPUTED_VALUE"""),"2022")</x:f>
      </x:c>
    </x:row>
    <x:row r="3792" spans="1:10">
      <x:c r="A3792" s="1" t="s">
        <x:v>3801</x:v>
      </x:c>
      <x:c r="B3792" s="1">
        <x:f>IFERROR(__xludf.DUMMYFUNCTION("""COMPUTED_VALUE"""),"L'ombra de la llei")</x:f>
      </x:c>
      <x:c r="C3792" s="1">
        <x:f>IFERROR(__xludf.DUMMYFUNCTION("""COMPUTED_VALUE"""),"2018")</x:f>
      </x:c>
    </x:row>
    <x:row r="3793" spans="1:10">
      <x:c r="A3793" s="1" t="s">
        <x:v>3802</x:v>
      </x:c>
      <x:c r="B3793" s="1">
        <x:f>IFERROR(__xludf.DUMMYFUNCTION("""COMPUTED_VALUE"""),"L'ombra de la nit")</x:f>
      </x:c>
      <x:c r="C3793" s="1">
        <x:f>IFERROR(__xludf.DUMMYFUNCTION("""COMPUTED_VALUE"""),"1997")</x:f>
      </x:c>
    </x:row>
    <x:row r="3794" spans="1:10">
      <x:c r="A3794" s="1" t="s">
        <x:v>3803</x:v>
      </x:c>
      <x:c r="B3794" s="1">
        <x:f>IFERROR(__xludf.DUMMYFUNCTION("""COMPUTED_VALUE"""),"L'ombra de la sospita")</x:f>
      </x:c>
      <x:c r="C3794" s="1">
        <x:f>IFERROR(__xludf.DUMMYFUNCTION("""COMPUTED_VALUE"""),"1991")</x:f>
      </x:c>
    </x:row>
    <x:row r="3795" spans="1:10">
      <x:c r="A3795" s="1" t="s">
        <x:v>3804</x:v>
      </x:c>
      <x:c r="B3795" s="1">
        <x:f>IFERROR(__xludf.DUMMYFUNCTION("""COMPUTED_VALUE"""),"L'ombra de la traïció")</x:f>
      </x:c>
      <x:c r="C3795" s="1">
        <x:f>IFERROR(__xludf.DUMMYFUNCTION("""COMPUTED_VALUE"""),"2011")</x:f>
      </x:c>
    </x:row>
    <x:row r="3796" spans="1:10">
      <x:c r="A3796" s="1" t="s">
        <x:v>3805</x:v>
      </x:c>
      <x:c r="B3796" s="1">
        <x:f>IFERROR(__xludf.DUMMYFUNCTION("""COMPUTED_VALUE"""),"L'ombra de ningú")</x:f>
      </x:c>
      <x:c r="C3796" s="1">
        <x:f>IFERROR(__xludf.DUMMYFUNCTION("""COMPUTED_VALUE"""),"2006")</x:f>
      </x:c>
    </x:row>
    <x:row r="3797" spans="1:10">
      <x:c r="A3797" s="1" t="s">
        <x:v>3806</x:v>
      </x:c>
      <x:c r="B3797" s="1">
        <x:f>IFERROR(__xludf.DUMMYFUNCTION("""COMPUTED_VALUE"""),"L'ombra del diable")</x:f>
      </x:c>
      <x:c r="C3797" s="1">
        <x:f>IFERROR(__xludf.DUMMYFUNCTION("""COMPUTED_VALUE"""),"1997")</x:f>
      </x:c>
    </x:row>
    <x:row r="3798" spans="1:10">
      <x:c r="A3798" s="1" t="s">
        <x:v>3807</x:v>
      </x:c>
      <x:c r="B3798" s="1">
        <x:f>IFERROR(__xludf.DUMMYFUNCTION("""COMPUTED_VALUE"""),"L'ombra del faraó [VOSC]")</x:f>
      </x:c>
      <x:c r="C3798" s="1">
        <x:f>IFERROR(__xludf.DUMMYFUNCTION("""COMPUTED_VALUE"""),"1998")</x:f>
      </x:c>
    </x:row>
    <x:row r="3799" spans="1:10">
      <x:c r="A3799" s="1" t="s">
        <x:v>3808</x:v>
      </x:c>
      <x:c r="B3799" s="1">
        <x:f>IFERROR(__xludf.DUMMYFUNCTION("""COMPUTED_VALUE"""),"L'ombra del passat")</x:f>
      </x:c>
      <x:c r="C3799" s="1">
        <x:f>IFERROR(__xludf.DUMMYFUNCTION("""COMPUTED_VALUE"""),"2018")</x:f>
      </x:c>
    </x:row>
    <x:row r="3800" spans="1:10">
      <x:c r="A3800" s="1" t="s">
        <x:v>3809</x:v>
      </x:c>
      <x:c r="B3800" s="1">
        <x:f>IFERROR(__xludf.DUMMYFUNCTION("""COMPUTED_VALUE"""),"L'ombra del vampir")</x:f>
      </x:c>
      <x:c r="C3800" s="1">
        <x:f>IFERROR(__xludf.DUMMYFUNCTION("""COMPUTED_VALUE"""),"2000")</x:f>
      </x:c>
    </x:row>
    <x:row r="3801" spans="1:10">
      <x:c r="A3801" s="1" t="s">
        <x:v>3810</x:v>
      </x:c>
      <x:c r="B3801" s="1">
        <x:f>IFERROR(__xludf.DUMMYFUNCTION("""COMPUTED_VALUE"""),"L'onada")</x:f>
      </x:c>
      <x:c r="C3801" s="1">
        <x:f>IFERROR(__xludf.DUMMYFUNCTION("""COMPUTED_VALUE"""),"2008")</x:f>
      </x:c>
    </x:row>
    <x:row r="3802" spans="1:10">
      <x:c r="A3802" s="1" t="s">
        <x:v>3811</x:v>
      </x:c>
      <x:c r="B3802" s="1">
        <x:f>IFERROR(__xludf.DUMMYFUNCTION("""COMPUTED_VALUE"""),"L'oncle Boonmee recorda les seves vides anteriors [VOSC]")</x:f>
      </x:c>
      <x:c r="C3802" s="1">
        <x:f>IFERROR(__xludf.DUMMYFUNCTION("""COMPUTED_VALUE"""),"2010")</x:f>
      </x:c>
    </x:row>
    <x:row r="3803" spans="1:10">
      <x:c r="A3803" s="1" t="s">
        <x:v>3812</x:v>
      </x:c>
      <x:c r="B3803" s="1">
        <x:f>IFERROR(__xludf.DUMMYFUNCTION("""COMPUTED_VALUE"""),"L'oportunitat de la meva vida")</x:f>
      </x:c>
      <x:c r="C3803" s="1">
        <x:f>IFERROR(__xludf.DUMMYFUNCTION("""COMPUTED_VALUE"""),"2010")</x:f>
      </x:c>
    </x:row>
    <x:row r="3804" spans="1:10">
      <x:c r="A3804" s="1" t="s">
        <x:v>3813</x:v>
      </x:c>
      <x:c r="B3804" s="1">
        <x:f>IFERROR(__xludf.DUMMYFUNCTION("""COMPUTED_VALUE"""),"L'or d'en Mackenna")</x:f>
      </x:c>
      <x:c r="C3804" s="1">
        <x:f>IFERROR(__xludf.DUMMYFUNCTION("""COMPUTED_VALUE"""),"1969")</x:f>
      </x:c>
    </x:row>
    <x:row r="3805" spans="1:10">
      <x:c r="A3805" s="1" t="s">
        <x:v>3814</x:v>
      </x:c>
      <x:c r="B3805" s="1">
        <x:f>IFERROR(__xludf.DUMMYFUNCTION("""COMPUTED_VALUE"""),"L'orella escapçada")</x:f>
      </x:c>
      <x:c r="C3805" s="1">
        <x:f>IFERROR(__xludf.DUMMYFUNCTION("""COMPUTED_VALUE"""),"1991")</x:f>
      </x:c>
    </x:row>
    <x:row r="3806" spans="1:10">
      <x:c r="A3806" s="1" t="s">
        <x:v>3815</x:v>
      </x:c>
      <x:c r="B3806" s="1">
        <x:f>IFERROR(__xludf.DUMMYFUNCTION("""COMPUTED_VALUE"""),"L'Òrfena")</x:f>
      </x:c>
      <x:c r="C3806" s="1">
        <x:f>IFERROR(__xludf.DUMMYFUNCTION("""COMPUTED_VALUE"""),"2009")</x:f>
      </x:c>
    </x:row>
    <x:row r="3807" spans="1:10">
      <x:c r="A3807" s="1" t="s">
        <x:v>3816</x:v>
      </x:c>
      <x:c r="B3807" s="1">
        <x:f>IFERROR(__xludf.DUMMYFUNCTION("""COMPUTED_VALUE"""),"L'orfenat")</x:f>
      </x:c>
      <x:c r="C3807" s="1">
        <x:f>IFERROR(__xludf.DUMMYFUNCTION("""COMPUTED_VALUE"""),"2007")</x:f>
      </x:c>
    </x:row>
    <x:row r="3808" spans="1:10">
      <x:c r="A3808" s="1" t="s">
        <x:v>3817</x:v>
      </x:c>
      <x:c r="B3808" s="1">
        <x:f>IFERROR(__xludf.DUMMYFUNCTION("""COMPUTED_VALUE"""),"L'organitzadora de bodes")</x:f>
      </x:c>
      <x:c r="C3808" s="1">
        <x:f>IFERROR(__xludf.DUMMYFUNCTION("""COMPUTED_VALUE"""),"2017")</x:f>
      </x:c>
    </x:row>
    <x:row r="3809" spans="1:10">
      <x:c r="A3809" s="1" t="s">
        <x:v>3818</x:v>
      </x:c>
      <x:c r="B3809" s="1">
        <x:f>IFERROR(__xludf.DUMMYFUNCTION("""COMPUTED_VALUE"""),"L'orgia")</x:f>
      </x:c>
      <x:c r="C3809" s="1">
        <x:f>IFERROR(__xludf.DUMMYFUNCTION("""COMPUTED_VALUE"""),"1978")</x:f>
      </x:c>
    </x:row>
    <x:row r="3810" spans="1:10">
      <x:c r="A3810" s="1" t="s">
        <x:v>3819</x:v>
      </x:c>
      <x:c r="B3810" s="1">
        <x:f>IFERROR(__xludf.DUMMYFUNCTION("""COMPUTED_VALUE"""),"L'orígen de les curses de dracs")</x:f>
      </x:c>
      <x:c r="C3810" s="1">
        <x:f>IFERROR(__xludf.DUMMYFUNCTION("""COMPUTED_VALUE"""),"2014")</x:f>
      </x:c>
    </x:row>
    <x:row r="3811" spans="1:10">
      <x:c r="A3811" s="1" t="s">
        <x:v>3820</x:v>
      </x:c>
      <x:c r="B3811" s="1">
        <x:f>IFERROR(__xludf.DUMMYFUNCTION("""COMPUTED_VALUE"""),"L'origen del mal")</x:f>
      </x:c>
      <x:c r="C3811" s="1">
        <x:f>IFERROR(__xludf.DUMMYFUNCTION("""COMPUTED_VALUE"""),"2022")</x:f>
      </x:c>
    </x:row>
    <x:row r="3812" spans="1:10">
      <x:c r="A3812" s="1" t="s">
        <x:v>3821</x:v>
      </x:c>
      <x:c r="B3812" s="1">
        <x:f>IFERROR(__xludf.DUMMYFUNCTION("""COMPUTED_VALUE"""),"L'origen dels guardians")</x:f>
      </x:c>
      <x:c r="C3812" s="1">
        <x:f>IFERROR(__xludf.DUMMYFUNCTION("""COMPUTED_VALUE"""),"2012")</x:f>
      </x:c>
    </x:row>
    <x:row r="3813" spans="1:10">
      <x:c r="A3813" s="1" t="s">
        <x:v>3822</x:v>
      </x:c>
      <x:c r="B3813" s="1">
        <x:f>IFERROR(__xludf.DUMMYFUNCTION("""COMPUTED_VALUE"""),"L'Orquestra Plateria, una història")</x:f>
      </x:c>
      <x:c r="C3813" s="1">
        <x:f>IFERROR(__xludf.DUMMYFUNCTION("""COMPUTED_VALUE"""),"2015")</x:f>
      </x:c>
    </x:row>
    <x:row r="3814" spans="1:10">
      <x:c r="A3814" s="1" t="s">
        <x:v>3823</x:v>
      </x:c>
      <x:c r="B3814" s="1">
        <x:f>IFERROR(__xludf.DUMMYFUNCTION("""COMPUTED_VALUE"""),"L'os")</x:f>
      </x:c>
      <x:c r="C3814" s="1">
        <x:f>IFERROR(__xludf.DUMMYFUNCTION("""COMPUTED_VALUE"""),"1988")</x:f>
      </x:c>
    </x:row>
    <x:row r="3815" spans="1:10">
      <x:c r="A3815" s="1" t="s">
        <x:v>3824</x:v>
      </x:c>
      <x:c r="B3815" s="1">
        <x:f>IFERROR(__xludf.DUMMYFUNCTION("""COMPUTED_VALUE"""),"L'ós Yogi")</x:f>
      </x:c>
      <x:c r="C3815" s="1">
        <x:f>IFERROR(__xludf.DUMMYFUNCTION("""COMPUTED_VALUE"""),"2010")</x:f>
      </x:c>
    </x:row>
    <x:row r="3816" spans="1:10">
      <x:c r="A3816" s="1" t="s">
        <x:v>3825</x:v>
      </x:c>
      <x:c r="B3816" s="1">
        <x:f>IFERROR(__xludf.DUMMYFUNCTION("""COMPUTED_VALUE"""),"L'Ovidi: El making of de la pel·lícula que mai es va fer")</x:f>
      </x:c>
      <x:c r="C3816" s="1">
        <x:f>IFERROR(__xludf.DUMMYFUNCTION("""COMPUTED_VALUE"""),"2016")</x:f>
      </x:c>
    </x:row>
    <x:row r="3817" spans="1:10">
      <x:c r="A3817" s="1" t="s">
        <x:v>3826</x:v>
      </x:c>
      <x:c r="B3817" s="1">
        <x:f>IFERROR(__xludf.DUMMYFUNCTION("""COMPUTED_VALUE"""),"L'Scooby-Doo a l'illa dels zombis")</x:f>
      </x:c>
      <x:c r="C3817" s="1">
        <x:f>IFERROR(__xludf.DUMMYFUNCTION("""COMPUTED_VALUE"""),"1998")</x:f>
      </x:c>
    </x:row>
    <x:row r="3818" spans="1:10">
      <x:c r="A3818" s="1" t="s">
        <x:v>3827</x:v>
      </x:c>
      <x:c r="B3818" s="1">
        <x:f>IFERROR(__xludf.DUMMYFUNCTION("""COMPUTED_VALUE"""),"L'Scooby-Doo i el fantasma de la bruixa")</x:f>
      </x:c>
      <x:c r="C3818" s="1">
        <x:f>IFERROR(__xludf.DUMMYFUNCTION("""COMPUTED_VALUE"""),"1999")</x:f>
      </x:c>
    </x:row>
    <x:row r="3819" spans="1:10">
      <x:c r="A3819" s="1" t="s">
        <x:v>3828</x:v>
      </x:c>
      <x:c r="B3819" s="1">
        <x:f>IFERROR(__xludf.DUMMYFUNCTION("""COMPUTED_VALUE"""),"L'Scooby-Doo i el monstre del llac Ness")</x:f>
      </x:c>
      <x:c r="C3819" s="1">
        <x:f>IFERROR(__xludf.DUMMYFUNCTION("""COMPUTED_VALUE"""),"2004")</x:f>
      </x:c>
    </x:row>
    <x:row r="3820" spans="1:10">
      <x:c r="A3820" s="1" t="s">
        <x:v>3829</x:v>
      </x:c>
      <x:c r="B3820" s="1">
        <x:f>IFERROR(__xludf.DUMMYFUNCTION("""COMPUTED_VALUE"""),"L'Scooby-Doo i els germans Boo")</x:f>
      </x:c>
      <x:c r="C3820" s="1">
        <x:f>IFERROR(__xludf.DUMMYFUNCTION("""COMPUTED_VALUE"""),"1987")</x:f>
      </x:c>
    </x:row>
    <x:row r="3821" spans="1:10">
      <x:c r="A3821" s="1" t="s">
        <x:v>3830</x:v>
      </x:c>
      <x:c r="B3821" s="1">
        <x:f>IFERROR(__xludf.DUMMYFUNCTION("""COMPUTED_VALUE"""),"L'Scooby-Doo i els invasors extraterrestres")</x:f>
      </x:c>
      <x:c r="C3821" s="1">
        <x:f>IFERROR(__xludf.DUMMYFUNCTION("""COMPUTED_VALUE"""),"2000")</x:f>
      </x:c>
    </x:row>
    <x:row r="3822" spans="1:10">
      <x:c r="A3822" s="1" t="s">
        <x:v>3831</x:v>
      </x:c>
      <x:c r="B3822" s="1">
        <x:f>IFERROR(__xludf.DUMMYFUNCTION("""COMPUTED_VALUE"""),"L'Scooby-Doo i l'espasa del samurai")</x:f>
      </x:c>
      <x:c r="C3822" s="1">
        <x:f>IFERROR(__xludf.DUMMYFUNCTION("""COMPUTED_VALUE"""),"2009")</x:f>
      </x:c>
    </x:row>
    <x:row r="3823" spans="1:10">
      <x:c r="A3823" s="1" t="s">
        <x:v>3832</x:v>
      </x:c>
      <x:c r="B3823" s="1">
        <x:f>IFERROR(__xludf.DUMMYFUNCTION("""COMPUTED_VALUE"""),"L'Scooby-Doo i l'home llop reticent")</x:f>
      </x:c>
      <x:c r="C3823" s="1">
        <x:f>IFERROR(__xludf.DUMMYFUNCTION("""COMPUTED_VALUE"""),"1988")</x:f>
      </x:c>
    </x:row>
    <x:row r="3824" spans="1:10">
      <x:c r="A3824" s="1" t="s">
        <x:v>3833</x:v>
      </x:c>
      <x:c r="B3824" s="1">
        <x:f>IFERROR(__xludf.DUMMYFUNCTION("""COMPUTED_VALUE"""),"L'Scooby-Doo i la ciberpersecució")</x:f>
      </x:c>
      <x:c r="C3824" s="1">
        <x:f>IFERROR(__xludf.DUMMYFUNCTION("""COMPUTED_VALUE"""),"2001")</x:f>
      </x:c>
    </x:row>
    <x:row r="3825" spans="1:10">
      <x:c r="A3825" s="1" t="s">
        <x:v>3834</x:v>
      </x:c>
      <x:c r="B3825" s="1">
        <x:f>IFERROR(__xludf.DUMMYFUNCTION("""COMPUTED_VALUE"""),"L'Scooby-Doo i la llegenda del vampir")</x:f>
      </x:c>
      <x:c r="C3825" s="1">
        <x:f>IFERROR(__xludf.DUMMYFUNCTION("""COMPUTED_VALUE"""),"2003")</x:f>
      </x:c>
    </x:row>
    <x:row r="3826" spans="1:10">
      <x:c r="A3826" s="1" t="s">
        <x:v>3835</x:v>
      </x:c>
      <x:c r="B3826" s="1">
        <x:f>IFERROR(__xludf.DUMMYFUNCTION("""COMPUTED_VALUE"""),"L'Scooby-Doo! Abracadabra-Doo")</x:f>
      </x:c>
      <x:c r="C3826" s="1">
        <x:f>IFERROR(__xludf.DUMMYFUNCTION("""COMPUTED_VALUE"""),"2010")</x:f>
      </x:c>
    </x:row>
    <x:row r="3827" spans="1:10">
      <x:c r="A3827" s="1" t="s">
        <x:v>3836</x:v>
      </x:c>
      <x:c r="B3827" s="1">
        <x:f>IFERROR(__xludf.DUMMYFUNCTION("""COMPUTED_VALUE"""),"L'Scooby-Doo! El campament de la por")</x:f>
      </x:c>
      <x:c r="C3827" s="1">
        <x:f>IFERROR(__xludf.DUMMYFUNCTION("""COMPUTED_VALUE"""),"2010")</x:f>
      </x:c>
    </x:row>
    <x:row r="3828" spans="1:10">
      <x:c r="A3828" s="1" t="s">
        <x:v>3837</x:v>
      </x:c>
      <x:c r="B3828" s="1">
        <x:f>IFERROR(__xludf.DUMMYFUNCTION("""COMPUTED_VALUE"""),"L'Scooby-Doo! La llegenda del Fantosaure")</x:f>
      </x:c>
      <x:c r="C3828" s="1">
        <x:f>IFERROR(__xludf.DUMMYFUNCTION("""COMPUTED_VALUE"""),"2011")</x:f>
      </x:c>
    </x:row>
    <x:row r="3829" spans="1:10">
      <x:c r="A3829" s="1" t="s">
        <x:v>3838</x:v>
      </x:c>
      <x:c r="B3829" s="1">
        <x:f>IFERROR(__xludf.DUMMYFUNCTION("""COMPUTED_VALUE"""),"L'Scooby-Doo! La música del vampir")</x:f>
      </x:c>
      <x:c r="C3829" s="1">
        <x:f>IFERROR(__xludf.DUMMYFUNCTION("""COMPUTED_VALUE"""),"2011")</x:f>
      </x:c>
    </x:row>
    <x:row r="3830" spans="1:10">
      <x:c r="A3830" s="1" t="s">
        <x:v>3839</x:v>
      </x:c>
      <x:c r="B3830" s="1">
        <x:f>IFERROR(__xludf.DUMMYFUNCTION("""COMPUTED_VALUE"""),"L'Scooby-Doo! On és la mòmia?")</x:f>
      </x:c>
      <x:c r="C3830" s="1">
        <x:f>IFERROR(__xludf.DUMMYFUNCTION("""COMPUTED_VALUE"""),"2005")</x:f>
      </x:c>
    </x:row>
    <x:row r="3831" spans="1:10">
      <x:c r="A3831" s="1" t="s">
        <x:v>3840</x:v>
      </x:c>
      <x:c r="B3831" s="1">
        <x:f>IFERROR(__xludf.DUMMYFUNCTION("""COMPUTED_VALUE"""),"L'Scooby-Doo! Pirates a la vista!")</x:f>
      </x:c>
      <x:c r="C3831" s="1">
        <x:f>IFERROR(__xludf.DUMMYFUNCTION("""COMPUTED_VALUE"""),"2006")</x:f>
      </x:c>
    </x:row>
    <x:row r="3832" spans="1:10">
      <x:c r="A3832" s="1" t="s">
        <x:v>3841</x:v>
      </x:c>
      <x:c r="B3832" s="1">
        <x:f>IFERROR(__xludf.DUMMYFUNCTION("""COMPUTED_VALUE"""),"L'Skylab")</x:f>
      </x:c>
      <x:c r="C3832" s="1">
        <x:f>IFERROR(__xludf.DUMMYFUNCTION("""COMPUTED_VALUE"""),"2011")</x:f>
      </x:c>
    </x:row>
    <x:row r="3833" spans="1:10">
      <x:c r="A3833" s="1" t="s">
        <x:v>3842</x:v>
      </x:c>
      <x:c r="B3833" s="1">
        <x:f>IFERROR(__xludf.DUMMYFUNCTION("""COMPUTED_VALUE"""),"L'ull de l'agulla")</x:f>
      </x:c>
      <x:c r="C3833" s="1">
        <x:f>IFERROR(__xludf.DUMMYFUNCTION("""COMPUTED_VALUE"""),"1981")</x:f>
      </x:c>
    </x:row>
    <x:row r="3834" spans="1:10">
      <x:c r="A3834" s="1" t="s">
        <x:v>3843</x:v>
      </x:c>
      <x:c r="B3834" s="1">
        <x:f>IFERROR(__xludf.DUMMYFUNCTION("""COMPUTED_VALUE"""),"L'últim assalt")</x:f>
      </x:c>
      <x:c r="C3834" s="1">
        <x:f>IFERROR(__xludf.DUMMYFUNCTION("""COMPUTED_VALUE"""),"2002")</x:f>
      </x:c>
    </x:row>
    <x:row r="3835" spans="1:10">
      <x:c r="A3835" s="1" t="s">
        <x:v>3844</x:v>
      </x:c>
      <x:c r="B3835" s="1">
        <x:f>IFERROR(__xludf.DUMMYFUNCTION("""COMPUTED_VALUE"""),"L'últim autobús")</x:f>
      </x:c>
      <x:c r="C3835" s="1">
        <x:f>IFERROR(__xludf.DUMMYFUNCTION("""COMPUTED_VALUE"""),"2021")</x:f>
      </x:c>
    </x:row>
    <x:row r="3836" spans="1:10">
      <x:c r="A3836" s="1" t="s">
        <x:v>3845</x:v>
      </x:c>
      <x:c r="B3836" s="1">
        <x:f>IFERROR(__xludf.DUMMYFUNCTION("""COMPUTED_VALUE"""),"L'últim ballarí de Mao")</x:f>
      </x:c>
      <x:c r="C3836" s="1">
        <x:f>IFERROR(__xludf.DUMMYFUNCTION("""COMPUTED_VALUE"""),"2009")</x:f>
      </x:c>
    </x:row>
    <x:row r="3837" spans="1:10">
      <x:c r="A3837" s="1" t="s">
        <x:v>3846</x:v>
      </x:c>
      <x:c r="B3837" s="1">
        <x:f>IFERROR(__xludf.DUMMYFUNCTION("""COMPUTED_VALUE"""),"L'últim caçador de bruixes")</x:f>
      </x:c>
      <x:c r="C3837" s="1">
        <x:f>IFERROR(__xludf.DUMMYFUNCTION("""COMPUTED_VALUE"""),"2015")</x:f>
      </x:c>
    </x:row>
    <x:row r="3838" spans="1:10">
      <x:c r="A3838" s="1" t="s">
        <x:v>3847</x:v>
      </x:c>
      <x:c r="B3838" s="1">
        <x:f>IFERROR(__xludf.DUMMYFUNCTION("""COMPUTED_VALUE"""),"L'últim capvespre")</x:f>
      </x:c>
      <x:c r="C3838" s="1">
        <x:f>IFERROR(__xludf.DUMMYFUNCTION("""COMPUTED_VALUE"""),"1961")</x:f>
      </x:c>
    </x:row>
    <x:row r="3839" spans="1:10">
      <x:c r="A3839" s="1" t="s">
        <x:v>3848</x:v>
      </x:c>
      <x:c r="B3839" s="1">
        <x:f>IFERROR(__xludf.DUMMYFUNCTION("""COMPUTED_VALUE"""),"L'últim comanxe")</x:f>
      </x:c>
      <x:c r="C3839" s="1">
        <x:f>IFERROR(__xludf.DUMMYFUNCTION("""COMPUTED_VALUE"""),"1953")</x:f>
      </x:c>
    </x:row>
    <x:row r="3840" spans="1:10">
      <x:c r="A3840" s="1" t="s">
        <x:v>3849</x:v>
      </x:c>
      <x:c r="B3840" s="1">
        <x:f>IFERROR(__xludf.DUMMYFUNCTION("""COMPUTED_VALUE"""),"L'últim combat")</x:f>
      </x:c>
      <x:c r="C3840" s="1">
        <x:f>IFERROR(__xludf.DUMMYFUNCTION("""COMPUTED_VALUE"""),"1983")</x:f>
      </x:c>
    </x:row>
    <x:row r="3841" spans="1:10">
      <x:c r="A3841" s="1" t="s">
        <x:v>3850</x:v>
      </x:c>
      <x:c r="B3841" s="1">
        <x:f>IFERROR(__xludf.DUMMYFUNCTION("""COMPUTED_VALUE"""),"L'últim concert")</x:f>
      </x:c>
      <x:c r="C3841" s="1">
        <x:f>IFERROR(__xludf.DUMMYFUNCTION("""COMPUTED_VALUE"""),"2012")</x:f>
      </x:c>
    </x:row>
    <x:row r="3842" spans="1:10">
      <x:c r="A3842" s="1" t="s">
        <x:v>3851</x:v>
      </x:c>
      <x:c r="B3842" s="1">
        <x:f>IFERROR(__xludf.DUMMYFUNCTION("""COMPUTED_VALUE"""),"L'últim dels mohicans")</x:f>
      </x:c>
      <x:c r="C3842" s="1">
        <x:f>IFERROR(__xludf.DUMMYFUNCTION("""COMPUTED_VALUE"""),"1992")</x:f>
      </x:c>
    </x:row>
    <x:row r="3843" spans="1:10">
      <x:c r="A3843" s="1" t="s">
        <x:v>3852</x:v>
      </x:c>
      <x:c r="B3843" s="1">
        <x:f>IFERROR(__xludf.DUMMYFUNCTION("""COMPUTED_VALUE"""),"L'últim desafiament")</x:f>
      </x:c>
      <x:c r="C3843" s="1">
        <x:f>IFERROR(__xludf.DUMMYFUNCTION("""COMPUTED_VALUE"""),"2013")</x:f>
      </x:c>
    </x:row>
    <x:row r="3844" spans="1:10">
      <x:c r="A3844" s="1" t="s">
        <x:v>3853</x:v>
      </x:c>
      <x:c r="B3844" s="1">
        <x:f>IFERROR(__xludf.DUMMYFUNCTION("""COMPUTED_VALUE"""),"L'últim emperador")</x:f>
      </x:c>
      <x:c r="C3844" s="1">
        <x:f>IFERROR(__xludf.DUMMYFUNCTION("""COMPUTED_VALUE"""),"1987")</x:f>
      </x:c>
    </x:row>
    <x:row r="3845" spans="1:10">
      <x:c r="A3845" s="1" t="s">
        <x:v>3854</x:v>
      </x:c>
      <x:c r="B3845" s="1">
        <x:f>IFERROR(__xludf.DUMMYFUNCTION("""COMPUTED_VALUE"""),"L'últim esglaó")</x:f>
      </x:c>
      <x:c r="C3845" s="1">
        <x:f>IFERROR(__xludf.DUMMYFUNCTION("""COMPUTED_VALUE"""),"1999")</x:f>
      </x:c>
    </x:row>
    <x:row r="3846" spans="1:10">
      <x:c r="A3846" s="1" t="s">
        <x:v>3855</x:v>
      </x:c>
      <x:c r="B3846" s="1">
        <x:f>IFERROR(__xludf.DUMMYFUNCTION("""COMPUTED_VALUE"""),"L'últim estiu")</x:f>
      </x:c>
      <x:c r="C3846" s="1">
        <x:f>IFERROR(__xludf.DUMMYFUNCTION("""COMPUTED_VALUE"""),"2023")</x:f>
      </x:c>
    </x:row>
    <x:row r="3847" spans="1:10">
      <x:c r="A3847" s="1" t="s">
        <x:v>3856</x:v>
      </x:c>
      <x:c r="B3847" s="1">
        <x:f>IFERROR(__xludf.DUMMYFUNCTION("""COMPUTED_VALUE"""),"L'últim exorcisme")</x:f>
      </x:c>
      <x:c r="C3847" s="1">
        <x:f>IFERROR(__xludf.DUMMYFUNCTION("""COMPUTED_VALUE"""),"2010")</x:f>
      </x:c>
    </x:row>
    <x:row r="3848" spans="1:10">
      <x:c r="A3848" s="1" t="s">
        <x:v>3857</x:v>
      </x:c>
      <x:c r="B3848" s="1">
        <x:f>IFERROR(__xludf.DUMMYFUNCTION("""COMPUTED_VALUE"""),"L'últim exorcisme, segona part")</x:f>
      </x:c>
      <x:c r="C3848" s="1">
        <x:f>IFERROR(__xludf.DUMMYFUNCTION("""COMPUTED_VALUE"""),"2013")</x:f>
      </x:c>
    </x:row>
    <x:row r="3849" spans="1:10">
      <x:c r="A3849" s="1" t="s">
        <x:v>3858</x:v>
      </x:c>
      <x:c r="B3849" s="1">
        <x:f>IFERROR(__xludf.DUMMYFUNCTION("""COMPUTED_VALUE"""),"L'últim gegant d'Europa")</x:f>
      </x:c>
      <x:c r="C3849" s="1">
        <x:f>IFERROR(__xludf.DUMMYFUNCTION("""COMPUTED_VALUE"""),"2017")</x:f>
      </x:c>
    </x:row>
    <x:row r="3850" spans="1:10">
      <x:c r="A3850" s="1" t="s">
        <x:v>3859</x:v>
      </x:c>
      <x:c r="B3850" s="1">
        <x:f>IFERROR(__xludf.DUMMYFUNCTION("""COMPUTED_VALUE"""),"L'últim gran heroi")</x:f>
      </x:c>
      <x:c r="C3850" s="1">
        <x:f>IFERROR(__xludf.DUMMYFUNCTION("""COMPUTED_VALUE"""),"1993")</x:f>
      </x:c>
    </x:row>
    <x:row r="3851" spans="1:10">
      <x:c r="A3851" s="1" t="s">
        <x:v>3860</x:v>
      </x:c>
      <x:c r="B3851" s="1">
        <x:f>IFERROR(__xludf.DUMMYFUNCTION("""COMPUTED_VALUE"""),"L'últim gran mag")</x:f>
      </x:c>
      <x:c r="C3851" s="1">
        <x:f>IFERROR(__xludf.DUMMYFUNCTION("""COMPUTED_VALUE"""),"2007")</x:f>
      </x:c>
    </x:row>
    <x:row r="3852" spans="1:10">
      <x:c r="A3852" s="1" t="s">
        <x:v>3861</x:v>
      </x:c>
      <x:c r="B3852" s="1">
        <x:f>IFERROR(__xludf.DUMMYFUNCTION("""COMPUTED_VALUE"""),"L’últim home")</x:f>
      </x:c>
      <x:c r="C3852" s="1">
        <x:f>IFERROR(__xludf.DUMMYFUNCTION("""COMPUTED_VALUE"""),"1996")</x:f>
      </x:c>
    </x:row>
    <x:row r="3853" spans="1:10">
      <x:c r="A3853" s="1" t="s">
        <x:v>3862</x:v>
      </x:c>
      <x:c r="B3853" s="1">
        <x:f>IFERROR(__xludf.DUMMYFUNCTION("""COMPUTED_VALUE"""),"L'últim Late Night")</x:f>
      </x:c>
      <x:c r="C3853" s="1">
        <x:f>IFERROR(__xludf.DUMMYFUNCTION("""COMPUTED_VALUE"""),"2023")</x:f>
      </x:c>
    </x:row>
    <x:row r="3854" spans="1:10">
      <x:c r="A3854" s="1" t="s">
        <x:v>3863</x:v>
      </x:c>
      <x:c r="B3854" s="1">
        <x:f>IFERROR(__xludf.DUMMYFUNCTION("""COMPUTED_VALUE"""),"L'últim llop")</x:f>
      </x:c>
      <x:c r="C3854" s="1">
        <x:f>IFERROR(__xludf.DUMMYFUNCTION("""COMPUTED_VALUE"""),"2015")</x:f>
      </x:c>
    </x:row>
    <x:row r="3855" spans="1:10">
      <x:c r="A3855" s="1" t="s">
        <x:v>3864</x:v>
      </x:c>
      <x:c r="B3855" s="1">
        <x:f>IFERROR(__xludf.DUMMYFUNCTION("""COMPUTED_VALUE"""),"L'últim petó")</x:f>
      </x:c>
      <x:c r="C3855" s="1">
        <x:f>IFERROR(__xludf.DUMMYFUNCTION("""COMPUTED_VALUE"""),"2001")</x:f>
      </x:c>
    </x:row>
    <x:row r="3856" spans="1:10">
      <x:c r="A3856" s="1" t="s">
        <x:v>3865</x:v>
      </x:c>
      <x:c r="B3856" s="1">
        <x:f>IFERROR(__xludf.DUMMYFUNCTION("""COMPUTED_VALUE"""),"L'últim petó")</x:f>
      </x:c>
      <x:c r="C3856" s="1">
        <x:f>IFERROR(__xludf.DUMMYFUNCTION("""COMPUTED_VALUE"""),"2006")</x:f>
      </x:c>
    </x:row>
    <x:row r="3857" spans="1:10">
      <x:c r="A3857" s="1" t="s">
        <x:v>3866</x:v>
      </x:c>
      <x:c r="B3857" s="1">
        <x:f>IFERROR(__xludf.DUMMYFUNCTION("""COMPUTED_VALUE"""),"L'últim poli")</x:f>
      </x:c>
      <x:c r="C3857" s="1">
        <x:f>IFERROR(__xludf.DUMMYFUNCTION("""COMPUTED_VALUE"""),"2019")</x:f>
      </x:c>
    </x:row>
    <x:row r="3858" spans="1:10">
      <x:c r="A3858" s="1" t="s">
        <x:v>3867</x:v>
      </x:c>
      <x:c r="B3858" s="1">
        <x:f>IFERROR(__xludf.DUMMYFUNCTION("""COMPUTED_VALUE"""),"L'últim rei")</x:f>
      </x:c>
      <x:c r="C3858" s="1">
        <x:f>IFERROR(__xludf.DUMMYFUNCTION("""COMPUTED_VALUE"""),"2016")</x:f>
      </x:c>
    </x:row>
    <x:row r="3859" spans="1:10">
      <x:c r="A3859" s="1" t="s">
        <x:v>3868</x:v>
      </x:c>
      <x:c r="B3859" s="1">
        <x:f>IFERROR(__xludf.DUMMYFUNCTION("""COMPUTED_VALUE"""),"L'últim salt")</x:f>
      </x:c>
      <x:c r="C3859" s="1">
        <x:f>IFERROR(__xludf.DUMMYFUNCTION("""COMPUTED_VALUE"""),"2005")</x:f>
      </x:c>
    </x:row>
    <x:row r="3860" spans="1:10">
      <x:c r="A3860" s="1" t="s">
        <x:v>3869</x:v>
      </x:c>
      <x:c r="B3860" s="1">
        <x:f>IFERROR(__xludf.DUMMYFUNCTION("""COMPUTED_VALUE"""),"L'últim Samurai")</x:f>
      </x:c>
      <x:c r="C3860" s="1">
        <x:f>IFERROR(__xludf.DUMMYFUNCTION("""COMPUTED_VALUE"""),"2003")</x:f>
      </x:c>
    </x:row>
    <x:row r="3861" spans="1:10">
      <x:c r="A3861" s="1" t="s">
        <x:v>3870</x:v>
      </x:c>
      <x:c r="B3861" s="1">
        <x:f>IFERROR(__xludf.DUMMYFUNCTION("""COMPUTED_VALUE"""),"L'últim senyal")</x:f>
      </x:c>
      <x:c r="C3861" s="1">
        <x:f>IFERROR(__xludf.DUMMYFUNCTION("""COMPUTED_VALUE"""),"2005")</x:f>
      </x:c>
    </x:row>
    <x:row r="3862" spans="1:10">
      <x:c r="A3862" s="1" t="s">
        <x:v>3871</x:v>
      </x:c>
      <x:c r="B3862" s="1">
        <x:f>IFERROR(__xludf.DUMMYFUNCTION("""COMPUTED_VALUE"""),"L'últim soldat")</x:f>
      </x:c>
      <x:c r="C3862" s="1">
        <x:f>IFERROR(__xludf.DUMMYFUNCTION("""COMPUTED_VALUE"""),"2023")</x:f>
      </x:c>
    </x:row>
    <x:row r="3863" spans="1:10">
      <x:c r="A3863" s="1" t="s">
        <x:v>3872</x:v>
      </x:c>
      <x:c r="B3863" s="1">
        <x:f>IFERROR(__xludf.DUMMYFUNCTION("""COMPUTED_VALUE"""),"L'últim tren a Auschwitz")</x:f>
      </x:c>
      <x:c r="C3863" s="1">
        <x:f>IFERROR(__xludf.DUMMYFUNCTION("""COMPUTED_VALUE"""),"2006")</x:f>
      </x:c>
    </x:row>
    <x:row r="3864" spans="1:10">
      <x:c r="A3864" s="1" t="s">
        <x:v>3873</x:v>
      </x:c>
      <x:c r="B3864" s="1">
        <x:f>IFERROR(__xludf.DUMMYFUNCTION("""COMPUTED_VALUE"""),"L'últim tren de Gun Hill")</x:f>
      </x:c>
      <x:c r="C3864" s="1">
        <x:f>IFERROR(__xludf.DUMMYFUNCTION("""COMPUTED_VALUE"""),"1959")</x:f>
      </x:c>
    </x:row>
    <x:row r="3865" spans="1:10">
      <x:c r="A3865" s="1" t="s">
        <x:v>3874</x:v>
      </x:c>
      <x:c r="B3865" s="1">
        <x:f>IFERROR(__xludf.DUMMYFUNCTION("""COMPUTED_VALUE"""),"L'últim tret")</x:f>
      </x:c>
      <x:c r="C3865" s="1">
        <x:f>IFERROR(__xludf.DUMMYFUNCTION("""COMPUTED_VALUE"""),"2017")</x:f>
      </x:c>
    </x:row>
    <x:row r="3866" spans="1:10">
      <x:c r="A3866" s="1" t="s">
        <x:v>3875</x:v>
      </x:c>
      <x:c r="B3866" s="1">
        <x:f>IFERROR(__xludf.DUMMYFUNCTION("""COMPUTED_VALUE"""),"L'últim virrei de l'Índia")</x:f>
      </x:c>
      <x:c r="C3866" s="1">
        <x:f>IFERROR(__xludf.DUMMYFUNCTION("""COMPUTED_VALUE"""),"2017")</x:f>
      </x:c>
    </x:row>
    <x:row r="3867" spans="1:10">
      <x:c r="A3867" s="1" t="s">
        <x:v>3876</x:v>
      </x:c>
      <x:c r="B3867" s="1">
        <x:f>IFERROR(__xludf.DUMMYFUNCTION("""COMPUTED_VALUE"""),"L'últim vol")</x:f>
      </x:c>
      <x:c r="C3867" s="1">
        <x:f>IFERROR(__xludf.DUMMYFUNCTION("""COMPUTED_VALUE"""),"2009")</x:f>
      </x:c>
    </x:row>
    <x:row r="3868" spans="1:10">
      <x:c r="A3868" s="1" t="s">
        <x:v>3877</x:v>
      </x:c>
      <x:c r="B3868" s="1">
        <x:f>IFERROR(__xludf.DUMMYFUNCTION("""COMPUTED_VALUE"""),"L'últim vot")</x:f>
      </x:c>
      <x:c r="C3868" s="1">
        <x:f>IFERROR(__xludf.DUMMYFUNCTION("""COMPUTED_VALUE"""),"2008")</x:f>
      </x:c>
    </x:row>
    <x:row r="3869" spans="1:10">
      <x:c r="A3869" s="1" t="s">
        <x:v>3878</x:v>
      </x:c>
      <x:c r="B3869" s="1">
        <x:f>IFERROR(__xludf.DUMMYFUNCTION("""COMPUTED_VALUE"""),"L'últim xou")</x:f>
      </x:c>
      <x:c r="C3869" s="1">
        <x:f>IFERROR(__xludf.DUMMYFUNCTION("""COMPUTED_VALUE"""),"2006")</x:f>
      </x:c>
    </x:row>
    <x:row r="3870" spans="1:10">
      <x:c r="A3870" s="1" t="s">
        <x:v>3879</x:v>
      </x:c>
      <x:c r="B3870" s="1">
        <x:f>IFERROR(__xludf.DUMMYFUNCTION("""COMPUTED_VALUE"""),"L'última bogeria de Claire Darling")</x:f>
      </x:c>
      <x:c r="C3870" s="1">
        <x:f>IFERROR(__xludf.DUMMYFUNCTION("""COMPUTED_VALUE"""),"2018")</x:f>
      </x:c>
    </x:row>
    <x:row r="3871" spans="1:10">
      <x:c r="A3871" s="1" t="s">
        <x:v>3880</x:v>
      </x:c>
      <x:c r="B3871" s="1">
        <x:f>IFERROR(__xludf.DUMMYFUNCTION("""COMPUTED_VALUE"""),"L'última carta [VOSC]")</x:f>
      </x:c>
      <x:c r="C3871" s="1">
        <x:f>IFERROR(__xludf.DUMMYFUNCTION("""COMPUTED_VALUE"""),"2002")</x:f>
      </x:c>
    </x:row>
    <x:row r="3872" spans="1:10">
      <x:c r="A3872" s="1" t="s">
        <x:v>3881</x:v>
      </x:c>
      <x:c r="B3872" s="1">
        <x:f>IFERROR(__xludf.DUMMYFUNCTION("""COMPUTED_VALUE"""),"L'última estació")</x:f>
      </x:c>
      <x:c r="C3872" s="1">
        <x:f>IFERROR(__xludf.DUMMYFUNCTION("""COMPUTED_VALUE"""),"2009")</x:f>
      </x:c>
    </x:row>
    <x:row r="3873" spans="1:10">
      <x:c r="A3873" s="1" t="s">
        <x:v>3882</x:v>
      </x:c>
      <x:c r="B3873" s="1">
        <x:f>IFERROR(__xludf.DUMMYFUNCTION("""COMPUTED_VALUE"""),"L'última funció")</x:f>
      </x:c>
      <x:c r="C3873" s="1">
        <x:f>IFERROR(__xludf.DUMMYFUNCTION("""COMPUTED_VALUE"""),"2017")</x:f>
      </x:c>
    </x:row>
    <x:row r="3874" spans="1:10">
      <x:c r="A3874" s="1" t="s">
        <x:v>3883</x:v>
      </x:c>
      <x:c r="B3874" s="1">
        <x:f>IFERROR(__xludf.DUMMYFUNCTION("""COMPUTED_VALUE"""),"L'última illa")</x:f>
      </x:c>
      <x:c r="C3874" s="1">
        <x:f>IFERROR(__xludf.DUMMYFUNCTION("""COMPUTED_VALUE"""),"2013")</x:f>
      </x:c>
    </x:row>
    <x:row r="3875" spans="1:10">
      <x:c r="A3875" s="1" t="s">
        <x:v>3884</x:v>
      </x:c>
      <x:c r="B3875" s="1">
        <x:f>IFERROR(__xludf.DUMMYFUNCTION("""COMPUTED_VALUE"""),"L'última legió")</x:f>
      </x:c>
      <x:c r="C3875" s="1">
        <x:f>IFERROR(__xludf.DUMMYFUNCTION("""COMPUTED_VALUE"""),"2007")</x:f>
      </x:c>
    </x:row>
    <x:row r="3876" spans="1:10">
      <x:c r="A3876" s="1" t="s">
        <x:v>3885</x:v>
      </x:c>
      <x:c r="B3876" s="1">
        <x:f>IFERROR(__xludf.DUMMYFUNCTION("""COMPUTED_VALUE"""),"L'última nit al Soho")</x:f>
      </x:c>
      <x:c r="C3876" s="1">
        <x:f>IFERROR(__xludf.DUMMYFUNCTION("""COMPUTED_VALUE"""),"2021")</x:f>
      </x:c>
    </x:row>
    <x:row r="3877" spans="1:10">
      <x:c r="A3877" s="1" t="s">
        <x:v>3886</x:v>
      </x:c>
      <x:c r="B3877" s="1">
        <x:f>IFERROR(__xludf.DUMMYFUNCTION("""COMPUTED_VALUE"""),"L'última nit de Borís Gruixenko")</x:f>
      </x:c>
      <x:c r="C3877" s="1">
        <x:f>IFERROR(__xludf.DUMMYFUNCTION("""COMPUTED_VALUE"""),"1975")</x:f>
      </x:c>
    </x:row>
    <x:row r="3878" spans="1:10">
      <x:c r="A3878" s="1" t="s">
        <x:v>3887</x:v>
      </x:c>
      <x:c r="B3878" s="1">
        <x:f>IFERROR(__xludf.DUMMYFUNCTION("""COMPUTED_VALUE"""),"L'última oportunitat")</x:f>
      </x:c>
      <x:c r="C3878" s="1">
        <x:f>IFERROR(__xludf.DUMMYFUNCTION("""COMPUTED_VALUE"""),"2017")</x:f>
      </x:c>
    </x:row>
    <x:row r="3879" spans="1:10">
      <x:c r="A3879" s="1" t="s">
        <x:v>3888</x:v>
      </x:c>
      <x:c r="B3879" s="1">
        <x:f>IFERROR(__xludf.DUMMYFUNCTION("""COMPUTED_VALUE"""),"L'última trucada")</x:f>
      </x:c>
      <x:c r="C3879" s="1">
        <x:f>IFERROR(__xludf.DUMMYFUNCTION("""COMPUTED_VALUE"""),"2013")</x:f>
      </x:c>
    </x:row>
    <x:row r="3880" spans="1:10">
      <x:c r="A3880" s="1" t="s">
        <x:v>3889</x:v>
      </x:c>
      <x:c r="B3880" s="1">
        <x:f>IFERROR(__xludf.DUMMYFUNCTION("""COMPUTED_VALUE"""),"L’última vegada que em vaig suïcidar")</x:f>
      </x:c>
      <x:c r="C3880" s="1">
        <x:f>IFERROR(__xludf.DUMMYFUNCTION("""COMPUTED_VALUE"""),"1997")</x:f>
      </x:c>
    </x:row>
    <x:row r="3881" spans="1:10">
      <x:c r="A3881" s="1" t="s">
        <x:v>3890</x:v>
      </x:c>
      <x:c r="B3881" s="1">
        <x:f>IFERROR(__xludf.DUMMYFUNCTION("""COMPUTED_VALUE"""),"L'última vegada que vaig veure París")</x:f>
      </x:c>
      <x:c r="C3881" s="1">
        <x:f>IFERROR(__xludf.DUMMYFUNCTION("""COMPUTED_VALUE"""),"1954")</x:f>
      </x:c>
    </x:row>
    <x:row r="3882" spans="1:10">
      <x:c r="A3882" s="1" t="s">
        <x:v>3891</x:v>
      </x:c>
      <x:c r="B3882" s="1">
        <x:f>IFERROR(__xludf.DUMMYFUNCTION("""COMPUTED_VALUE"""),"L'ultimàtum de Bourne")</x:f>
      </x:c>
      <x:c r="C3882" s="1">
        <x:f>IFERROR(__xludf.DUMMYFUNCTION("""COMPUTED_VALUE"""),"2007")</x:f>
      </x:c>
    </x:row>
    <x:row r="3883" spans="1:10">
      <x:c r="A3883" s="1" t="s">
        <x:v>3892</x:v>
      </x:c>
      <x:c r="B3883" s="1">
        <x:f>IFERROR(__xludf.DUMMYFUNCTION("""COMPUTED_VALUE"""),"L'únic")</x:f>
      </x:c>
      <x:c r="C3883" s="1">
        <x:f>IFERROR(__xludf.DUMMYFUNCTION("""COMPUTED_VALUE"""),"2001")</x:f>
      </x:c>
    </x:row>
    <x:row r="3884" spans="1:10">
      <x:c r="A3884" s="1" t="s">
        <x:v>3893</x:v>
      </x:c>
      <x:c r="B3884" s="1">
        <x:f>IFERROR(__xludf.DUMMYFUNCTION("""COMPUTED_VALUE"""),"L'únic supervivent")</x:f>
      </x:c>
      <x:c r="C3884" s="1">
        <x:f>IFERROR(__xludf.DUMMYFUNCTION("""COMPUTED_VALUE"""),"2013")</x:f>
      </x:c>
    </x:row>
    <x:row r="3885" spans="1:10">
      <x:c r="A3885" s="1" t="s">
        <x:v>3894</x:v>
      </x:c>
      <x:c r="B3885" s="1">
        <x:f>IFERROR(__xludf.DUMMYFUNCTION("""COMPUTED_VALUE"""),"La (des)educació de Cameron Post")</x:f>
      </x:c>
      <x:c r="C3885" s="1">
        <x:f>IFERROR(__xludf.DUMMYFUNCTION("""COMPUTED_VALUE"""),"2018")</x:f>
      </x:c>
    </x:row>
    <x:row r="3886" spans="1:10">
      <x:c r="A3886" s="1" t="s">
        <x:v>3895</x:v>
      </x:c>
      <x:c r="B3886" s="1">
        <x:f>IFERROR(__xludf.DUMMYFUNCTION("""COMPUTED_VALUE"""),"La balada de Cable Hogue")</x:f>
      </x:c>
      <x:c r="C3886" s="1">
        <x:f>IFERROR(__xludf.DUMMYFUNCTION("""COMPUTED_VALUE"""),"1970")</x:f>
      </x:c>
    </x:row>
    <x:row r="3887" spans="1:10">
      <x:c r="A3887" s="1" t="s">
        <x:v>3896</x:v>
      </x:c>
      <x:c r="B3887" s="1">
        <x:f>IFERROR(__xludf.DUMMYFUNCTION("""COMPUTED_VALUE"""),"La balada de l'estret")</x:f>
      </x:c>
      <x:c r="C3887" s="1">
        <x:f>IFERROR(__xludf.DUMMYFUNCTION("""COMPUTED_VALUE"""),"2010")</x:f>
      </x:c>
    </x:row>
    <x:row r="3888" spans="1:10">
      <x:c r="A3888" s="1" t="s">
        <x:v>3897</x:v>
      </x:c>
      <x:c r="B3888" s="1">
        <x:f>IFERROR(__xludf.DUMMYFUNCTION("""COMPUTED_VALUE"""),"La Balena")</x:f>
      </x:c>
      <x:c r="C3888" s="1">
        <x:f>IFERROR(__xludf.DUMMYFUNCTION("""COMPUTED_VALUE"""),"2022")</x:f>
      </x:c>
    </x:row>
    <x:row r="3889" spans="1:10">
      <x:c r="A3889" s="1" t="s">
        <x:v>3898</x:v>
      </x:c>
      <x:c r="B3889" s="1">
        <x:f>IFERROR(__xludf.DUMMYFUNCTION("""COMPUTED_VALUE"""),"La bamba")</x:f>
      </x:c>
      <x:c r="C3889" s="1">
        <x:f>IFERROR(__xludf.DUMMYFUNCTION("""COMPUTED_VALUE"""),"1987")</x:f>
      </x:c>
    </x:row>
    <x:row r="3890" spans="1:10">
      <x:c r="A3890" s="1" t="s">
        <x:v>3899</x:v>
      </x:c>
      <x:c r="B3890" s="1">
        <x:f>IFERROR(__xludf.DUMMYFUNCTION("""COMPUTED_VALUE"""),"La banda ens visita")</x:f>
      </x:c>
      <x:c r="C3890" s="1">
        <x:f>IFERROR(__xludf.DUMMYFUNCTION("""COMPUTED_VALUE"""),"2007")</x:f>
      </x:c>
    </x:row>
    <x:row r="3891" spans="1:10">
      <x:c r="A3891" s="1" t="s">
        <x:v>3900</x:v>
      </x:c>
      <x:c r="B3891" s="1">
        <x:f>IFERROR(__xludf.DUMMYFUNCTION("""COMPUTED_VALUE"""),"La batalla d'Alep")</x:f>
      </x:c>
      <x:c r="C3891" s="1">
        <x:f>IFERROR(__xludf.DUMMYFUNCTION("""COMPUTED_VALUE"""),"2013")</x:f>
      </x:c>
    </x:row>
    <x:row r="3892" spans="1:10">
      <x:c r="A3892" s="1" t="s">
        <x:v>3901</x:v>
      </x:c>
      <x:c r="B3892" s="1">
        <x:f>IFERROR(__xludf.DUMMYFUNCTION("""COMPUTED_VALUE"""),"La batalla de l'any")</x:f>
      </x:c>
      <x:c r="C3892" s="1">
        <x:f>IFERROR(__xludf.DUMMYFUNCTION("""COMPUTED_VALUE"""),"2013")</x:f>
      </x:c>
    </x:row>
    <x:row r="3893" spans="1:10">
      <x:c r="A3893" s="1" t="s">
        <x:v>3902</x:v>
      </x:c>
      <x:c r="B3893" s="1">
        <x:f>IFERROR(__xludf.DUMMYFUNCTION("""COMPUTED_VALUE"""),"La batalla de la memòria")</x:f>
      </x:c>
      <x:c r="C3893" s="1">
        <x:f>IFERROR(__xludf.DUMMYFUNCTION("""COMPUTED_VALUE"""),"2009")</x:f>
      </x:c>
    </x:row>
    <x:row r="3894" spans="1:10">
      <x:c r="A3894" s="1" t="s">
        <x:v>3903</x:v>
      </x:c>
      <x:c r="B3894" s="1">
        <x:f>IFERROR(__xludf.DUMMYFUNCTION("""COMPUTED_VALUE"""),"La batalla de les Ardenes")</x:f>
      </x:c>
      <x:c r="C3894" s="1">
        <x:f>IFERROR(__xludf.DUMMYFUNCTION("""COMPUTED_VALUE"""),"1965")</x:f>
      </x:c>
    </x:row>
    <x:row r="3895" spans="1:10">
      <x:c r="A3895" s="1" t="s">
        <x:v>3904</x:v>
      </x:c>
      <x:c r="B3895" s="1">
        <x:f>IFERROR(__xludf.DUMMYFUNCTION("""COMPUTED_VALUE"""),"La batalla del Riu de la Plata")</x:f>
      </x:c>
      <x:c r="C3895" s="1">
        <x:f>IFERROR(__xludf.DUMMYFUNCTION("""COMPUTED_VALUE"""),"1956")</x:f>
      </x:c>
    </x:row>
    <x:row r="3896" spans="1:10">
      <x:c r="A3896" s="1" t="s">
        <x:v>3905</x:v>
      </x:c>
      <x:c r="B3896" s="1">
        <x:f>IFERROR(__xludf.DUMMYFUNCTION("""COMPUTED_VALUE"""),"La batalla dels turons del whisky")</x:f>
      </x:c>
      <x:c r="C3896" s="1">
        <x:f>IFERROR(__xludf.DUMMYFUNCTION("""COMPUTED_VALUE"""),"1965")</x:f>
      </x:c>
    </x:row>
    <x:row r="3897" spans="1:10">
      <x:c r="A3897" s="1" t="s">
        <x:v>3906</x:v>
      </x:c>
      <x:c r="B3897" s="1">
        <x:f>IFERROR(__xludf.DUMMYFUNCTION("""COMPUTED_VALUE"""),"La bella espurna")</x:f>
      </x:c>
      <x:c r="C3897" s="1">
        <x:f>IFERROR(__xludf.DUMMYFUNCTION("""COMPUTED_VALUE"""),"2023")</x:f>
      </x:c>
    </x:row>
    <x:row r="3898" spans="1:10">
      <x:c r="A3898" s="1" t="s">
        <x:v>3907</x:v>
      </x:c>
      <x:c r="B3898" s="1">
        <x:f>IFERROR(__xludf.DUMMYFUNCTION("""COMPUTED_VALUE"""),"La Bella i la Bèstia")</x:f>
      </x:c>
      <x:c r="C3898" s="1">
        <x:f>IFERROR(__xludf.DUMMYFUNCTION("""COMPUTED_VALUE"""),"2014")</x:f>
      </x:c>
    </x:row>
    <x:row r="3899" spans="1:10">
      <x:c r="A3899" s="1" t="s">
        <x:v>3908</x:v>
      </x:c>
      <x:c r="B3899" s="1">
        <x:f>IFERROR(__xludf.DUMMYFUNCTION("""COMPUTED_VALUE"""),"La bèstia [VOSC]")</x:f>
      </x:c>
      <x:c r="C3899" s="1">
        <x:f>IFERROR(__xludf.DUMMYFUNCTION("""COMPUTED_VALUE"""),"1975")</x:f>
      </x:c>
    </x:row>
    <x:row r="3900" spans="1:10">
      <x:c r="A3900" s="1" t="s">
        <x:v>3909</x:v>
      </x:c>
      <x:c r="B3900" s="1">
        <x:f>IFERROR(__xludf.DUMMYFUNCTION("""COMPUTED_VALUE"""),"La Bíblia")</x:f>
      </x:c>
      <x:c r="C3900" s="1">
        <x:f>IFERROR(__xludf.DUMMYFUNCTION("""COMPUTED_VALUE"""),"1966")</x:f>
      </x:c>
    </x:row>
    <x:row r="3901" spans="1:10">
      <x:c r="A3901" s="1" t="s">
        <x:v>3910</x:v>
      </x:c>
      <x:c r="B3901" s="1">
        <x:f>IFERROR(__xludf.DUMMYFUNCTION("""COMPUTED_VALUE"""),"La Bíblia del rei Jaume I")</x:f>
      </x:c>
      <x:c r="C3901" s="1">
        <x:f>IFERROR(__xludf.DUMMYFUNCTION("""COMPUTED_VALUE"""),"2011")</x:f>
      </x:c>
    </x:row>
    <x:row r="3902" spans="1:10">
      <x:c r="A3902" s="1" t="s">
        <x:v>3911</x:v>
      </x:c>
      <x:c r="B3902" s="1">
        <x:f>IFERROR(__xludf.DUMMYFUNCTION("""COMPUTED_VALUE"""),"La Bíblia negra")</x:f>
      </x:c>
      <x:c r="C3902" s="1">
        <x:f>IFERROR(__xludf.DUMMYFUNCTION("""COMPUTED_VALUE"""),"2001")</x:f>
      </x:c>
    </x:row>
    <x:row r="3903" spans="1:10">
      <x:c r="A3903" s="1" t="s">
        <x:v>3912</x:v>
      </x:c>
      <x:c r="B3903" s="1">
        <x:f>IFERROR(__xludf.DUMMYFUNCTION("""COMPUTED_VALUE"""),"La biblioteca dels llibres rebutjats")</x:f>
      </x:c>
      <x:c r="C3903" s="1">
        <x:f>IFERROR(__xludf.DUMMYFUNCTION("""COMPUTED_VALUE"""),"2019")</x:f>
      </x:c>
    </x:row>
    <x:row r="3904" spans="1:10">
      <x:c r="A3904" s="1" t="s">
        <x:v>3913</x:v>
      </x:c>
      <x:c r="B3904" s="1">
        <x:f>IFERROR(__xludf.DUMMYFUNCTION("""COMPUTED_VALUE"""),"La boda de la June")</x:f>
      </x:c>
      <x:c r="C3904" s="1">
        <x:f>IFERROR(__xludf.DUMMYFUNCTION("""COMPUTED_VALUE"""),"2014")</x:f>
      </x:c>
    </x:row>
    <x:row r="3905" spans="1:10">
      <x:c r="A3905" s="1" t="s">
        <x:v>3914</x:v>
      </x:c>
      <x:c r="B3905" s="1">
        <x:f>IFERROR(__xludf.DUMMYFUNCTION("""COMPUTED_VALUE"""),"La boda de la meva nòvia")</x:f>
      </x:c>
      <x:c r="C3905" s="1">
        <x:f>IFERROR(__xludf.DUMMYFUNCTION("""COMPUTED_VALUE"""),"2008")</x:f>
      </x:c>
    </x:row>
    <x:row r="3906" spans="1:10">
      <x:c r="A3906" s="1" t="s">
        <x:v>3915</x:v>
      </x:c>
      <x:c r="B3906" s="1">
        <x:f>IFERROR(__xludf.DUMMYFUNCTION("""COMPUTED_VALUE"""),"La boda de la Rachel")</x:f>
      </x:c>
      <x:c r="C3906" s="1">
        <x:f>IFERROR(__xludf.DUMMYFUNCTION("""COMPUTED_VALUE"""),"2008")</x:f>
      </x:c>
    </x:row>
    <x:row r="3907" spans="1:10">
      <x:c r="A3907" s="1" t="s">
        <x:v>3916</x:v>
      </x:c>
      <x:c r="B3907" s="1">
        <x:f>IFERROR(__xludf.DUMMYFUNCTION("""COMPUTED_VALUE"""),"La boda de Muriel")</x:f>
      </x:c>
      <x:c r="C3907" s="1">
        <x:f>IFERROR(__xludf.DUMMYFUNCTION("""COMPUTED_VALUE"""),"1994")</x:f>
      </x:c>
    </x:row>
    <x:row r="3908" spans="1:10">
      <x:c r="A3908" s="1" t="s">
        <x:v>3917</x:v>
      </x:c>
      <x:c r="B3908" s="1">
        <x:f>IFERROR(__xludf.DUMMYFUNCTION("""COMPUTED_VALUE"""),"La boda de Rachel")</x:f>
      </x:c>
      <x:c r="C3908" s="1">
        <x:f>IFERROR(__xludf.DUMMYFUNCTION("""COMPUTED_VALUE"""),"2008")</x:f>
      </x:c>
    </x:row>
    <x:row r="3909" spans="1:10">
      <x:c r="A3909" s="1" t="s">
        <x:v>3918</x:v>
      </x:c>
      <x:c r="B3909" s="1">
        <x:f>IFERROR(__xludf.DUMMYFUNCTION("""COMPUTED_VALUE"""),"La boda del meu millor amic")</x:f>
      </x:c>
      <x:c r="C3909" s="1">
        <x:f>IFERROR(__xludf.DUMMYFUNCTION("""COMPUTED_VALUE"""),"1997")</x:f>
      </x:c>
    </x:row>
    <x:row r="3910" spans="1:10">
      <x:c r="A3910" s="1" t="s">
        <x:v>3919</x:v>
      </x:c>
      <x:c r="B3910" s="1">
        <x:f>IFERROR(__xludf.DUMMYFUNCTION("""COMPUTED_VALUE"""),"La boira")</x:f>
      </x:c>
      <x:c r="C3910" s="1">
        <x:f>IFERROR(__xludf.DUMMYFUNCTION("""COMPUTED_VALUE"""),"2007")</x:f>
      </x:c>
    </x:row>
    <x:row r="3911" spans="1:10">
      <x:c r="A3911" s="1" t="s">
        <x:v>3920</x:v>
      </x:c>
      <x:c r="B3911" s="1">
        <x:f>IFERROR(__xludf.DUMMYFUNCTION("""COMPUTED_VALUE"""),"La bomba del Liceu")</x:f>
      </x:c>
      <x:c r="C3911" s="1">
        <x:f>IFERROR(__xludf.DUMMYFUNCTION("""COMPUTED_VALUE"""),"2009")</x:f>
      </x:c>
    </x:row>
    <x:row r="3912" spans="1:10">
      <x:c r="A3912" s="1" t="s">
        <x:v>3921</x:v>
      </x:c>
      <x:c r="B3912" s="1">
        <x:f>IFERROR(__xludf.DUMMYFUNCTION("""COMPUTED_VALUE"""),"La bona mentida")</x:f>
      </x:c>
      <x:c r="C3912" s="1">
        <x:f>IFERROR(__xludf.DUMMYFUNCTION("""COMPUTED_VALUE"""),"2014")</x:f>
      </x:c>
    </x:row>
    <x:row r="3913" spans="1:10">
      <x:c r="A3913" s="1" t="s">
        <x:v>3922</x:v>
      </x:c>
      <x:c r="B3913" s="1">
        <x:f>IFERROR(__xludf.DUMMYFUNCTION("""COMPUTED_VALUE"""),"La bona mort")</x:f>
      </x:c>
      <x:c r="C3913" s="1">
        <x:f>IFERROR(__xludf.DUMMYFUNCTION("""COMPUTED_VALUE"""),"2025")</x:f>
      </x:c>
    </x:row>
    <x:row r="3914" spans="1:10">
      <x:c r="A3914" s="1" t="s">
        <x:v>3923</x:v>
      </x:c>
      <x:c r="B3914" s="1">
        <x:f>IFERROR(__xludf.DUMMYFUNCTION("""COMPUTED_VALUE"""),"La Bressola. 40 anys d'immersió a la Catalunya Nord")</x:f>
      </x:c>
      <x:c r="C3914" s="1">
        <x:f>IFERROR(__xludf.DUMMYFUNCTION("""COMPUTED_VALUE"""),"2018")</x:f>
      </x:c>
    </x:row>
    <x:row r="3915" spans="1:10">
      <x:c r="A3915" s="1" t="s">
        <x:v>3924</x:v>
      </x:c>
      <x:c r="B3915" s="1">
        <x:f>IFERROR(__xludf.DUMMYFUNCTION("""COMPUTED_VALUE"""),"La brigada")</x:f>
      </x:c>
      <x:c r="C3915" s="1">
        <x:f>IFERROR(__xludf.DUMMYFUNCTION("""COMPUTED_VALUE"""),"2022")</x:f>
      </x:c>
    </x:row>
    <x:row r="3916" spans="1:10">
      <x:c r="A3916" s="1" t="s">
        <x:v>3925</x:v>
      </x:c>
      <x:c r="B3916" s="1">
        <x:f>IFERROR(__xludf.DUMMYFUNCTION("""COMPUTED_VALUE"""),"La bruixa Bibi i el secret de les òlibes blaves")</x:f>
      </x:c>
      <x:c r="C3916" s="1">
        <x:f>IFERROR(__xludf.DUMMYFUNCTION("""COMPUTED_VALUE"""),"2004")</x:f>
      </x:c>
    </x:row>
    <x:row r="3917" spans="1:10">
      <x:c r="A3917" s="1" t="s">
        <x:v>3926</x:v>
      </x:c>
      <x:c r="B3917" s="1">
        <x:f>IFERROR(__xludf.DUMMYFUNCTION("""COMPUTED_VALUE"""),"La brúixola daurada")</x:f>
      </x:c>
      <x:c r="C3917" s="1">
        <x:f>IFERROR(__xludf.DUMMYFUNCTION("""COMPUTED_VALUE"""),"2007")</x:f>
      </x:c>
    </x:row>
    <x:row r="3918" spans="1:10">
      <x:c r="A3918" s="1" t="s">
        <x:v>3927</x:v>
      </x:c>
      <x:c r="B3918" s="1">
        <x:f>IFERROR(__xludf.DUMMYFUNCTION("""COMPUTED_VALUE"""),"La cabana del bosc")</x:f>
      </x:c>
      <x:c r="C3918" s="1">
        <x:f>IFERROR(__xludf.DUMMYFUNCTION("""COMPUTED_VALUE"""),"2012")</x:f>
      </x:c>
    </x:row>
    <x:row r="3919" spans="1:10">
      <x:c r="A3919" s="1" t="s">
        <x:v>3928</x:v>
      </x:c>
      <x:c r="B3919" s="1">
        <x:f>IFERROR(__xludf.DUMMYFUNCTION("""COMPUTED_VALUE"""),"La cabanya")</x:f>
      </x:c>
      <x:c r="C3919" s="1">
        <x:f>IFERROR(__xludf.DUMMYFUNCTION("""COMPUTED_VALUE"""),"2017")</x:f>
      </x:c>
    </x:row>
    <x:row r="3920" spans="1:10">
      <x:c r="A3920" s="1" t="s">
        <x:v>3929</x:v>
      </x:c>
      <x:c r="B3920" s="1">
        <x:f>IFERROR(__xludf.DUMMYFUNCTION("""COMPUTED_VALUE"""),"La caça")</x:f>
      </x:c>
      <x:c r="C3920" s="1">
        <x:f>IFERROR(__xludf.DUMMYFUNCTION("""COMPUTED_VALUE"""),"2012")</x:f>
      </x:c>
    </x:row>
    <x:row r="3921" spans="1:10">
      <x:c r="A3921" s="1" t="s">
        <x:v>3930</x:v>
      </x:c>
      <x:c r="B3921" s="1">
        <x:f>IFERROR(__xludf.DUMMYFUNCTION("""COMPUTED_VALUE"""),"La caça de l'Àguila u")</x:f>
      </x:c>
      <x:c r="C3921" s="1">
        <x:f>IFERROR(__xludf.DUMMYFUNCTION("""COMPUTED_VALUE"""),"2006")</x:f>
      </x:c>
    </x:row>
    <x:row r="3922" spans="1:10">
      <x:c r="A3922" s="1" t="s">
        <x:v>3931</x:v>
      </x:c>
      <x:c r="B3922" s="1">
        <x:f>IFERROR(__xludf.DUMMYFUNCTION("""COMPUTED_VALUE"""),"La caça de l'home")</x:f>
      </x:c>
      <x:c r="C3922" s="1">
        <x:f>IFERROR(__xludf.DUMMYFUNCTION("""COMPUTED_VALUE"""),"1966")</x:f>
      </x:c>
    </x:row>
    <x:row r="3923" spans="1:10">
      <x:c r="A3923" s="1" t="s">
        <x:v>3932</x:v>
      </x:c>
      <x:c r="B3923" s="1">
        <x:f>IFERROR(__xludf.DUMMYFUNCTION("""COMPUTED_VALUE"""),"La caçarrecompenses")</x:f>
      </x:c>
      <x:c r="C3923" s="1">
        <x:f>IFERROR(__xludf.DUMMYFUNCTION("""COMPUTED_VALUE"""),"2012")</x:f>
      </x:c>
    </x:row>
    <x:row r="3924" spans="1:10">
      <x:c r="A3924" s="1" t="s">
        <x:v>3933</x:v>
      </x:c>
      <x:c r="B3924" s="1">
        <x:f>IFERROR(__xludf.DUMMYFUNCTION("""COMPUTED_VALUE"""),"La cafeteria")</x:f>
      </x:c>
      <x:c r="C3924" s="1">
        <x:f>IFERROR(__xludf.DUMMYFUNCTION("""COMPUTED_VALUE"""),"2014")</x:f>
      </x:c>
    </x:row>
    <x:row r="3925" spans="1:10">
      <x:c r="A3925" s="1" t="s">
        <x:v>3934</x:v>
      </x:c>
      <x:c r="B3925" s="1">
        <x:f>IFERROR(__xludf.DUMMYFUNCTION("""COMPUTED_VALUE"""),"La caixa Kovak")</x:f>
      </x:c>
      <x:c r="C3925" s="1">
        <x:f>IFERROR(__xludf.DUMMYFUNCTION("""COMPUTED_VALUE"""),"2005")</x:f>
      </x:c>
    </x:row>
    <x:row r="3926" spans="1:10">
      <x:c r="A3926" s="1" t="s">
        <x:v>3935</x:v>
      </x:c>
      <x:c r="B3926" s="1">
        <x:f>IFERROR(__xludf.DUMMYFUNCTION("""COMPUTED_VALUE"""),"La cala")</x:f>
      </x:c>
      <x:c r="C3926" s="1">
        <x:f>IFERROR(__xludf.DUMMYFUNCTION("""COMPUTED_VALUE"""),"2009")</x:f>
      </x:c>
    </x:row>
    <x:row r="3927" spans="1:10">
      <x:c r="A3927" s="1" t="s">
        <x:v>3936</x:v>
      </x:c>
      <x:c r="B3927" s="1">
        <x:f>IFERROR(__xludf.DUMMYFUNCTION("""COMPUTED_VALUE"""),"La calúmnia")</x:f>
      </x:c>
      <x:c r="C3927" s="1">
        <x:f>IFERROR(__xludf.DUMMYFUNCTION("""COMPUTED_VALUE"""),"1961")</x:f>
      </x:c>
    </x:row>
    <x:row r="3928" spans="1:10">
      <x:c r="A3928" s="1" t="s">
        <x:v>3937</x:v>
      </x:c>
      <x:c r="B3928" s="1">
        <x:f>IFERROR(__xludf.DUMMYFUNCTION("""COMPUTED_VALUE"""),"La cançó censurada")</x:f>
      </x:c>
      <x:c r="C3928" s="1">
        <x:f>IFERROR(__xludf.DUMMYFUNCTION("""COMPUTED_VALUE"""),"2016")</x:f>
      </x:c>
    </x:row>
    <x:row r="3929" spans="1:10">
      <x:c r="A3929" s="1" t="s">
        <x:v>3938</x:v>
      </x:c>
      <x:c r="B3929" s="1">
        <x:f>IFERROR(__xludf.DUMMYFUNCTION("""COMPUTED_VALUE"""),"La cançó d'Hiawatha")</x:f>
      </x:c>
      <x:c r="C3929" s="1">
        <x:f>IFERROR(__xludf.DUMMYFUNCTION("""COMPUTED_VALUE"""),"1997")</x:f>
      </x:c>
    </x:row>
    <x:row r="3930" spans="1:10">
      <x:c r="A3930" s="1" t="s">
        <x:v>3939</x:v>
      </x:c>
      <x:c r="B3930" s="1">
        <x:f>IFERROR(__xludf.DUMMYFUNCTION("""COMPUTED_VALUE"""),"La cançó del mar")</x:f>
      </x:c>
      <x:c r="C3930" s="1">
        <x:f>IFERROR(__xludf.DUMMYFUNCTION("""COMPUTED_VALUE"""),"2014")</x:f>
      </x:c>
    </x:row>
    <x:row r="3931" spans="1:10">
      <x:c r="A3931" s="1" t="s">
        <x:v>3940</x:v>
      </x:c>
      <x:c r="B3931" s="1">
        <x:f>IFERROR(__xludf.DUMMYFUNCTION("""COMPUTED_VALUE"""),"La cançó del mariner")</x:f>
      </x:c>
      <x:c r="C3931" s="1">
        <x:f>IFERROR(__xludf.DUMMYFUNCTION("""COMPUTED_VALUE"""),"2022")</x:f>
      </x:c>
    </x:row>
    <x:row r="3932" spans="1:10">
      <x:c r="A3932" s="1" t="s">
        <x:v>3941</x:v>
      </x:c>
      <x:c r="B3932" s="1">
        <x:f>IFERROR(__xludf.DUMMYFUNCTION("""COMPUTED_VALUE"""),"La cançó dels noms")</x:f>
      </x:c>
      <x:c r="C3932" s="1">
        <x:f>IFERROR(__xludf.DUMMYFUNCTION("""COMPUTED_VALUE"""),"2019")</x:f>
      </x:c>
    </x:row>
    <x:row r="3933" spans="1:10">
      <x:c r="A3933" s="1" t="s">
        <x:v>3942</x:v>
      </x:c>
      <x:c r="B3933" s="1">
        <x:f>IFERROR(__xludf.DUMMYFUNCTION("""COMPUTED_VALUE"""),"La càpsula del temps-Dagoll Dagom 40 anys")</x:f>
      </x:c>
      <x:c r="C3933" s="1">
        <x:f>IFERROR(__xludf.DUMMYFUNCTION("""COMPUTED_VALUE"""),"2014")</x:f>
      </x:c>
    </x:row>
    <x:row r="3934" spans="1:10">
      <x:c r="A3934" s="1" t="s">
        <x:v>3943</x:v>
      </x:c>
      <x:c r="B3934" s="1">
        <x:f>IFERROR(__xludf.DUMMYFUNCTION("""COMPUTED_VALUE"""),"La cara")</x:f>
      </x:c>
      <x:c r="C3934" s="1">
        <x:f>IFERROR(__xludf.DUMMYFUNCTION("""COMPUTED_VALUE"""),"2016")</x:f>
      </x:c>
    </x:row>
    <x:row r="3935" spans="1:10">
      <x:c r="A3935" s="1" t="s">
        <x:v>3944</x:v>
      </x:c>
      <x:c r="B3935" s="1">
        <x:f>IFERROR(__xludf.DUMMYFUNCTION("""COMPUTED_VALUE"""),"La cara del terror")</x:f>
      </x:c>
      <x:c r="C3935" s="1">
        <x:f>IFERROR(__xludf.DUMMYFUNCTION("""COMPUTED_VALUE"""),"1999")</x:f>
      </x:c>
    </x:row>
    <x:row r="3936" spans="1:10">
      <x:c r="A3936" s="1" t="s">
        <x:v>3945</x:v>
      </x:c>
      <x:c r="B3936" s="1">
        <x:f>IFERROR(__xludf.DUMMYFUNCTION("""COMPUTED_VALUE"""),"La cara nord")</x:f>
      </x:c>
      <x:c r="C3936" s="1">
        <x:f>IFERROR(__xludf.DUMMYFUNCTION("""COMPUTED_VALUE"""),"2008")</x:f>
      </x:c>
    </x:row>
    <x:row r="3937" spans="1:10">
      <x:c r="A3937" s="1" t="s">
        <x:v>3946</x:v>
      </x:c>
      <x:c r="B3937" s="1">
        <x:f>IFERROR(__xludf.DUMMYFUNCTION("""COMPUTED_VALUE"""),"La càrrega de la brigada lleugera")</x:f>
      </x:c>
      <x:c r="C3937" s="1">
        <x:f>IFERROR(__xludf.DUMMYFUNCTION("""COMPUTED_VALUE"""),"1936")</x:f>
      </x:c>
    </x:row>
    <x:row r="3938" spans="1:10">
      <x:c r="A3938" s="1" t="s">
        <x:v>3947</x:v>
      </x:c>
      <x:c r="B3938" s="1">
        <x:f>IFERROR(__xludf.DUMMYFUNCTION("""COMPUTED_VALUE"""),"La càrrega dels genets indis")</x:f>
      </x:c>
      <x:c r="C3938" s="1">
        <x:f>IFERROR(__xludf.DUMMYFUNCTION("""COMPUTED_VALUE"""),"1953")</x:f>
      </x:c>
    </x:row>
    <x:row r="3939" spans="1:10">
      <x:c r="A3939" s="1" t="s">
        <x:v>3948</x:v>
      </x:c>
      <x:c r="B3939" s="1">
        <x:f>IFERROR(__xludf.DUMMYFUNCTION("""COMPUTED_VALUE"""),"La carretera")</x:f>
      </x:c>
      <x:c r="C3939" s="1">
        <x:f>IFERROR(__xludf.DUMMYFUNCTION("""COMPUTED_VALUE"""),"2009")</x:f>
      </x:c>
    </x:row>
    <x:row r="3940" spans="1:10">
      <x:c r="A3940" s="1" t="s">
        <x:v>3949</x:v>
      </x:c>
      <x:c r="B3940" s="1">
        <x:f>IFERROR(__xludf.DUMMYFUNCTION("""COMPUTED_VALUE"""),"La casa de cera")</x:f>
      </x:c>
      <x:c r="C3940" s="1">
        <x:f>IFERROR(__xludf.DUMMYFUNCTION("""COMPUTED_VALUE"""),"2005")</x:f>
      </x:c>
    </x:row>
    <x:row r="3941" spans="1:10">
      <x:c r="A3941" s="1" t="s">
        <x:v>3950</x:v>
      </x:c>
      <x:c r="B3941" s="1">
        <x:f>IFERROR(__xludf.DUMMYFUNCTION("""COMPUTED_VALUE"""),"La casa de l'esperança")</x:f>
      </x:c>
      <x:c r="C3941" s="1">
        <x:f>IFERROR(__xludf.DUMMYFUNCTION("""COMPUTED_VALUE"""),"2017")</x:f>
      </x:c>
    </x:row>
    <x:row r="3942" spans="1:10">
      <x:c r="A3942" s="1" t="s">
        <x:v>3951</x:v>
      </x:c>
      <x:c r="B3942" s="1">
        <x:f>IFERROR(__xludf.DUMMYFUNCTION("""COMPUTED_VALUE"""),"La casa de la meva àvia")</x:f>
      </x:c>
      <x:c r="C3942" s="1">
        <x:f>IFERROR(__xludf.DUMMYFUNCTION("""COMPUTED_VALUE"""),"2005")</x:f>
      </x:c>
    </x:row>
    <x:row r="3943" spans="1:10">
      <x:c r="A3943" s="1" t="s">
        <x:v>3952</x:v>
      </x:c>
      <x:c r="B3943" s="1">
        <x:f>IFERROR(__xludf.DUMMYFUNCTION("""COMPUTED_VALUE"""),"La casa de les dagues voladores")</x:f>
      </x:c>
      <x:c r="C3943" s="1">
        <x:f>IFERROR(__xludf.DUMMYFUNCTION("""COMPUTED_VALUE"""),"2004")</x:f>
      </x:c>
    </x:row>
    <x:row r="3944" spans="1:10">
      <x:c r="A3944" s="1" t="s">
        <x:v>3953</x:v>
      </x:c>
      <x:c r="B3944" s="1">
        <x:f>IFERROR(__xludf.DUMMYFUNCTION("""COMPUTED_VALUE"""),"La casa del llac")</x:f>
      </x:c>
      <x:c r="C3944" s="1">
        <x:f>IFERROR(__xludf.DUMMYFUNCTION("""COMPUTED_VALUE"""),"2006")</x:f>
      </x:c>
    </x:row>
    <x:row r="3945" spans="1:10">
      <x:c r="A3945" s="1" t="s">
        <x:v>3954</x:v>
      </x:c>
      <x:c r="B3945" s="1">
        <x:f>IFERROR(__xludf.DUMMYFUNCTION("""COMPUTED_VALUE"""),"La casa del rellotge dins de la paret")</x:f>
      </x:c>
      <x:c r="C3945" s="1">
        <x:f>IFERROR(__xludf.DUMMYFUNCTION("""COMPUTED_VALUE"""),"2018")</x:f>
      </x:c>
    </x:row>
    <x:row r="3946" spans="1:10">
      <x:c r="A3946" s="1" t="s">
        <x:v>3955</x:v>
      </x:c>
      <x:c r="B3946" s="1">
        <x:f>IFERROR(__xludf.DUMMYFUNCTION("""COMPUTED_VALUE"""),"La casa del terror")</x:f>
      </x:c>
      <x:c r="C3946" s="1">
        <x:f>IFERROR(__xludf.DUMMYFUNCTION("""COMPUTED_VALUE"""),"2019")</x:f>
      </x:c>
    </x:row>
    <x:row r="3947" spans="1:10">
      <x:c r="A3947" s="1" t="s">
        <x:v>3956</x:v>
      </x:c>
      <x:c r="B3947" s="1">
        <x:f>IFERROR(__xludf.DUMMYFUNCTION("""COMPUTED_VALUE"""),"La casa del terror")</x:f>
      </x:c>
      <x:c r="C3947" s="1">
        <x:f>IFERROR(__xludf.DUMMYFUNCTION("""COMPUTED_VALUE"""),"2020")</x:f>
      </x:c>
    </x:row>
    <x:row r="3948" spans="1:10">
      <x:c r="A3948" s="1" t="s">
        <x:v>3957</x:v>
      </x:c>
      <x:c r="B3948" s="1">
        <x:f>IFERROR(__xludf.DUMMYFUNCTION("""COMPUTED_VALUE"""),"La casa dels esperits")</x:f>
      </x:c>
      <x:c r="C3948" s="1">
        <x:f>IFERROR(__xludf.DUMMYFUNCTION("""COMPUTED_VALUE"""),"1993")</x:f>
      </x:c>
    </x:row>
    <x:row r="3949" spans="1:10">
      <x:c r="A3949" s="1" t="s">
        <x:v>3958</x:v>
      </x:c>
      <x:c r="B3949" s="1">
        <x:f>IFERROR(__xludf.DUMMYFUNCTION("""COMPUTED_VALUE"""),"La casa dels teus somnis")</x:f>
      </x:c>
      <x:c r="C3949" s="1">
        <x:f>IFERROR(__xludf.DUMMYFUNCTION("""COMPUTED_VALUE"""),"2006")</x:f>
      </x:c>
    </x:row>
    <x:row r="3950" spans="1:10">
      <x:c r="A3950" s="1" t="s">
        <x:v>3959</x:v>
      </x:c>
      <x:c r="B3950" s="1">
        <x:f>IFERROR(__xludf.DUMMYFUNCTION("""COMPUTED_VALUE"""),"La casa entre els cactus")</x:f>
      </x:c>
      <x:c r="C3950" s="1">
        <x:f>IFERROR(__xludf.DUMMYFUNCTION("""COMPUTED_VALUE"""),"2022")</x:f>
      </x:c>
    </x:row>
    <x:row r="3951" spans="1:10">
      <x:c r="A3951" s="1" t="s">
        <x:v>3960</x:v>
      </x:c>
      <x:c r="B3951" s="1">
        <x:f>IFERROR(__xludf.DUMMYFUNCTION("""COMPUTED_VALUE"""),"La casa màgica")</x:f>
      </x:c>
      <x:c r="C3951" s="1">
        <x:f>IFERROR(__xludf.DUMMYFUNCTION("""COMPUTED_VALUE"""),"2013")</x:f>
      </x:c>
    </x:row>
    <x:row r="3952" spans="1:10">
      <x:c r="A3952" s="1" t="s">
        <x:v>3961</x:v>
      </x:c>
      <x:c r="B3952" s="1">
        <x:f>IFERROR(__xludf.DUMMYFUNCTION("""COMPUTED_VALUE"""),"La casa Rússia")</x:f>
      </x:c>
      <x:c r="C3952" s="1">
        <x:f>IFERROR(__xludf.DUMMYFUNCTION("""COMPUTED_VALUE"""),"1990")</x:f>
      </x:c>
    </x:row>
    <x:row r="3953" spans="1:10">
      <x:c r="A3953" s="1" t="s">
        <x:v>3962</x:v>
      </x:c>
      <x:c r="B3953" s="1">
        <x:f>IFERROR(__xludf.DUMMYFUNCTION("""COMPUTED_VALUE"""),"La casita blanca, la ciutat oculta")</x:f>
      </x:c>
      <x:c r="C3953" s="1">
        <x:f>IFERROR(__xludf.DUMMYFUNCTION("""COMPUTED_VALUE"""),"2002")</x:f>
      </x:c>
    </x:row>
    <x:row r="3954" spans="1:10">
      <x:c r="A3954" s="1" t="s">
        <x:v>3963</x:v>
      </x:c>
      <x:c r="B3954" s="1">
        <x:f>IFERROR(__xludf.DUMMYFUNCTION("""COMPUTED_VALUE"""),"La catifa màgica")</x:f>
      </x:c>
      <x:c r="C3954" s="1">
        <x:f>IFERROR(__xludf.DUMMYFUNCTION("""COMPUTED_VALUE"""),"2019")</x:f>
      </x:c>
    </x:row>
    <x:row r="3955" spans="1:10">
      <x:c r="A3955" s="1" t="s">
        <x:v>3964</x:v>
      </x:c>
      <x:c r="B3955" s="1">
        <x:f>IFERROR(__xludf.DUMMYFUNCTION("""COMPUTED_VALUE"""),"La caverna")</x:f>
      </x:c>
      <x:c r="C3955" s="1">
        <x:f>IFERROR(__xludf.DUMMYFUNCTION("""COMPUTED_VALUE"""),"1998")</x:f>
      </x:c>
    </x:row>
    <x:row r="3956" spans="1:10">
      <x:c r="A3956" s="1" t="s">
        <x:v>3965</x:v>
      </x:c>
      <x:c r="B3956" s="1">
        <x:f>IFERROR(__xludf.DUMMYFUNCTION("""COMPUTED_VALUE"""),"La central")</x:f>
      </x:c>
      <x:c r="C3956" s="1">
        <x:f>IFERROR(__xludf.DUMMYFUNCTION("""COMPUTED_VALUE"""),"2006")</x:f>
      </x:c>
    </x:row>
    <x:row r="3957" spans="1:10">
      <x:c r="A3957" s="1" t="s">
        <x:v>3966</x:v>
      </x:c>
      <x:c r="B3957" s="1">
        <x:f>IFERROR(__xludf.DUMMYFUNCTION("""COMPUTED_VALUE"""),"La ciència dels somnis")</x:f>
      </x:c>
      <x:c r="C3957" s="1">
        <x:f>IFERROR(__xludf.DUMMYFUNCTION("""COMPUTED_VALUE"""),"2006")</x:f>
      </x:c>
    </x:row>
    <x:row r="3958" spans="1:10">
      <x:c r="A3958" s="1" t="s">
        <x:v>3967</x:v>
      </x:c>
      <x:c r="B3958" s="1">
        <x:f>IFERROR(__xludf.DUMMYFUNCTION("""COMPUTED_VALUE"""),"La cigonya Richard")</x:f>
      </x:c>
      <x:c r="C3958" s="1">
        <x:f>IFERROR(__xludf.DUMMYFUNCTION("""COMPUTED_VALUE"""),"2017")</x:f>
      </x:c>
    </x:row>
    <x:row r="3959" spans="1:10">
      <x:c r="A3959" s="1" t="s">
        <x:v>3968</x:v>
      </x:c>
      <x:c r="B3959" s="1">
        <x:f>IFERROR(__xludf.DUMMYFUNCTION("""COMPUTED_VALUE"""),"La cinquena onada")</x:f>
      </x:c>
      <x:c r="C3959" s="1">
        <x:f>IFERROR(__xludf.DUMMYFUNCTION("""COMPUTED_VALUE"""),"2016")</x:f>
      </x:c>
    </x:row>
    <x:row r="3960" spans="1:10">
      <x:c r="A3960" s="1" t="s">
        <x:v>3969</x:v>
      </x:c>
      <x:c r="B3960" s="1">
        <x:f>IFERROR(__xludf.DUMMYFUNCTION("""COMPUTED_VALUE"""),"La ciutat cremada")</x:f>
      </x:c>
      <x:c r="C3960" s="1">
        <x:f>IFERROR(__xludf.DUMMYFUNCTION("""COMPUTED_VALUE"""),"1976")</x:f>
      </x:c>
    </x:row>
    <x:row r="3961" spans="1:10">
      <x:c r="A3961" s="1" t="s">
        <x:v>3970</x:v>
      </x:c>
      <x:c r="B3961" s="1">
        <x:f>IFERROR(__xludf.DUMMYFUNCTION("""COMPUTED_VALUE"""),"La ciutat de l'Alegria")</x:f>
      </x:c>
      <x:c r="C3961" s="1">
        <x:f>IFERROR(__xludf.DUMMYFUNCTION("""COMPUTED_VALUE"""),"1992")</x:f>
      </x:c>
    </x:row>
    <x:row r="3962" spans="1:10">
      <x:c r="A3962" s="1" t="s">
        <x:v>3971</x:v>
      </x:c>
      <x:c r="B3962" s="1">
        <x:f>IFERROR(__xludf.DUMMYFUNCTION("""COMPUTED_VALUE"""),"La ciutat dels nens perduts")</x:f>
      </x:c>
      <x:c r="C3962" s="1">
        <x:f>IFERROR(__xludf.DUMMYFUNCTION("""COMPUTED_VALUE"""),"1995")</x:f>
      </x:c>
    </x:row>
    <x:row r="3963" spans="1:10">
      <x:c r="A3963" s="1" t="s">
        <x:v>3972</x:v>
      </x:c>
      <x:c r="B3963" s="1">
        <x:f>IFERROR(__xludf.DUMMYFUNCTION("""COMPUTED_VALUE"""),"La ciutat dels prodigis")</x:f>
      </x:c>
      <x:c r="C3963" s="1">
        <x:f>IFERROR(__xludf.DUMMYFUNCTION("""COMPUTED_VALUE"""),"1999")</x:f>
      </x:c>
    </x:row>
    <x:row r="3964" spans="1:10">
      <x:c r="A3964" s="1" t="s">
        <x:v>3973</x:v>
      </x:c>
      <x:c r="B3964" s="1">
        <x:f>IFERROR(__xludf.DUMMYFUNCTION("""COMPUTED_VALUE"""),"La ciutat perduda")</x:f>
      </x:c>
      <x:c r="C3964" s="1">
        <x:f>IFERROR(__xludf.DUMMYFUNCTION("""COMPUTED_VALUE"""),"2005")</x:f>
      </x:c>
    </x:row>
    <x:row r="3965" spans="1:10">
      <x:c r="A3965" s="1" t="s">
        <x:v>3974</x:v>
      </x:c>
      <x:c r="B3965" s="1">
        <x:f>IFERROR(__xludf.DUMMYFUNCTION("""COMPUTED_VALUE"""),"La Clara i la Claire")</x:f>
      </x:c>
      <x:c r="C3965" s="1">
        <x:f>IFERROR(__xludf.DUMMYFUNCTION("""COMPUTED_VALUE"""),"2019")</x:f>
      </x:c>
    </x:row>
    <x:row r="3966" spans="1:10">
      <x:c r="A3966" s="1" t="s">
        <x:v>3975</x:v>
      </x:c>
      <x:c r="B3966" s="1">
        <x:f>IFERROR(__xludf.DUMMYFUNCTION("""COMPUTED_VALUE"""),"La classe d'esgrima")</x:f>
      </x:c>
      <x:c r="C3966" s="1">
        <x:f>IFERROR(__xludf.DUMMYFUNCTION("""COMPUTED_VALUE"""),"2015")</x:f>
      </x:c>
    </x:row>
    <x:row r="3967" spans="1:10">
      <x:c r="A3967" s="1" t="s">
        <x:v>3976</x:v>
      </x:c>
      <x:c r="B3967" s="1">
        <x:f>IFERROR(__xludf.DUMMYFUNCTION("""COMPUTED_VALUE"""),"La classe de piano")</x:f>
      </x:c>
      <x:c r="C3967" s="1">
        <x:f>IFERROR(__xludf.DUMMYFUNCTION("""COMPUTED_VALUE"""),"2018")</x:f>
      </x:c>
    </x:row>
    <x:row r="3968" spans="1:10">
      <x:c r="A3968" s="1" t="s">
        <x:v>3977</x:v>
      </x:c>
      <x:c r="B3968" s="1">
        <x:f>IFERROR(__xludf.DUMMYFUNCTION("""COMPUTED_VALUE"""),"La clau de la Sarah")</x:f>
      </x:c>
      <x:c r="C3968" s="1">
        <x:f>IFERROR(__xludf.DUMMYFUNCTION("""COMPUTED_VALUE"""),"2010")</x:f>
      </x:c>
    </x:row>
    <x:row r="3969" spans="1:10">
      <x:c r="A3969" s="1" t="s">
        <x:v>3978</x:v>
      </x:c>
      <x:c r="B3969" s="1">
        <x:f>IFERROR(__xludf.DUMMYFUNCTION("""COMPUTED_VALUE"""),"La clau màgica")</x:f>
      </x:c>
      <x:c r="C3969" s="1">
        <x:f>IFERROR(__xludf.DUMMYFUNCTION("""COMPUTED_VALUE"""),"1995")</x:f>
      </x:c>
    </x:row>
    <x:row r="3970" spans="1:10">
      <x:c r="A3970" s="1" t="s">
        <x:v>3979</x:v>
      </x:c>
      <x:c r="B3970" s="1">
        <x:f>IFERROR(__xludf.DUMMYFUNCTION("""COMPUTED_VALUE"""),"La clienta")</x:f>
      </x:c>
      <x:c r="C3970" s="1">
        <x:f>IFERROR(__xludf.DUMMYFUNCTION("""COMPUTED_VALUE"""),"2008")</x:f>
      </x:c>
    </x:row>
    <x:row r="3971" spans="1:10">
      <x:c r="A3971" s="1" t="s">
        <x:v>3980</x:v>
      </x:c>
      <x:c r="B3971" s="1">
        <x:f>IFERROR(__xludf.DUMMYFUNCTION("""COMPUTED_VALUE"""),"La clínica")</x:f>
      </x:c>
      <x:c r="C3971" s="1">
        <x:f>IFERROR(__xludf.DUMMYFUNCTION("""COMPUTED_VALUE"""),"2010")</x:f>
      </x:c>
    </x:row>
    <x:row r="3972" spans="1:10">
      <x:c r="A3972" s="1" t="s">
        <x:v>3981</x:v>
      </x:c>
      <x:c r="B3972" s="1">
        <x:f>IFERROR(__xludf.DUMMYFUNCTION("""COMPUTED_VALUE"""),"La colla de la selva al rescat!: El retorn al gel")</x:f>
      </x:c>
      <x:c r="C3972" s="1">
        <x:f>IFERROR(__xludf.DUMMYFUNCTION("""COMPUTED_VALUE"""),"2011")</x:f>
      </x:c>
    </x:row>
    <x:row r="3973" spans="1:10">
      <x:c r="A3973" s="1" t="s">
        <x:v>3982</x:v>
      </x:c>
      <x:c r="B3973" s="1">
        <x:f>IFERROR(__xludf.DUMMYFUNCTION("""COMPUTED_VALUE"""),"La colla de la selva al rescat!: El tresor del vell Jim")</x:f>
      </x:c>
      <x:c r="C3973" s="1">
        <x:f>IFERROR(__xludf.DUMMYFUNCTION("""COMPUTED_VALUE"""),"2014")</x:f>
      </x:c>
    </x:row>
    <x:row r="3974" spans="1:10">
      <x:c r="A3974" s="1" t="s">
        <x:v>3983</x:v>
      </x:c>
      <x:c r="B3974" s="1">
        <x:f>IFERROR(__xludf.DUMMYFUNCTION("""COMPUTED_VALUE"""),"La colla dels brivalls, herois del dia")</x:f>
      </x:c>
      <x:c r="C3974" s="1">
        <x:f>IFERROR(__xludf.DUMMYFUNCTION("""COMPUTED_VALUE"""),"2014")</x:f>
      </x:c>
    </x:row>
    <x:row r="3975" spans="1:10">
      <x:c r="A3975" s="1" t="s">
        <x:v>3984</x:v>
      </x:c>
      <x:c r="B3975" s="1">
        <x:f>IFERROR(__xludf.DUMMYFUNCTION("""COMPUTED_VALUE"""),"La colla dels sis")</x:f>
      </x:c>
      <x:c r="C3975" s="1">
        <x:f>IFERROR(__xludf.DUMMYFUNCTION("""COMPUTED_VALUE"""),"1982")</x:f>
      </x:c>
    </x:row>
    <x:row r="3976" spans="1:10">
      <x:c r="A3976" s="1" t="s">
        <x:v>3985</x:v>
      </x:c>
      <x:c r="B3976" s="1">
        <x:f>IFERROR(__xludf.DUMMYFUNCTION("""COMPUTED_VALUE"""),"La comtessa de Hong Kong")</x:f>
      </x:c>
      <x:c r="C3976" s="1">
        <x:f>IFERROR(__xludf.DUMMYFUNCTION("""COMPUTED_VALUE"""),"1967")</x:f>
      </x:c>
    </x:row>
    <x:row r="3977" spans="1:10">
      <x:c r="A3977" s="1" t="s">
        <x:v>3986</x:v>
      </x:c>
      <x:c r="B3977" s="1">
        <x:f>IFERROR(__xludf.DUMMYFUNCTION("""COMPUTED_VALUE"""),"La comtessa descalça")</x:f>
      </x:c>
      <x:c r="C3977" s="1">
        <x:f>IFERROR(__xludf.DUMMYFUNCTION("""COMPUTED_VALUE"""),"1954")</x:f>
      </x:c>
    </x:row>
    <x:row r="3978" spans="1:10">
      <x:c r="A3978" s="1" t="s">
        <x:v>3987</x:v>
      </x:c>
      <x:c r="B3978" s="1">
        <x:f>IFERROR(__xludf.DUMMYFUNCTION("""COMPUTED_VALUE"""),"La comtessa russa")</x:f>
      </x:c>
      <x:c r="C3978" s="1">
        <x:f>IFERROR(__xludf.DUMMYFUNCTION("""COMPUTED_VALUE"""),"2005")</x:f>
      </x:c>
    </x:row>
    <x:row r="3979" spans="1:10">
      <x:c r="A3979" s="1" t="s">
        <x:v>3988</x:v>
      </x:c>
      <x:c r="B3979" s="1">
        <x:f>IFERROR(__xludf.DUMMYFUNCTION("""COMPUTED_VALUE"""),"La conferència")</x:f>
      </x:c>
      <x:c r="C3979" s="1">
        <x:f>IFERROR(__xludf.DUMMYFUNCTION("""COMPUTED_VALUE"""),"2022")</x:f>
      </x:c>
    </x:row>
    <x:row r="3980" spans="1:10">
      <x:c r="A3980" s="1" t="s">
        <x:v>3989</x:v>
      </x:c>
      <x:c r="B3980" s="1">
        <x:f>IFERROR(__xludf.DUMMYFUNCTION("""COMPUTED_VALUE"""),"La confessió")</x:f>
      </x:c>
      <x:c r="C3980" s="1">
        <x:f>IFERROR(__xludf.DUMMYFUNCTION("""COMPUTED_VALUE"""),"1970")</x:f>
      </x:c>
    </x:row>
    <x:row r="3981" spans="1:10">
      <x:c r="A3981" s="1" t="s">
        <x:v>3990</x:v>
      </x:c>
      <x:c r="B3981" s="1">
        <x:f>IFERROR(__xludf.DUMMYFUNCTION("""COMPUTED_VALUE"""),"La conquesta de l'Oest")</x:f>
      </x:c>
      <x:c r="C3981" s="1">
        <x:f>IFERROR(__xludf.DUMMYFUNCTION("""COMPUTED_VALUE"""),"1962")</x:f>
      </x:c>
    </x:row>
    <x:row r="3982" spans="1:10">
      <x:c r="A3982" s="1" t="s">
        <x:v>3991</x:v>
      </x:c>
      <x:c r="B3982" s="1">
        <x:f>IFERROR(__xludf.DUMMYFUNCTION("""COMPUTED_VALUE"""),"La conspiració")</x:f>
      </x:c>
      <x:c r="C3982" s="1">
        <x:f>IFERROR(__xludf.DUMMYFUNCTION("""COMPUTED_VALUE"""),"2010")</x:f>
      </x:c>
    </x:row>
    <x:row r="3983" spans="1:10">
      <x:c r="A3983" s="1" t="s">
        <x:v>3992</x:v>
      </x:c>
      <x:c r="B3983" s="1">
        <x:f>IFERROR(__xludf.DUMMYFUNCTION("""COMPUTED_VALUE"""),"La conspiració del novembre")</x:f>
      </x:c>
      <x:c r="C3983" s="1">
        <x:f>IFERROR(__xludf.DUMMYFUNCTION("""COMPUTED_VALUE"""),"2014")</x:f>
      </x:c>
    </x:row>
    <x:row r="3984" spans="1:10">
      <x:c r="A3984" s="1" t="s">
        <x:v>3993</x:v>
      </x:c>
      <x:c r="B3984" s="1">
        <x:f>IFERROR(__xludf.DUMMYFUNCTION("""COMPUTED_VALUE"""),"La conspiració del silenci")</x:f>
      </x:c>
      <x:c r="C3984" s="1">
        <x:f>IFERROR(__xludf.DUMMYFUNCTION("""COMPUTED_VALUE"""),"2014")</x:f>
      </x:c>
    </x:row>
    <x:row r="3985" spans="1:10">
      <x:c r="A3985" s="1" t="s">
        <x:v>3994</x:v>
      </x:c>
      <x:c r="B3985" s="1">
        <x:f>IFERROR(__xludf.DUMMYFUNCTION("""COMPUTED_VALUE"""),"La correspondència")</x:f>
      </x:c>
      <x:c r="C3985" s="1">
        <x:f>IFERROR(__xludf.DUMMYFUNCTION("""COMPUTED_VALUE"""),"2016")</x:f>
      </x:c>
    </x:row>
    <x:row r="3986" spans="1:10">
      <x:c r="A3986" s="1" t="s">
        <x:v>3995</x:v>
      </x:c>
      <x:c r="B3986" s="1">
        <x:f>IFERROR(__xludf.DUMMYFUNCTION("""COMPUTED_VALUE"""),"La corresponsal")</x:f>
      </x:c>
      <x:c r="C3986" s="1">
        <x:f>IFERROR(__xludf.DUMMYFUNCTION("""COMPUTED_VALUE"""),"2018")</x:f>
      </x:c>
    </x:row>
    <x:row r="3987" spans="1:10">
      <x:c r="A3987" s="1" t="s">
        <x:v>3996</x:v>
      </x:c>
      <x:c r="B3987" s="1">
        <x:f>IFERROR(__xludf.DUMMYFUNCTION("""COMPUTED_VALUE"""),"La cosmètica de l'enemic")</x:f>
      </x:c>
      <x:c r="C3987" s="1">
        <x:f>IFERROR(__xludf.DUMMYFUNCTION("""COMPUTED_VALUE"""),"2020")</x:f>
      </x:c>
    </x:row>
    <x:row r="3988" spans="1:10">
      <x:c r="A3988" s="1" t="s">
        <x:v>3997</x:v>
      </x:c>
      <x:c r="B3988" s="1">
        <x:f>IFERROR(__xludf.DUMMYFUNCTION("""COMPUTED_VALUE"""),"La cova maleïda")</x:f>
      </x:c>
      <x:c r="C3988" s="1">
        <x:f>IFERROR(__xludf.DUMMYFUNCTION("""COMPUTED_VALUE"""),"2005")</x:f>
      </x:c>
    </x:row>
    <x:row r="3989" spans="1:10">
      <x:c r="A3989" s="1" t="s">
        <x:v>3998</x:v>
      </x:c>
      <x:c r="B3989" s="1">
        <x:f>IFERROR(__xludf.DUMMYFUNCTION("""COMPUTED_VALUE"""),"La creu de ferro")</x:f>
      </x:c>
      <x:c r="C3989" s="1">
        <x:f>IFERROR(__xludf.DUMMYFUNCTION("""COMPUTED_VALUE"""),"1977")</x:f>
      </x:c>
    </x:row>
    <x:row r="3990" spans="1:10">
      <x:c r="A3990" s="1" t="s">
        <x:v>3999</x:v>
      </x:c>
      <x:c r="B3990" s="1">
        <x:f>IFERROR(__xludf.DUMMYFUNCTION("""COMPUTED_VALUE"""),"La criatura")</x:f>
      </x:c>
      <x:c r="C3990" s="1">
        <x:f>IFERROR(__xludf.DUMMYFUNCTION("""COMPUTED_VALUE"""),"2001")</x:f>
      </x:c>
    </x:row>
    <x:row r="3991" spans="1:10">
      <x:c r="A3991" s="1" t="s">
        <x:v>4000</x:v>
      </x:c>
      <x:c r="B3991" s="1">
        <x:f>IFERROR(__xludf.DUMMYFUNCTION("""COMPUTED_VALUE"""),"La crida de Cthulhu [VOSC]")</x:f>
      </x:c>
      <x:c r="C3991" s="1">
        <x:f>IFERROR(__xludf.DUMMYFUNCTION("""COMPUTED_VALUE"""),"2005")</x:f>
      </x:c>
    </x:row>
    <x:row r="3992" spans="1:10">
      <x:c r="A3992" s="1" t="s">
        <x:v>4001</x:v>
      </x:c>
      <x:c r="B3992" s="1">
        <x:f>IFERROR(__xludf.DUMMYFUNCTION("""COMPUTED_VALUE"""),"La Crida, història d'una resposta")</x:f>
      </x:c>
      <x:c r="C3992" s="1">
        <x:f>IFERROR(__xludf.DUMMYFUNCTION("""COMPUTED_VALUE"""),"2011")</x:f>
      </x:c>
    </x:row>
    <x:row r="3993" spans="1:10">
      <x:c r="A3993" s="1" t="s">
        <x:v>4002</x:v>
      </x:c>
      <x:c r="B3993" s="1">
        <x:f>IFERROR(__xludf.DUMMYFUNCTION("""COMPUTED_VALUE"""),"La cripta embruixada")</x:f>
      </x:c>
      <x:c r="C3993" s="1">
        <x:f>IFERROR(__xludf.DUMMYFUNCTION("""COMPUTED_VALUE"""),"1981")</x:f>
      </x:c>
    </x:row>
    <x:row r="3994" spans="1:10">
      <x:c r="A3994" s="1" t="s">
        <x:v>4003</x:v>
      </x:c>
      <x:c r="B3994" s="1">
        <x:f>IFERROR(__xludf.DUMMYFUNCTION("""COMPUTED_VALUE"""),"La crua realitat")</x:f>
      </x:c>
      <x:c r="C3994" s="1">
        <x:f>IFERROR(__xludf.DUMMYFUNCTION("""COMPUTED_VALUE"""),"2009")</x:f>
      </x:c>
    </x:row>
    <x:row r="3995" spans="1:10">
      <x:c r="A3995" s="1" t="s">
        <x:v>4004</x:v>
      </x:c>
      <x:c r="B3995" s="1">
        <x:f>IFERROR(__xludf.DUMMYFUNCTION("""COMPUTED_VALUE"""),"La cuinera del president")</x:f>
      </x:c>
      <x:c r="C3995" s="1">
        <x:f>IFERROR(__xludf.DUMMYFUNCTION("""COMPUTED_VALUE"""),"2012")</x:f>
      </x:c>
    </x:row>
    <x:row r="3996" spans="1:10">
      <x:c r="A3996" s="1" t="s">
        <x:v>4005</x:v>
      </x:c>
      <x:c r="B3996" s="1">
        <x:f>IFERROR(__xludf.DUMMYFUNCTION("""COMPUTED_VALUE"""),"La cursa de l'espai")</x:f>
      </x:c>
      <x:c r="C3996" s="1">
        <x:f>IFERROR(__xludf.DUMMYFUNCTION("""COMPUTED_VALUE"""),"2001")</x:f>
      </x:c>
    </x:row>
    <x:row r="3997" spans="1:10">
      <x:c r="A3997" s="1" t="s">
        <x:v>4006</x:v>
      </x:c>
      <x:c r="B3997" s="1">
        <x:f>IFERROR(__xludf.DUMMYFUNCTION("""COMPUTED_VALUE"""),"La cursa del segle")</x:f>
      </x:c>
      <x:c r="C3997" s="1">
        <x:f>IFERROR(__xludf.DUMMYFUNCTION("""COMPUTED_VALUE"""),"1965")</x:f>
      </x:c>
    </x:row>
    <x:row r="3998" spans="1:10">
      <x:c r="A3998" s="1" t="s">
        <x:v>4007</x:v>
      </x:c>
      <x:c r="B3998" s="1">
        <x:f>IFERROR(__xludf.DUMMYFUNCTION("""COMPUTED_VALUE"""),"La dàlia negra")</x:f>
      </x:c>
      <x:c r="C3998" s="1">
        <x:f>IFERROR(__xludf.DUMMYFUNCTION("""COMPUTED_VALUE"""),"2006")</x:f>
      </x:c>
    </x:row>
    <x:row r="3999" spans="1:10">
      <x:c r="A3999" s="1" t="s">
        <x:v>4008</x:v>
      </x:c>
      <x:c r="B3999" s="1">
        <x:f>IFERROR(__xludf.DUMMYFUNCTION("""COMPUTED_VALUE"""),"La dama")</x:f>
      </x:c>
      <x:c r="C3999" s="1">
        <x:f>IFERROR(__xludf.DUMMYFUNCTION("""COMPUTED_VALUE"""),"1915")</x:f>
      </x:c>
    </x:row>
    <x:row r="4000" spans="1:10">
      <x:c r="A4000" s="1" t="s">
        <x:v>4009</x:v>
      </x:c>
      <x:c r="B4000" s="1">
        <x:f>IFERROR(__xludf.DUMMYFUNCTION("""COMPUTED_VALUE"""),"La dama d'or")</x:f>
      </x:c>
      <x:c r="C4000" s="1">
        <x:f>IFERROR(__xludf.DUMMYFUNCTION("""COMPUTED_VALUE"""),"2015")</x:f>
      </x:c>
    </x:row>
    <x:row r="4001" spans="1:10">
      <x:c r="A4001" s="1" t="s">
        <x:v>4010</x:v>
      </x:c>
      <x:c r="B4001" s="1">
        <x:f>IFERROR(__xludf.DUMMYFUNCTION("""COMPUTED_VALUE"""),"La Dama de Ferro")</x:f>
      </x:c>
      <x:c r="C4001" s="1">
        <x:f>IFERROR(__xludf.DUMMYFUNCTION("""COMPUTED_VALUE"""),"2011")</x:f>
      </x:c>
    </x:row>
    <x:row r="4002" spans="1:10">
      <x:c r="A4002" s="1" t="s">
        <x:v>4011</x:v>
      </x:c>
      <x:c r="B4002" s="1">
        <x:f>IFERROR(__xludf.DUMMYFUNCTION("""COMPUTED_VALUE"""),"La dama de l'exprés")</x:f>
      </x:c>
      <x:c r="C4002" s="1">
        <x:f>IFERROR(__xludf.DUMMYFUNCTION("""COMPUTED_VALUE"""),"1979")</x:f>
      </x:c>
    </x:row>
    <x:row r="4003" spans="1:10">
      <x:c r="A4003" s="1" t="s">
        <x:v>4012</x:v>
      </x:c>
      <x:c r="B4003" s="1">
        <x:f>IFERROR(__xludf.DUMMYFUNCTION("""COMPUTED_VALUE"""),"La dama de la furgoneta")</x:f>
      </x:c>
      <x:c r="C4003" s="1">
        <x:f>IFERROR(__xludf.DUMMYFUNCTION("""COMPUTED_VALUE"""),"2015")</x:f>
      </x:c>
    </x:row>
    <x:row r="4004" spans="1:10">
      <x:c r="A4004" s="1" t="s">
        <x:v>4013</x:v>
      </x:c>
      <x:c r="B4004" s="1">
        <x:f>IFERROR(__xludf.DUMMYFUNCTION("""COMPUTED_VALUE"""),"La dama de Xangai")</x:f>
      </x:c>
      <x:c r="C4004" s="1">
        <x:f>IFERROR(__xludf.DUMMYFUNCTION("""COMPUTED_VALUE"""),"1947")</x:f>
      </x:c>
    </x:row>
    <x:row r="4005" spans="1:10">
      <x:c r="A4005" s="1" t="s">
        <x:v>4014</x:v>
      </x:c>
      <x:c r="B4005" s="1">
        <x:f>IFERROR(__xludf.DUMMYFUNCTION("""COMPUTED_VALUE"""),"La dama del quadre")</x:f>
      </x:c>
      <x:c r="C4005" s="1">
        <x:f>IFERROR(__xludf.DUMMYFUNCTION("""COMPUTED_VALUE"""),"2017")</x:f>
      </x:c>
    </x:row>
    <x:row r="4006" spans="1:10">
      <x:c r="A4006" s="1" t="s">
        <x:v>4015</x:v>
      </x:c>
      <x:c r="B4006" s="1">
        <x:f>IFERROR(__xludf.DUMMYFUNCTION("""COMPUTED_VALUE"""),"La dana més mortal")</x:f>
      </x:c>
      <x:c r="C4006" s="1">
        <x:f>IFERROR(__xludf.DUMMYFUNCTION("""COMPUTED_VALUE"""),"2024")</x:f>
      </x:c>
    </x:row>
    <x:row r="4007" spans="1:10">
      <x:c r="A4007" s="1" t="s">
        <x:v>4016</x:v>
      </x:c>
      <x:c r="B4007" s="1">
        <x:f>IFERROR(__xludf.DUMMYFUNCTION("""COMPUTED_VALUE"""),"La darrera nota")</x:f>
      </x:c>
      <x:c r="C4007" s="1">
        <x:f>IFERROR(__xludf.DUMMYFUNCTION("""COMPUTED_VALUE"""),"2006")</x:f>
      </x:c>
    </x:row>
    <x:row r="4008" spans="1:10">
      <x:c r="A4008" s="1" t="s">
        <x:v>4017</x:v>
      </x:c>
      <x:c r="B4008" s="1">
        <x:f>IFERROR(__xludf.DUMMYFUNCTION("""COMPUTED_VALUE"""),"La decisió")</x:f>
      </x:c>
      <x:c r="C4008" s="1">
        <x:f>IFERROR(__xludf.DUMMYFUNCTION("""COMPUTED_VALUE"""),"2016")</x:f>
      </x:c>
    </x:row>
    <x:row r="4009" spans="1:10">
      <x:c r="A4009" s="1" t="s">
        <x:v>4018</x:v>
      </x:c>
      <x:c r="B4009" s="1">
        <x:f>IFERROR(__xludf.DUMMYFUNCTION("""COMPUTED_VALUE"""),"La decisió")</x:f>
      </x:c>
      <x:c r="C4009" s="1">
        <x:f>IFERROR(__xludf.DUMMYFUNCTION("""COMPUTED_VALUE"""),"2017")</x:f>
      </x:c>
    </x:row>
    <x:row r="4010" spans="1:10">
      <x:c r="A4010" s="1" t="s">
        <x:v>4019</x:v>
      </x:c>
      <x:c r="B4010" s="1">
        <x:f>IFERROR(__xludf.DUMMYFUNCTION("""COMPUTED_VALUE"""),"La decisió")</x:f>
      </x:c>
      <x:c r="C4010" s="1">
        <x:f>IFERROR(__xludf.DUMMYFUNCTION("""COMPUTED_VALUE"""),"2019")</x:f>
      </x:c>
    </x:row>
    <x:row r="4011" spans="1:10">
      <x:c r="A4011" s="1" t="s">
        <x:v>4020</x:v>
      </x:c>
      <x:c r="B4011" s="1">
        <x:f>IFERROR(__xludf.DUMMYFUNCTION("""COMPUTED_VALUE"""),"La decisió de l'Anne")</x:f>
      </x:c>
      <x:c r="C4011" s="1">
        <x:f>IFERROR(__xludf.DUMMYFUNCTION("""COMPUTED_VALUE"""),"2009")</x:f>
      </x:c>
    </x:row>
    <x:row r="4012" spans="1:10">
      <x:c r="A4012" s="1" t="s">
        <x:v>4021</x:v>
      </x:c>
      <x:c r="B4012" s="1">
        <x:f>IFERROR(__xludf.DUMMYFUNCTION("""COMPUTED_VALUE"""),"La decisió de la Sophie")</x:f>
      </x:c>
      <x:c r="C4012" s="1">
        <x:f>IFERROR(__xludf.DUMMYFUNCTION("""COMPUTED_VALUE"""),"1982")</x:f>
      </x:c>
    </x:row>
    <x:row r="4013" spans="1:10">
      <x:c r="A4013" s="1" t="s">
        <x:v>4022</x:v>
      </x:c>
      <x:c r="B4013" s="1">
        <x:f>IFERROR(__xludf.DUMMYFUNCTION("""COMPUTED_VALUE"""),"La decisió del rei")</x:f>
      </x:c>
      <x:c r="C4013" s="1">
        <x:f>IFERROR(__xludf.DUMMYFUNCTION("""COMPUTED_VALUE"""),"2016")</x:f>
      </x:c>
    </x:row>
    <x:row r="4014" spans="1:10">
      <x:c r="A4014" s="1" t="s">
        <x:v>4023</x:v>
      </x:c>
      <x:c r="B4014" s="1">
        <x:f>IFERROR(__xludf.DUMMYFUNCTION("""COMPUTED_VALUE"""),"La delicadesa")</x:f>
      </x:c>
      <x:c r="C4014" s="1">
        <x:f>IFERROR(__xludf.DUMMYFUNCTION("""COMPUTED_VALUE"""),"2011")</x:f>
      </x:c>
    </x:row>
    <x:row r="4015" spans="1:10">
      <x:c r="A4015" s="1" t="s">
        <x:v>4024</x:v>
      </x:c>
      <x:c r="B4015" s="1">
        <x:f>IFERROR(__xludf.DUMMYFUNCTION("""COMPUTED_VALUE"""),"La desaparició d'en Conan Edogawa")</x:f>
      </x:c>
      <x:c r="C4015" s="1">
        <x:f>IFERROR(__xludf.DUMMYFUNCTION("""COMPUTED_VALUE"""),"2014")</x:f>
      </x:c>
    </x:row>
    <x:row r="4016" spans="1:10">
      <x:c r="A4016" s="1" t="s">
        <x:v>4025</x:v>
      </x:c>
      <x:c r="B4016" s="1">
        <x:f>IFERROR(__xludf.DUMMYFUNCTION("""COMPUTED_VALUE"""),"La desena victima")</x:f>
      </x:c>
      <x:c r="C4016" s="1">
        <x:f>IFERROR(__xludf.DUMMYFUNCTION("""COMPUTED_VALUE"""),"1965")</x:f>
      </x:c>
    </x:row>
    <x:row r="4017" spans="1:10">
      <x:c r="A4017" s="1" t="s">
        <x:v>4026</x:v>
      </x:c>
      <x:c r="B4017" s="1">
        <x:f>IFERROR(__xludf.DUMMYFUNCTION("""COMPUTED_VALUE"""),"La diligència: La història de Texas Jack")</x:f>
      </x:c>
      <x:c r="C4017" s="1">
        <x:f>IFERROR(__xludf.DUMMYFUNCTION("""COMPUTED_VALUE"""),"2016")</x:f>
      </x:c>
    </x:row>
    <x:row r="4018" spans="1:10">
      <x:c r="A4018" s="1" t="s">
        <x:v>4027</x:v>
      </x:c>
      <x:c r="B4018" s="1">
        <x:f>IFERROR(__xludf.DUMMYFUNCTION("""COMPUTED_VALUE"""),"La directora d'orquestra")</x:f>
      </x:c>
      <x:c r="C4018" s="1">
        <x:f>IFERROR(__xludf.DUMMYFUNCTION("""COMPUTED_VALUE"""),"2018")</x:f>
      </x:c>
    </x:row>
    <x:row r="4019" spans="1:10">
      <x:c r="A4019" s="1" t="s">
        <x:v>4028</x:v>
      </x:c>
      <x:c r="B4019" s="1">
        <x:f>IFERROR(__xludf.DUMMYFUNCTION("""COMPUTED_VALUE"""),"La distància més llarga")</x:f>
      </x:c>
      <x:c r="C4019" s="1">
        <x:f>IFERROR(__xludf.DUMMYFUNCTION("""COMPUTED_VALUE"""),"2013")</x:f>
      </x:c>
    </x:row>
    <x:row r="4020" spans="1:10">
      <x:c r="A4020" s="1" t="s">
        <x:v>4029</x:v>
      </x:c>
      <x:c r="B4020" s="1">
        <x:f>IFERROR(__xludf.DUMMYFUNCTION("""COMPUTED_VALUE"""),"La Dixie i la rebel·lió zombi")</x:f>
      </x:c>
      <x:c r="C4020" s="1">
        <x:f>IFERROR(__xludf.DUMMYFUNCTION("""COMPUTED_VALUE"""),"2014")</x:f>
      </x:c>
    </x:row>
    <x:row r="4021" spans="1:10">
      <x:c r="A4021" s="1" t="s">
        <x:v>4030</x:v>
      </x:c>
      <x:c r="B4021" s="1">
        <x:f>IFERROR(__xludf.DUMMYFUNCTION("""COMPUTED_VALUE"""),"La doble de la núvia")</x:f>
      </x:c>
      <x:c r="C4021" s="1">
        <x:f>IFERROR(__xludf.DUMMYFUNCTION("""COMPUTED_VALUE"""),"2011")</x:f>
      </x:c>
    </x:row>
    <x:row r="4022" spans="1:10">
      <x:c r="A4022" s="1" t="s">
        <x:v>4031</x:v>
      </x:c>
      <x:c r="B4022" s="1">
        <x:f>IFERROR(__xludf.DUMMYFUNCTION("""COMPUTED_VALUE"""),"La doble vida del faquir")</x:f>
      </x:c>
      <x:c r="C4022" s="1">
        <x:f>IFERROR(__xludf.DUMMYFUNCTION("""COMPUTED_VALUE"""),"2005")</x:f>
      </x:c>
    </x:row>
    <x:row r="4023" spans="1:10">
      <x:c r="A4023" s="1" t="s">
        <x:v>4032</x:v>
      </x:c>
      <x:c r="B4023" s="1">
        <x:f>IFERROR(__xludf.DUMMYFUNCTION("""COMPUTED_VALUE"""),"La dona de foc")</x:f>
      </x:c>
      <x:c r="C4023" s="1">
        <x:f>IFERROR(__xludf.DUMMYFUNCTION("""COMPUTED_VALUE"""),"1947")</x:f>
      </x:c>
    </x:row>
    <x:row r="4024" spans="1:10">
      <x:c r="A4024" s="1" t="s">
        <x:v>4033</x:v>
      </x:c>
      <x:c r="B4024" s="1">
        <x:f>IFERROR(__xludf.DUMMYFUNCTION("""COMPUTED_VALUE"""),"La dona de l'anarquista")</x:f>
      </x:c>
      <x:c r="C4024" s="1">
        <x:f>IFERROR(__xludf.DUMMYFUNCTION("""COMPUTED_VALUE"""),"2008")</x:f>
      </x:c>
    </x:row>
    <x:row r="4025" spans="1:10">
      <x:c r="A4025" s="1" t="s">
        <x:v>4034</x:v>
      </x:c>
      <x:c r="B4025" s="1">
        <x:f>IFERROR(__xludf.DUMMYFUNCTION("""COMPUTED_VALUE"""),"La dona de l'espia")</x:f>
      </x:c>
      <x:c r="C4025" s="1">
        <x:f>IFERROR(__xludf.DUMMYFUNCTION("""COMPUTED_VALUE"""),"2020")</x:f>
      </x:c>
    </x:row>
    <x:row r="4026" spans="1:10">
      <x:c r="A4026" s="1" t="s">
        <x:v>4035</x:v>
      </x:c>
      <x:c r="B4026" s="1">
        <x:f>IFERROR(__xludf.DUMMYFUNCTION("""COMPUTED_VALUE"""),"La dona de l’infern")</x:f>
      </x:c>
      <x:c r="C4026" s="1">
        <x:f>IFERROR(__xludf.DUMMYFUNCTION("""COMPUTED_VALUE"""),"2019")</x:f>
      </x:c>
    </x:row>
    <x:row r="4027" spans="1:10">
      <x:c r="A4027" s="1" t="s">
        <x:v>4036</x:v>
      </x:c>
      <x:c r="B4027" s="1">
        <x:f>IFERROR(__xludf.DUMMYFUNCTION("""COMPUTED_VALUE"""),"La dona de negre")</x:f>
      </x:c>
      <x:c r="C4027" s="1">
        <x:f>IFERROR(__xludf.DUMMYFUNCTION("""COMPUTED_VALUE"""),"2012")</x:f>
      </x:c>
    </x:row>
    <x:row r="4028" spans="1:10">
      <x:c r="A4028" s="1" t="s">
        <x:v>4037</x:v>
      </x:c>
      <x:c r="B4028" s="1">
        <x:f>IFERROR(__xludf.DUMMYFUNCTION("""COMPUTED_VALUE"""),"La dona del quadre [VOSC]")</x:f>
      </x:c>
      <x:c r="C4028" s="1">
        <x:f>IFERROR(__xludf.DUMMYFUNCTION("""COMPUTED_VALUE"""),"1944")</x:f>
      </x:c>
    </x:row>
    <x:row r="4029" spans="1:10">
      <x:c r="A4029" s="1" t="s">
        <x:v>4038</x:v>
      </x:c>
      <x:c r="B4029" s="1">
        <x:f>IFERROR(__xludf.DUMMYFUNCTION("""COMPUTED_VALUE"""),"La dona del segle")</x:f>
      </x:c>
      <x:c r="C4029" s="1">
        <x:f>IFERROR(__xludf.DUMMYFUNCTION("""COMPUTED_VALUE"""),"2018")</x:f>
      </x:c>
    </x:row>
    <x:row r="4030" spans="1:10">
      <x:c r="A4030" s="1" t="s">
        <x:v>4039</x:v>
      </x:c>
      <x:c r="B4030" s="1">
        <x:f>IFERROR(__xludf.DUMMYFUNCTION("""COMPUTED_VALUE"""),"La dona del viatger del temps")</x:f>
      </x:c>
      <x:c r="C4030" s="1">
        <x:f>IFERROR(__xludf.DUMMYFUNCTION("""COMPUTED_VALUE"""),"2009")</x:f>
      </x:c>
    </x:row>
    <x:row r="4031" spans="1:10">
      <x:c r="A4031" s="1" t="s">
        <x:v>4040</x:v>
      </x:c>
      <x:c r="B4031" s="1">
        <x:f>IFERROR(__xludf.DUMMYFUNCTION("""COMPUTED_VALUE"""),"La dona dels cabells vermells")</x:f>
      </x:c>
      <x:c r="C4031" s="1">
        <x:f>IFERROR(__xludf.DUMMYFUNCTION("""COMPUTED_VALUE"""),"2016")</x:f>
      </x:c>
    </x:row>
    <x:row r="4032" spans="1:10">
      <x:c r="A4032" s="1" t="s">
        <x:v>4041</x:v>
      </x:c>
      <x:c r="B4032" s="1">
        <x:f>IFERROR(__xludf.DUMMYFUNCTION("""COMPUTED_VALUE"""),"La dona i el monstre")</x:f>
      </x:c>
      <x:c r="C4032" s="1">
        <x:f>IFERROR(__xludf.DUMMYFUNCTION("""COMPUTED_VALUE"""),"1954")</x:f>
      </x:c>
    </x:row>
    <x:row r="4033" spans="1:10">
      <x:c r="A4033" s="1" t="s">
        <x:v>4042</x:v>
      </x:c>
      <x:c r="B4033" s="1">
        <x:f>IFERROR(__xludf.DUMMYFUNCTION("""COMPUTED_VALUE"""),"La dona il·legal")</x:f>
      </x:c>
      <x:c r="C4033" s="1">
        <x:f>IFERROR(__xludf.DUMMYFUNCTION("""COMPUTED_VALUE"""),"2020")</x:f>
      </x:c>
    </x:row>
    <x:row r="4034" spans="1:10">
      <x:c r="A4034" s="1" t="s">
        <x:v>4043</x:v>
      </x:c>
      <x:c r="B4034" s="1">
        <x:f>IFERROR(__xludf.DUMMYFUNCTION("""COMPUTED_VALUE"""),"La dona invisible")</x:f>
      </x:c>
      <x:c r="C4034" s="1">
        <x:f>IFERROR(__xludf.DUMMYFUNCTION("""COMPUTED_VALUE"""),"2013")</x:f>
      </x:c>
    </x:row>
    <x:row r="4035" spans="1:10">
      <x:c r="A4035" s="1" t="s">
        <x:v>4044</x:v>
      </x:c>
      <x:c r="B4035" s="1">
        <x:f>IFERROR(__xludf.DUMMYFUNCTION("""COMPUTED_VALUE"""),"La dona pirata")</x:f>
      </x:c>
      <x:c r="C4035" s="1">
        <x:f>IFERROR(__xludf.DUMMYFUNCTION("""COMPUTED_VALUE"""),"1951")</x:f>
      </x:c>
    </x:row>
    <x:row r="4036" spans="1:10">
      <x:c r="A4036" s="1" t="s">
        <x:v>4045</x:v>
      </x:c>
      <x:c r="B4036" s="1">
        <x:f>IFERROR(__xludf.DUMMYFUNCTION("""COMPUTED_VALUE"""),"La dona que va davant")</x:f>
      </x:c>
      <x:c r="C4036" s="1">
        <x:f>IFERROR(__xludf.DUMMYFUNCTION("""COMPUTED_VALUE"""),"2017")</x:f>
      </x:c>
    </x:row>
    <x:row r="4037" spans="1:10">
      <x:c r="A4037" s="1" t="s">
        <x:v>4046</x:v>
      </x:c>
      <x:c r="B4037" s="1">
        <x:f>IFERROR(__xludf.DUMMYFUNCTION("""COMPUTED_VALUE"""),"La donzella [VOSC]")</x:f>
      </x:c>
      <x:c r="C4037" s="1">
        <x:f>IFERROR(__xludf.DUMMYFUNCTION("""COMPUTED_VALUE"""),"2016")</x:f>
      </x:c>
    </x:row>
    <x:row r="4038" spans="1:10">
      <x:c r="A4038" s="1" t="s">
        <x:v>4047</x:v>
      </x:c>
      <x:c r="B4038" s="1">
        <x:f>IFERROR(__xludf.DUMMYFUNCTION("""COMPUTED_VALUE"""),"La duquessa")</x:f>
      </x:c>
      <x:c r="C4038" s="1">
        <x:f>IFERROR(__xludf.DUMMYFUNCTION("""COMPUTED_VALUE"""),"2008")</x:f>
      </x:c>
    </x:row>
    <x:row r="4039" spans="1:10">
      <x:c r="A4039" s="1" t="s">
        <x:v>4048</x:v>
      </x:c>
      <x:c r="B4039" s="1">
        <x:f>IFERROR(__xludf.DUMMYFUNCTION("""COMPUTED_VALUE"""),"La Estrella")</x:f>
      </x:c>
      <x:c r="C4039" s="1">
        <x:f>IFERROR(__xludf.DUMMYFUNCTION("""COMPUTED_VALUE"""),"2013")</x:f>
      </x:c>
    </x:row>
    <x:row r="4040" spans="1:10">
      <x:c r="A4040" s="1" t="s">
        <x:v>4049</x:v>
      </x:c>
      <x:c r="B4040" s="1">
        <x:f>IFERROR(__xludf.DUMMYFUNCTION("""COMPUTED_VALUE"""),"La família Bélier")</x:f>
      </x:c>
      <x:c r="C4040" s="1">
        <x:f>IFERROR(__xludf.DUMMYFUNCTION("""COMPUTED_VALUE"""),"2014")</x:f>
      </x:c>
    </x:row>
    <x:row r="4041" spans="1:10">
      <x:c r="A4041" s="1" t="s">
        <x:v>4050</x:v>
      </x:c>
      <x:c r="B4041" s="1">
        <x:f>IFERROR(__xludf.DUMMYFUNCTION("""COMPUTED_VALUE"""),"La família Bloom")</x:f>
      </x:c>
      <x:c r="C4041" s="1">
        <x:f>IFERROR(__xludf.DUMMYFUNCTION("""COMPUTED_VALUE"""),"2020")</x:f>
      </x:c>
    </x:row>
    <x:row r="4042" spans="1:10">
      <x:c r="A4042" s="1" t="s">
        <x:v>4051</x:v>
      </x:c>
      <x:c r="B4042" s="1">
        <x:f>IFERROR(__xludf.DUMMYFUNCTION("""COMPUTED_VALUE"""),"La familia irreal")</x:f>
      </x:c>
      <x:c r="C4042" s="1">
        <x:f>IFERROR(__xludf.DUMMYFUNCTION("""COMPUTED_VALUE"""),"2013")</x:f>
      </x:c>
    </x:row>
    <x:row r="4043" spans="1:10">
      <x:c r="A4043" s="1" t="s">
        <x:v>4052</x:v>
      </x:c>
      <x:c r="B4043" s="1">
        <x:f>IFERROR(__xludf.DUMMYFUNCTION("""COMPUTED_VALUE"""),"La família Mitchell contra les màquines")</x:f>
      </x:c>
      <x:c r="C4043" s="1">
        <x:f>IFERROR(__xludf.DUMMYFUNCTION("""COMPUTED_VALUE"""),"2021")</x:f>
      </x:c>
    </x:row>
    <x:row r="4044" spans="1:10">
      <x:c r="A4044" s="1" t="s">
        <x:v>4053</x:v>
      </x:c>
      <x:c r="B4044" s="1">
        <x:f>IFERROR(__xludf.DUMMYFUNCTION("""COMPUTED_VALUE"""),"La família que tu tries")</x:f>
      </x:c>
      <x:c r="C4044" s="1">
        <x:f>IFERROR(__xludf.DUMMYFUNCTION("""COMPUTED_VALUE"""),"2019")</x:f>
      </x:c>
    </x:row>
    <x:row r="4045" spans="1:10">
      <x:c r="A4045" s="1" t="s">
        <x:v>4054</x:v>
      </x:c>
      <x:c r="B4045" s="1">
        <x:f>IFERROR(__xludf.DUMMYFUNCTION("""COMPUTED_VALUE"""),"La febre")</x:f>
      </x:c>
      <x:c r="C4045" s="1">
        <x:f>IFERROR(__xludf.DUMMYFUNCTION("""COMPUTED_VALUE"""),"2005")</x:f>
      </x:c>
    </x:row>
    <x:row r="4046" spans="1:10">
      <x:c r="A4046" s="1" t="s">
        <x:v>4055</x:v>
      </x:c>
      <x:c r="B4046" s="1">
        <x:f>IFERROR(__xludf.DUMMYFUNCTION("""COMPUTED_VALUE"""),"La Festa de la Cervesa")</x:f>
      </x:c>
      <x:c r="C4046" s="1">
        <x:f>IFERROR(__xludf.DUMMYFUNCTION("""COMPUTED_VALUE"""),"2006")</x:f>
      </x:c>
    </x:row>
    <x:row r="4047" spans="1:10">
      <x:c r="A4047" s="1" t="s">
        <x:v>4056</x:v>
      </x:c>
      <x:c r="B4047" s="1">
        <x:f>IFERROR(__xludf.DUMMYFUNCTION("""COMPUTED_VALUE"""),"La festa de Nadal")</x:f>
      </x:c>
      <x:c r="C4047" s="1">
        <x:f>IFERROR(__xludf.DUMMYFUNCTION("""COMPUTED_VALUE"""),"2016")</x:f>
      </x:c>
    </x:row>
    <x:row r="4048" spans="1:10">
      <x:c r="A4048" s="1" t="s">
        <x:v>4057</x:v>
      </x:c>
      <x:c r="B4048" s="1">
        <x:f>IFERROR(__xludf.DUMMYFUNCTION("""COMPUTED_VALUE"""),"La Festa dels Súpers - Benvinguts al club")</x:f>
      </x:c>
      <x:c r="C4048" s="1">
        <x:f>IFERROR(__xludf.DUMMYFUNCTION("""COMPUTED_VALUE"""),"2012")</x:f>
      </x:c>
    </x:row>
    <x:row r="4049" spans="1:10">
      <x:c r="A4049" s="1" t="s">
        <x:v>4058</x:v>
      </x:c>
      <x:c r="B4049" s="1">
        <x:f>IFERROR(__xludf.DUMMYFUNCTION("""COMPUTED_VALUE"""),"La Festa dels Súpers - Connectem")</x:f>
      </x:c>
      <x:c r="C4049" s="1">
        <x:f>IFERROR(__xludf.DUMMYFUNCTION("""COMPUTED_VALUE"""),"2013")</x:f>
      </x:c>
    </x:row>
    <x:row r="4050" spans="1:10">
      <x:c r="A4050" s="1" t="s">
        <x:v>4059</x:v>
      </x:c>
      <x:c r="B4050" s="1">
        <x:f>IFERROR(__xludf.DUMMYFUNCTION("""COMPUTED_VALUE"""),"La Festa dels Súpers - La història de ""Sóc així""")</x:f>
      </x:c>
      <x:c r="C4050" s="1">
        <x:f>IFERROR(__xludf.DUMMYFUNCTION("""COMPUTED_VALUE"""),"2014")</x:f>
      </x:c>
    </x:row>
    <x:row r="4051" spans="1:10">
      <x:c r="A4051" s="1" t="s">
        <x:v>4060</x:v>
      </x:c>
      <x:c r="B4051" s="1">
        <x:f>IFERROR(__xludf.DUMMYFUNCTION("""COMPUTED_VALUE"""),"La Festa dels súpers")</x:f>
      </x:c>
      <x:c r="C4051" s="1">
        <x:f>IFERROR(__xludf.DUMMYFUNCTION("""COMPUTED_VALUE"""),"2015")</x:f>
      </x:c>
    </x:row>
    <x:row r="4052" spans="1:10">
      <x:c r="A4052" s="1" t="s">
        <x:v>4061</x:v>
      </x:c>
      <x:c r="B4052" s="1">
        <x:f>IFERROR(__xludf.DUMMYFUNCTION("""COMPUTED_VALUE"""),"La fi és el meu principi")</x:f>
      </x:c>
      <x:c r="C4052" s="1">
        <x:f>IFERROR(__xludf.DUMMYFUNCTION("""COMPUTED_VALUE"""),"2010")</x:f>
      </x:c>
    </x:row>
    <x:row r="4053" spans="1:10">
      <x:c r="A4053" s="1" t="s">
        <x:v>4062</x:v>
      </x:c>
      <x:c r="B4053" s="1">
        <x:f>IFERROR(__xludf.DUMMYFUNCTION("""COMPUTED_VALUE"""),"La Fifla")</x:f>
      </x:c>
      <x:c r="C4053" s="1">
        <x:f>IFERROR(__xludf.DUMMYFUNCTION("""COMPUTED_VALUE"""),"2023")</x:f>
      </x:c>
    </x:row>
    <x:row r="4054" spans="1:10">
      <x:c r="A4054" s="1" t="s">
        <x:v>4063</x:v>
      </x:c>
      <x:c r="B4054" s="1">
        <x:f>IFERROR(__xludf.DUMMYFUNCTION("""COMPUTED_VALUE"""),"La filla d'un lladre")</x:f>
      </x:c>
      <x:c r="C4054" s="1">
        <x:f>IFERROR(__xludf.DUMMYFUNCTION("""COMPUTED_VALUE"""),"2019")</x:f>
      </x:c>
    </x:row>
    <x:row r="4055" spans="1:10">
      <x:c r="A4055" s="1" t="s">
        <x:v>4064</x:v>
      </x:c>
      <x:c r="B4055" s="1">
        <x:f>IFERROR(__xludf.DUMMYFUNCTION("""COMPUTED_VALUE"""),"La filla del Grúfal")</x:f>
      </x:c>
      <x:c r="C4055" s="1">
        <x:f>IFERROR(__xludf.DUMMYFUNCTION("""COMPUTED_VALUE"""),"2011")</x:f>
      </x:c>
    </x:row>
    <x:row r="4056" spans="1:10">
      <x:c r="A4056" s="1" t="s">
        <x:v>4065</x:v>
      </x:c>
      <x:c r="B4056" s="1">
        <x:f>IFERROR(__xludf.DUMMYFUNCTION("""COMPUTED_VALUE"""),"La filla perfecta")</x:f>
      </x:c>
      <x:c r="C4056" s="1">
        <x:f>IFERROR(__xludf.DUMMYFUNCTION("""COMPUTED_VALUE"""),"2016")</x:f>
      </x:c>
    </x:row>
    <x:row r="4057" spans="1:10">
      <x:c r="A4057" s="1" t="s">
        <x:v>4066</x:v>
      </x:c>
      <x:c r="B4057" s="1">
        <x:f>IFERROR(__xludf.DUMMYFUNCTION("""COMPUTED_VALUE"""),"La filla pròdiga")</x:f>
      </x:c>
      <x:c r="C4057" s="1">
        <x:f>IFERROR(__xludf.DUMMYFUNCTION("""COMPUTED_VALUE"""),"2017")</x:f>
      </x:c>
    </x:row>
    <x:row r="4058" spans="1:10">
      <x:c r="A4058" s="1" t="s">
        <x:v>4067</x:v>
      </x:c>
      <x:c r="B4058" s="1">
        <x:f>IFERROR(__xludf.DUMMYFUNCTION("""COMPUTED_VALUE"""),"La fillastra")</x:f>
      </x:c>
      <x:c r="C4058" s="1">
        <x:f>IFERROR(__xludf.DUMMYFUNCTION("""COMPUTED_VALUE"""),"2015")</x:f>
      </x:c>
    </x:row>
    <x:row r="4059" spans="1:10">
      <x:c r="A4059" s="1" t="s">
        <x:v>4068</x:v>
      </x:c>
      <x:c r="B4059" s="1">
        <x:f>IFERROR(__xludf.DUMMYFUNCTION("""COMPUTED_VALUE"""),"La finestra indiscreta")</x:f>
      </x:c>
      <x:c r="C4059" s="1">
        <x:f>IFERROR(__xludf.DUMMYFUNCTION("""COMPUTED_VALUE"""),"1954")</x:f>
      </x:c>
    </x:row>
    <x:row r="4060" spans="1:10">
      <x:c r="A4060" s="1" t="s">
        <x:v>4069</x:v>
      </x:c>
      <x:c r="B4060" s="1">
        <x:f>IFERROR(__xludf.DUMMYFUNCTION("""COMPUTED_VALUE"""),"La finestra secreta")</x:f>
      </x:c>
      <x:c r="C4060" s="1">
        <x:f>IFERROR(__xludf.DUMMYFUNCTION("""COMPUTED_VALUE"""),"2004")</x:f>
      </x:c>
    </x:row>
    <x:row r="4061" spans="1:10">
      <x:c r="A4061" s="1" t="s">
        <x:v>4070</x:v>
      </x:c>
      <x:c r="B4061" s="1">
        <x:f>IFERROR(__xludf.DUMMYFUNCTION("""COMPUTED_VALUE"""),"La flauta dels sis barrufets")</x:f>
      </x:c>
      <x:c r="C4061" s="1">
        <x:f>IFERROR(__xludf.DUMMYFUNCTION("""COMPUTED_VALUE"""),"1975")</x:f>
      </x:c>
    </x:row>
    <x:row r="4062" spans="1:10">
      <x:c r="A4062" s="1" t="s">
        <x:v>4071</x:v>
      </x:c>
      <x:c r="B4062" s="1">
        <x:f>IFERROR(__xludf.DUMMYFUNCTION("""COMPUTED_VALUE"""),"La flauta màgica [VO]")</x:f>
      </x:c>
      <x:c r="C4062" s="1">
        <x:f>IFERROR(__xludf.DUMMYFUNCTION("""COMPUTED_VALUE"""),"2006")</x:f>
      </x:c>
    </x:row>
    <x:row r="4063" spans="1:10">
      <x:c r="A4063" s="1" t="s">
        <x:v>4072</x:v>
      </x:c>
      <x:c r="B4063" s="1">
        <x:f>IFERROR(__xludf.DUMMYFUNCTION("""COMPUTED_VALUE"""),"La flor del mal")</x:f>
      </x:c>
      <x:c r="C4063" s="1">
        <x:f>IFERROR(__xludf.DUMMYFUNCTION("""COMPUTED_VALUE"""),"2002")</x:f>
      </x:c>
    </x:row>
    <x:row r="4064" spans="1:10">
      <x:c r="A4064" s="1" t="s">
        <x:v>4073</x:v>
      </x:c>
      <x:c r="B4064" s="1">
        <x:f>IFERROR(__xludf.DUMMYFUNCTION("""COMPUTED_VALUE"""),"La forca")</x:f>
      </x:c>
      <x:c r="C4064" s="1">
        <x:f>IFERROR(__xludf.DUMMYFUNCTION("""COMPUTED_VALUE"""),"2015")</x:f>
      </x:c>
    </x:row>
    <x:row r="4065" spans="1:10">
      <x:c r="A4065" s="1" t="s">
        <x:v>4074</x:v>
      </x:c>
      <x:c r="B4065" s="1">
        <x:f>IFERROR(__xludf.DUMMYFUNCTION("""COMPUTED_VALUE"""),"La força de l'amor")</x:f>
      </x:c>
      <x:c r="C4065" s="1">
        <x:f>IFERROR(__xludf.DUMMYFUNCTION("""COMPUTED_VALUE"""),"2000")</x:f>
      </x:c>
    </x:row>
    <x:row r="4066" spans="1:10">
      <x:c r="A4066" s="1" t="s">
        <x:v>4075</x:v>
      </x:c>
      <x:c r="B4066" s="1">
        <x:f>IFERROR(__xludf.DUMMYFUNCTION("""COMPUTED_VALUE"""),"La força del vent")</x:f>
      </x:c>
      <x:c r="C4066" s="1">
        <x:f>IFERROR(__xludf.DUMMYFUNCTION("""COMPUTED_VALUE"""),"1992")</x:f>
      </x:c>
    </x:row>
    <x:row r="4067" spans="1:10">
      <x:c r="A4067" s="1" t="s">
        <x:v>4076</x:v>
      </x:c>
      <x:c r="B4067" s="1">
        <x:f>IFERROR(__xludf.DUMMYFUNCTION("""COMPUTED_VALUE"""),"La formiga Z")</x:f>
      </x:c>
      <x:c r="C4067" s="1">
        <x:f>IFERROR(__xludf.DUMMYFUNCTION("""COMPUTED_VALUE"""),"1998")</x:f>
      </x:c>
    </x:row>
    <x:row r="4068" spans="1:10">
      <x:c r="A4068" s="1" t="s">
        <x:v>4077</x:v>
      </x:c>
      <x:c r="B4068" s="1">
        <x:f>IFERROR(__xludf.DUMMYFUNCTION("""COMPUTED_VALUE"""),"La fornera i l'emperador")</x:f>
      </x:c>
      <x:c r="C4068" s="1">
        <x:f>IFERROR(__xludf.DUMMYFUNCTION("""COMPUTED_VALUE"""),"1955")</x:f>
      </x:c>
    </x:row>
    <x:row r="4069" spans="1:10">
      <x:c r="A4069" s="1" t="s">
        <x:v>4078</x:v>
      </x:c>
      <x:c r="B4069" s="1">
        <x:f>IFERROR(__xludf.DUMMYFUNCTION("""COMPUTED_VALUE"""),"La fortalesa")</x:f>
      </x:c>
      <x:c r="C4069" s="1">
        <x:f>IFERROR(__xludf.DUMMYFUNCTION("""COMPUTED_VALUE"""),"2021")</x:f>
      </x:c>
    </x:row>
    <x:row r="4070" spans="1:10">
      <x:c r="A4070" s="1" t="s">
        <x:v>4079</x:v>
      </x:c>
      <x:c r="B4070" s="1">
        <x:f>IFERROR(__xludf.DUMMYFUNCTION("""COMPUTED_VALUE"""),"La fortalesa infernal")</x:f>
      </x:c>
      <x:c r="C4070" s="1">
        <x:f>IFERROR(__xludf.DUMMYFUNCTION("""COMPUTED_VALUE"""),"1992")</x:f>
      </x:c>
    </x:row>
    <x:row r="4071" spans="1:10">
      <x:c r="A4071" s="1" t="s">
        <x:v>4080</x:v>
      </x:c>
      <x:c r="B4071" s="1">
        <x:f>IFERROR(__xludf.DUMMYFUNCTION("""COMPUTED_VALUE"""),"La fortalesa L'ull del franctirador")</x:f>
      </x:c>
      <x:c r="C4071" s="1">
        <x:f>IFERROR(__xludf.DUMMYFUNCTION("""COMPUTED_VALUE"""),"2022")</x:f>
      </x:c>
    </x:row>
    <x:row r="4072" spans="1:10">
      <x:c r="A4072" s="1" t="s">
        <x:v>4081</x:v>
      </x:c>
      <x:c r="B4072" s="1">
        <x:f>IFERROR(__xludf.DUMMYFUNCTION("""COMPUTED_VALUE"""),"La fotògrafa de Monte Verità")</x:f>
      </x:c>
      <x:c r="C4072" s="1">
        <x:f>IFERROR(__xludf.DUMMYFUNCTION("""COMPUTED_VALUE"""),"2021")</x:f>
      </x:c>
    </x:row>
    <x:row r="4073" spans="1:10">
      <x:c r="A4073" s="1" t="s">
        <x:v>4082</x:v>
      </x:c>
      <x:c r="B4073" s="1">
        <x:f>IFERROR(__xludf.DUMMYFUNCTION("""COMPUTED_VALUE"""),"La freda llum del dia")</x:f>
      </x:c>
      <x:c r="C4073" s="1">
        <x:f>IFERROR(__xludf.DUMMYFUNCTION("""COMPUTED_VALUE"""),"2012")</x:f>
      </x:c>
    </x:row>
    <x:row r="4074" spans="1:10">
      <x:c r="A4074" s="1" t="s">
        <x:v>4083</x:v>
      </x:c>
      <x:c r="B4074" s="1">
        <x:f>IFERROR(__xludf.DUMMYFUNCTION("""COMPUTED_VALUE"""),"La frontera final")</x:f>
      </x:c>
      <x:c r="C4074" s="1">
        <x:f>IFERROR(__xludf.DUMMYFUNCTION("""COMPUTED_VALUE"""),"1955")</x:f>
      </x:c>
    </x:row>
    <x:row r="4075" spans="1:10">
      <x:c r="A4075" s="1" t="s">
        <x:v>4084</x:v>
      </x:c>
      <x:c r="B4075" s="1">
        <x:f>IFERROR(__xludf.DUMMYFUNCTION("""COMPUTED_VALUE"""),"La fuga de Logan")</x:f>
      </x:c>
      <x:c r="C4075" s="1">
        <x:f>IFERROR(__xludf.DUMMYFUNCTION("""COMPUTED_VALUE"""),"1976")</x:f>
      </x:c>
    </x:row>
    <x:row r="4076" spans="1:10">
      <x:c r="A4076" s="1" t="s">
        <x:v>4085</x:v>
      </x:c>
      <x:c r="B4076" s="1">
        <x:f>IFERROR(__xludf.DUMMYFUNCTION("""COMPUTED_VALUE"""),"La fugida")</x:f>
      </x:c>
      <x:c r="C4076" s="1">
        <x:f>IFERROR(__xludf.DUMMYFUNCTION("""COMPUTED_VALUE"""),"1972")</x:f>
      </x:c>
    </x:row>
    <x:row r="4077" spans="1:10">
      <x:c r="A4077" s="1" t="s">
        <x:v>4086</x:v>
      </x:c>
      <x:c r="B4077" s="1">
        <x:f>IFERROR(__xludf.DUMMYFUNCTION("""COMPUTED_VALUE"""),"La fugida")</x:f>
      </x:c>
      <x:c r="C4077" s="1">
        <x:f>IFERROR(__xludf.DUMMYFUNCTION("""COMPUTED_VALUE"""),"2024")</x:f>
      </x:c>
    </x:row>
    <x:row r="4078" spans="1:10">
      <x:c r="A4078" s="1" t="s">
        <x:v>4087</x:v>
      </x:c>
      <x:c r="B4078" s="1">
        <x:f>IFERROR(__xludf.DUMMYFUNCTION("""COMPUTED_VALUE"""),"La fugida, veritats ocultes")</x:f>
      </x:c>
      <x:c r="C4078" s="1">
        <x:f>IFERROR(__xludf.DUMMYFUNCTION("""COMPUTED_VALUE"""),"2025")</x:f>
      </x:c>
    </x:row>
    <x:row r="4079" spans="1:10">
      <x:c r="A4079" s="1" t="s">
        <x:v>4088</x:v>
      </x:c>
      <x:c r="B4079" s="1">
        <x:f>IFERROR(__xludf.DUMMYFUNCTION("""COMPUTED_VALUE"""),"La fugitiva [VOSC]")</x:f>
      </x:c>
      <x:c r="C4079" s="1">
        <x:f>IFERROR(__xludf.DUMMYFUNCTION("""COMPUTED_VALUE"""),"1950")</x:f>
      </x:c>
    </x:row>
    <x:row r="4080" spans="1:10">
      <x:c r="A4080" s="1" t="s">
        <x:v>4089</x:v>
      </x:c>
      <x:c r="B4080" s="1">
        <x:f>IFERROR(__xludf.DUMMYFUNCTION("""COMPUTED_VALUE"""),"La furgo")</x:f>
      </x:c>
      <x:c r="C4080" s="1">
        <x:f>IFERROR(__xludf.DUMMYFUNCTION("""COMPUTED_VALUE"""),"2025")</x:f>
      </x:c>
    </x:row>
    <x:row r="4081" spans="1:10">
      <x:c r="A4081" s="1" t="s">
        <x:v>4090</x:v>
      </x:c>
      <x:c r="B4081" s="1">
        <x:f>IFERROR(__xludf.DUMMYFUNCTION("""COMPUTED_VALUE"""),"La fúria de Chicago")</x:f>
      </x:c>
      <x:c r="C4081" s="1">
        <x:f>IFERROR(__xludf.DUMMYFUNCTION("""COMPUTED_VALUE"""),"1980")</x:f>
      </x:c>
    </x:row>
    <x:row r="4082" spans="1:10">
      <x:c r="A4082" s="1" t="s">
        <x:v>4091</x:v>
      </x:c>
      <x:c r="B4082" s="1">
        <x:f>IFERROR(__xludf.DUMMYFUNCTION("""COMPUTED_VALUE"""),"La fúria de la muntanya")</x:f>
      </x:c>
      <x:c r="C4082" s="1">
        <x:f>IFERROR(__xludf.DUMMYFUNCTION("""COMPUTED_VALUE"""),"2021")</x:f>
      </x:c>
    </x:row>
    <x:row r="4083" spans="1:10">
      <x:c r="A4083" s="1" t="s">
        <x:v>4092</x:v>
      </x:c>
      <x:c r="B4083" s="1">
        <x:f>IFERROR(__xludf.DUMMYFUNCTION("""COMPUTED_VALUE"""),"La furia del dragó")</x:f>
      </x:c>
      <x:c r="C4083" s="1">
        <x:f>IFERROR(__xludf.DUMMYFUNCTION("""COMPUTED_VALUE"""),"1972")</x:f>
      </x:c>
    </x:row>
    <x:row r="4084" spans="1:10">
      <x:c r="A4084" s="1" t="s">
        <x:v>4093</x:v>
      </x:c>
      <x:c r="B4084" s="1">
        <x:f>IFERROR(__xludf.DUMMYFUNCTION("""COMPUTED_VALUE"""),"La gàbia daurada")</x:f>
      </x:c>
      <x:c r="C4084" s="1">
        <x:f>IFERROR(__xludf.DUMMYFUNCTION("""COMPUTED_VALUE"""),"2013")</x:f>
      </x:c>
    </x:row>
    <x:row r="4085" spans="1:10">
      <x:c r="A4085" s="1" t="s">
        <x:v>4094</x:v>
      </x:c>
      <x:c r="B4085" s="1">
        <x:f>IFERROR(__xludf.DUMMYFUNCTION("""COMPUTED_VALUE"""),"La gent de l'escala")</x:f>
      </x:c>
      <x:c r="C4085" s="1">
        <x:f>IFERROR(__xludf.DUMMYFUNCTION("""COMPUTED_VALUE"""),"2018")</x:f>
      </x:c>
    </x:row>
    <x:row r="4086" spans="1:10">
      <x:c r="A4086" s="1" t="s">
        <x:v>4095</x:v>
      </x:c>
      <x:c r="B4086" s="1">
        <x:f>IFERROR(__xludf.DUMMYFUNCTION("""COMPUTED_VALUE"""),"La germana del nuvi")</x:f>
      </x:c>
      <x:c r="C4086" s="1">
        <x:f>IFERROR(__xludf.DUMMYFUNCTION("""COMPUTED_VALUE"""),"2020")</x:f>
      </x:c>
    </x:row>
    <x:row r="4087" spans="1:10">
      <x:c r="A4087" s="1" t="s">
        <x:v>4096</x:v>
      </x:c>
      <x:c r="B4087" s="1">
        <x:f>IFERROR(__xludf.DUMMYFUNCTION("""COMPUTED_VALUE"""),"La gorgona")</x:f>
      </x:c>
      <x:c r="C4087" s="1">
        <x:f>IFERROR(__xludf.DUMMYFUNCTION("""COMPUTED_VALUE"""),"1964")</x:f>
      </x:c>
    </x:row>
    <x:row r="4088" spans="1:10">
      <x:c r="A4088" s="1" t="s">
        <x:v>4097</x:v>
      </x:c>
      <x:c r="B4088" s="1">
        <x:f>IFERROR(__xludf.DUMMYFUNCTION("""COMPUTED_VALUE"""),"La gossa Palma")</x:f>
      </x:c>
      <x:c r="C4088" s="1">
        <x:f>IFERROR(__xludf.DUMMYFUNCTION("""COMPUTED_VALUE"""),"2021")</x:f>
      </x:c>
    </x:row>
    <x:row r="4089" spans="1:10">
      <x:c r="A4089" s="1" t="s">
        <x:v>4098</x:v>
      </x:c>
      <x:c r="B4089" s="1">
        <x:f>IFERROR(__xludf.DUMMYFUNCTION("""COMPUTED_VALUE"""),"La gran aventura de l'abella Hutch")</x:f>
      </x:c>
      <x:c r="C4089" s="1">
        <x:f>IFERROR(__xludf.DUMMYFUNCTION("""COMPUTED_VALUE"""),"2010")</x:f>
      </x:c>
    </x:row>
    <x:row r="4090" spans="1:10">
      <x:c r="A4090" s="1" t="s">
        <x:v>4099</x:v>
      </x:c>
      <x:c r="B4090" s="1">
        <x:f>IFERROR(__xludf.DUMMYFUNCTION("""COMPUTED_VALUE"""),"La gran aventura del dofí Winter II")</x:f>
      </x:c>
      <x:c r="C4090" s="1">
        <x:f>IFERROR(__xludf.DUMMYFUNCTION("""COMPUTED_VALUE"""),"2014")</x:f>
      </x:c>
    </x:row>
    <x:row r="4091" spans="1:10">
      <x:c r="A4091" s="1" t="s">
        <x:v>4100</x:v>
      </x:c>
      <x:c r="B4091" s="1">
        <x:f>IFERROR(__xludf.DUMMYFUNCTION("""COMPUTED_VALUE"""),"La gran aventura dels Lunnis i el llibre màgic")</x:f>
      </x:c>
      <x:c r="C4091" s="1">
        <x:f>IFERROR(__xludf.DUMMYFUNCTION("""COMPUTED_VALUE"""),"2019")</x:f>
      </x:c>
    </x:row>
    <x:row r="4092" spans="1:10">
      <x:c r="A4092" s="1" t="s">
        <x:v>4101</x:v>
      </x:c>
      <x:c r="B4092" s="1">
        <x:f>IFERROR(__xludf.DUMMYFUNCTION("""COMPUTED_VALUE"""),"La gran bellesa")</x:f>
      </x:c>
      <x:c r="C4092" s="1">
        <x:f>IFERROR(__xludf.DUMMYFUNCTION("""COMPUTED_VALUE"""),"2013")</x:f>
      </x:c>
    </x:row>
    <x:row r="4093" spans="1:10">
      <x:c r="A4093" s="1" t="s">
        <x:v>4102</x:v>
      </x:c>
      <x:c r="B4093" s="1">
        <x:f>IFERROR(__xludf.DUMMYFUNCTION("""COMPUTED_VALUE"""),"La gran boda")</x:f>
      </x:c>
      <x:c r="C4093" s="1">
        <x:f>IFERROR(__xludf.DUMMYFUNCTION("""COMPUTED_VALUE"""),"2013")</x:f>
      </x:c>
    </x:row>
    <x:row r="4094" spans="1:10">
      <x:c r="A4094" s="1" t="s">
        <x:v>4103</x:v>
      </x:c>
      <x:c r="B4094" s="1">
        <x:f>IFERROR(__xludf.DUMMYFUNCTION("""COMPUTED_VALUE"""),"La gran estafa americana")</x:f>
      </x:c>
      <x:c r="C4094" s="1">
        <x:f>IFERROR(__xludf.DUMMYFUNCTION("""COMPUTED_VALUE"""),"2013")</x:f>
      </x:c>
    </x:row>
    <x:row r="4095" spans="1:10">
      <x:c r="A4095" s="1" t="s">
        <x:v>4104</x:v>
      </x:c>
      <x:c r="B4095" s="1">
        <x:f>IFERROR(__xludf.DUMMYFUNCTION("""COMPUTED_VALUE"""),"La gran evasió")</x:f>
      </x:c>
      <x:c r="C4095" s="1">
        <x:f>IFERROR(__xludf.DUMMYFUNCTION("""COMPUTED_VALUE"""),"1963")</x:f>
      </x:c>
    </x:row>
    <x:row r="4096" spans="1:10">
      <x:c r="A4096" s="1" t="s">
        <x:v>4105</x:v>
      </x:c>
      <x:c r="B4096" s="1">
        <x:f>IFERROR(__xludf.DUMMYFUNCTION("""COMPUTED_VALUE"""),"La gran jugada")</x:f>
      </x:c>
      <x:c r="C4096" s="1">
        <x:f>IFERROR(__xludf.DUMMYFUNCTION("""COMPUTED_VALUE"""),"2016")</x:f>
      </x:c>
    </x:row>
    <x:row r="4097" spans="1:10">
      <x:c r="A4097" s="1" t="s">
        <x:v>4106</x:v>
      </x:c>
      <x:c r="B4097" s="1">
        <x:f>IFERROR(__xludf.DUMMYFUNCTION("""COMPUTED_VALUE"""),"La gran malaltia de l'amor")</x:f>
      </x:c>
      <x:c r="C4097" s="1">
        <x:f>IFERROR(__xludf.DUMMYFUNCTION("""COMPUTED_VALUE"""),"2017")</x:f>
      </x:c>
    </x:row>
    <x:row r="4098" spans="1:10">
      <x:c r="A4098" s="1" t="s">
        <x:v>4107</x:v>
      </x:c>
      <x:c r="B4098" s="1">
        <x:f>IFERROR(__xludf.DUMMYFUNCTION("""COMPUTED_VALUE"""),"La gran nit de Dagoll Dagom")</x:f>
      </x:c>
      <x:c r="C4098" s="1">
        <x:f>IFERROR(__xludf.DUMMYFUNCTION("""COMPUTED_VALUE"""),"2024")</x:f>
      </x:c>
    </x:row>
    <x:row r="4099" spans="1:10">
      <x:c r="A4099" s="1" t="s">
        <x:v>4108</x:v>
      </x:c>
      <x:c r="B4099" s="1">
        <x:f>IFERROR(__xludf.DUMMYFUNCTION("""COMPUTED_VALUE"""),"La gran ofensiva")</x:f>
      </x:c>
      <x:c r="C4099" s="1">
        <x:f>IFERROR(__xludf.DUMMYFUNCTION("""COMPUTED_VALUE"""),"2019")</x:f>
      </x:c>
    </x:row>
    <x:row r="4100" spans="1:10">
      <x:c r="A4100" s="1" t="s">
        <x:v>4109</x:v>
      </x:c>
      <x:c r="B4100" s="1">
        <x:f>IFERROR(__xludf.DUMMYFUNCTION("""COMPUTED_VALUE"""),"La gran revenja")</x:f>
      </x:c>
      <x:c r="C4100" s="1">
        <x:f>IFERROR(__xludf.DUMMYFUNCTION("""COMPUTED_VALUE"""),"2013")</x:f>
      </x:c>
    </x:row>
    <x:row r="4101" spans="1:10">
      <x:c r="A4101" s="1" t="s">
        <x:v>4110</x:v>
      </x:c>
      <x:c r="B4101" s="1">
        <x:f>IFERROR(__xludf.DUMMYFUNCTION("""COMPUTED_VALUE"""),"La gran seducció")</x:f>
      </x:c>
      <x:c r="C4101" s="1">
        <x:f>IFERROR(__xludf.DUMMYFUNCTION("""COMPUTED_VALUE"""),"2013")</x:f>
      </x:c>
    </x:row>
    <x:row r="4102" spans="1:10">
      <x:c r="A4102" s="1" t="s">
        <x:v>4111</x:v>
      </x:c>
      <x:c r="B4102" s="1">
        <x:f>IFERROR(__xludf.DUMMYFUNCTION("""COMPUTED_VALUE"""),"La grandesa de viure")</x:f>
      </x:c>
      <x:c r="C4102" s="1">
        <x:f>IFERROR(__xludf.DUMMYFUNCTION("""COMPUTED_VALUE"""),"2007")</x:f>
      </x:c>
    </x:row>
    <x:row r="4103" spans="1:10">
      <x:c r="A4103" s="1" t="s">
        <x:v>4112</x:v>
      </x:c>
      <x:c r="B4103" s="1">
        <x:f>IFERROR(__xludf.DUMMYFUNCTION("""COMPUTED_VALUE"""),"La granja")</x:f>
      </x:c>
      <x:c r="C4103" s="1">
        <x:f>IFERROR(__xludf.DUMMYFUNCTION("""COMPUTED_VALUE"""),"2009")</x:f>
      </x:c>
    </x:row>
    <x:row r="4104" spans="1:10">
      <x:c r="A4104" s="1" t="s">
        <x:v>4113</x:v>
      </x:c>
      <x:c r="B4104" s="1">
        <x:f>IFERROR(__xludf.DUMMYFUNCTION("""COMPUTED_VALUE"""),"La guerra d'en Charlie Wilson")</x:f>
      </x:c>
      <x:c r="C4104" s="1">
        <x:f>IFERROR(__xludf.DUMMYFUNCTION("""COMPUTED_VALUE"""),"2007")</x:f>
      </x:c>
    </x:row>
    <x:row r="4105" spans="1:10">
      <x:c r="A4105" s="1" t="s">
        <x:v>4114</x:v>
      </x:c>
      <x:c r="B4105" s="1">
        <x:f>IFERROR(__xludf.DUMMYFUNCTION("""COMPUTED_VALUE"""),"La guerra dels avis")</x:f>
      </x:c>
      <x:c r="C4105" s="1">
        <x:f>IFERROR(__xludf.DUMMYFUNCTION("""COMPUTED_VALUE"""),"2020")</x:f>
      </x:c>
    </x:row>
    <x:row r="4106" spans="1:10">
      <x:c r="A4106" s="1" t="s">
        <x:v>4115</x:v>
      </x:c>
      <x:c r="B4106" s="1">
        <x:f>IFERROR(__xludf.DUMMYFUNCTION("""COMPUTED_VALUE"""),"La guerra dels corrents")</x:f>
      </x:c>
      <x:c r="C4106" s="1">
        <x:f>IFERROR(__xludf.DUMMYFUNCTION("""COMPUTED_VALUE"""),"2017")</x:f>
      </x:c>
    </x:row>
    <x:row r="4107" spans="1:10">
      <x:c r="A4107" s="1" t="s">
        <x:v>4116</x:v>
      </x:c>
      <x:c r="B4107" s="1">
        <x:f>IFERROR(__xludf.DUMMYFUNCTION("""COMPUTED_VALUE"""),"La guerra dels mons")</x:f>
      </x:c>
      <x:c r="C4107" s="1">
        <x:f>IFERROR(__xludf.DUMMYFUNCTION("""COMPUTED_VALUE"""),"1953")</x:f>
      </x:c>
    </x:row>
    <x:row r="4108" spans="1:10">
      <x:c r="A4108" s="1" t="s">
        <x:v>4117</x:v>
      </x:c>
      <x:c r="B4108" s="1">
        <x:f>IFERROR(__xludf.DUMMYFUNCTION("""COMPUTED_VALUE"""),"La guerra dels mons")</x:f>
      </x:c>
      <x:c r="C4108" s="1">
        <x:f>IFERROR(__xludf.DUMMYFUNCTION("""COMPUTED_VALUE"""),"2005")</x:f>
      </x:c>
    </x:row>
    <x:row r="4109" spans="1:10">
      <x:c r="A4109" s="1" t="s">
        <x:v>4118</x:v>
      </x:c>
      <x:c r="B4109" s="1">
        <x:f>IFERROR(__xludf.DUMMYFUNCTION("""COMPUTED_VALUE"""),"La guerra dels mons")</x:f>
      </x:c>
      <x:c r="C4109" s="1">
        <x:f>IFERROR(__xludf.DUMMYFUNCTION("""COMPUTED_VALUE"""),"2013")</x:f>
      </x:c>
    </x:row>
    <x:row r="4110" spans="1:10">
      <x:c r="A4110" s="1" t="s">
        <x:v>4119</x:v>
      </x:c>
      <x:c r="B4110" s="1">
        <x:f>IFERROR(__xludf.DUMMYFUNCTION("""COMPUTED_VALUE"""),"La guerra inacabada")</x:f>
      </x:c>
      <x:c r="C4110" s="1">
        <x:f>IFERROR(__xludf.DUMMYFUNCTION("""COMPUTED_VALUE"""),"2018")</x:f>
      </x:c>
    </x:row>
    <x:row r="4111" spans="1:10">
      <x:c r="A4111" s="1" t="s">
        <x:v>4120</x:v>
      </x:c>
      <x:c r="B4111" s="1">
        <x:f>IFERROR(__xludf.DUMMYFUNCTION("""COMPUTED_VALUE"""),"La guerra mai vista")</x:f>
      </x:c>
      <x:c r="C4111" s="1">
        <x:f>IFERROR(__xludf.DUMMYFUNCTION("""COMPUTED_VALUE"""),"2010")</x:f>
      </x:c>
    </x:row>
    <x:row r="4112" spans="1:10">
      <x:c r="A4112" s="1" t="s">
        <x:v>4121</x:v>
      </x:c>
      <x:c r="B4112" s="1">
        <x:f>IFERROR(__xludf.DUMMYFUNCTION("""COMPUTED_VALUE"""),"La Haru al regne dels gats")</x:f>
      </x:c>
      <x:c r="C4112" s="1">
        <x:f>IFERROR(__xludf.DUMMYFUNCTION("""COMPUTED_VALUE"""),"2002")</x:f>
      </x:c>
    </x:row>
    <x:row r="4113" spans="1:10">
      <x:c r="A4113" s="1" t="s">
        <x:v>4122</x:v>
      </x:c>
      <x:c r="B4113" s="1">
        <x:f>IFERROR(__xludf.DUMMYFUNCTION("""COMPUTED_VALUE"""),"La Henriette ja hi torna")</x:f>
      </x:c>
      <x:c r="C4113" s="1">
        <x:f>IFERROR(__xludf.DUMMYFUNCTION("""COMPUTED_VALUE"""),"2013")</x:f>
      </x:c>
    </x:row>
    <x:row r="4114" spans="1:10">
      <x:c r="A4114" s="1" t="s">
        <x:v>4123</x:v>
      </x:c>
      <x:c r="B4114" s="1">
        <x:f>IFERROR(__xludf.DUMMYFUNCTION("""COMPUTED_VALUE"""),"La història completa dels meus fracassos sexuals")</x:f>
      </x:c>
      <x:c r="C4114" s="1">
        <x:f>IFERROR(__xludf.DUMMYFUNCTION("""COMPUTED_VALUE"""),"2008")</x:f>
      </x:c>
    </x:row>
    <x:row r="4115" spans="1:10">
      <x:c r="A4115" s="1" t="s">
        <x:v>4124</x:v>
      </x:c>
      <x:c r="B4115" s="1">
        <x:f>IFERROR(__xludf.DUMMYFUNCTION("""COMPUTED_VALUE"""),"La història de Christiane F.")</x:f>
      </x:c>
      <x:c r="C4115" s="1">
        <x:f>IFERROR(__xludf.DUMMYFUNCTION("""COMPUTED_VALUE"""),"2021")</x:f>
      </x:c>
    </x:row>
    <x:row r="4116" spans="1:10">
      <x:c r="A4116" s="1" t="s">
        <x:v>4125</x:v>
      </x:c>
      <x:c r="B4116" s="1">
        <x:f>IFERROR(__xludf.DUMMYFUNCTION("""COMPUTED_VALUE"""),"La història de l'Amber")</x:f>
      </x:c>
      <x:c r="C4116" s="1">
        <x:f>IFERROR(__xludf.DUMMYFUNCTION("""COMPUTED_VALUE"""),"2006")</x:f>
      </x:c>
    </x:row>
    <x:row r="4117" spans="1:10">
      <x:c r="A4117" s="1" t="s">
        <x:v>4126</x:v>
      </x:c>
      <x:c r="B4117" s="1">
        <x:f>IFERROR(__xludf.DUMMYFUNCTION("""COMPUTED_VALUE"""),"La història de Marie Heurtin")</x:f>
      </x:c>
      <x:c r="C4117" s="1">
        <x:f>IFERROR(__xludf.DUMMYFUNCTION("""COMPUTED_VALUE"""),"2014")</x:f>
      </x:c>
    </x:row>
    <x:row r="4118" spans="1:10">
      <x:c r="A4118" s="1" t="s">
        <x:v>4127</x:v>
      </x:c>
      <x:c r="B4118" s="1">
        <x:f>IFERROR(__xludf.DUMMYFUNCTION("""COMPUTED_VALUE"""),"La història del Nadal")</x:f>
      </x:c>
      <x:c r="C4118" s="1">
        <x:f>IFERROR(__xludf.DUMMYFUNCTION("""COMPUTED_VALUE"""),"2006")</x:f>
      </x:c>
    </x:row>
    <x:row r="4119" spans="1:10">
      <x:c r="A4119" s="1" t="s">
        <x:v>4128</x:v>
      </x:c>
      <x:c r="B4119" s="1">
        <x:f>IFERROR(__xludf.DUMMYFUNCTION("""COMPUTED_VALUE"""),"La història interminable")</x:f>
      </x:c>
      <x:c r="C4119" s="1">
        <x:f>IFERROR(__xludf.DUMMYFUNCTION("""COMPUTED_VALUE"""),"1984")</x:f>
      </x:c>
    </x:row>
    <x:row r="4120" spans="1:10">
      <x:c r="A4120" s="1" t="s">
        <x:v>4129</x:v>
      </x:c>
      <x:c r="B4120" s="1">
        <x:f>IFERROR(__xludf.DUMMYFUNCTION("""COMPUTED_VALUE"""),"La IA i la ment humana")</x:f>
      </x:c>
      <x:c r="C4120" s="1">
        <x:f>IFERROR(__xludf.DUMMYFUNCTION("""COMPUTED_VALUE"""),"2024")</x:f>
      </x:c>
    </x:row>
    <x:row r="4121" spans="1:10">
      <x:c r="A4121" s="1" t="s">
        <x:v>4130</x:v>
      </x:c>
      <x:c r="B4121" s="1">
        <x:f>IFERROR(__xludf.DUMMYFUNCTION("""COMPUTED_VALUE"""),"La imatge permanent")</x:f>
      </x:c>
      <x:c r="C4121" s="1">
        <x:f>IFERROR(__xludf.DUMMYFUNCTION("""COMPUTED_VALUE"""),"2023")</x:f>
      </x:c>
    </x:row>
    <x:row r="4122" spans="1:10">
      <x:c r="A4122" s="1" t="s">
        <x:v>4131</x:v>
      </x:c>
      <x:c r="B4122" s="1">
        <x:f>IFERROR(__xludf.DUMMYFUNCTION("""COMPUTED_VALUE"""),"La immersió")</x:f>
      </x:c>
      <x:c r="C4122" s="1">
        <x:f>IFERROR(__xludf.DUMMYFUNCTION("""COMPUTED_VALUE"""),"2023")</x:f>
      </x:c>
    </x:row>
    <x:row r="4123" spans="1:10">
      <x:c r="A4123" s="1" t="s">
        <x:v>4132</x:v>
      </x:c>
      <x:c r="B4123" s="1">
        <x:f>IFERROR(__xludf.DUMMYFUNCTION("""COMPUTED_VALUE"""),"La impaciència del cor")</x:f>
      </x:c>
      <x:c r="C4123" s="1">
        <x:f>IFERROR(__xludf.DUMMYFUNCTION("""COMPUTED_VALUE"""),"2022")</x:f>
      </x:c>
    </x:row>
    <x:row r="4124" spans="1:10">
      <x:c r="A4124" s="1" t="s">
        <x:v>4133</x:v>
      </x:c>
      <x:c r="B4124" s="1">
        <x:f>IFERROR(__xludf.DUMMYFUNCTION("""COMPUTED_VALUE"""),"La importancia de dir-se Oscar Wilde")</x:f>
      </x:c>
      <x:c r="C4124" s="1">
        <x:f>IFERROR(__xludf.DUMMYFUNCTION("""COMPUTED_VALUE"""),"2018")</x:f>
      </x:c>
    </x:row>
    <x:row r="4125" spans="1:10">
      <x:c r="A4125" s="1" t="s">
        <x:v>4134</x:v>
      </x:c>
      <x:c r="B4125" s="1">
        <x:f>IFERROR(__xludf.DUMMYFUNCTION("""COMPUTED_VALUE"""),"La importància de ser franc")</x:f>
      </x:c>
      <x:c r="C4125" s="1">
        <x:f>IFERROR(__xludf.DUMMYFUNCTION("""COMPUTED_VALUE"""),"2002")</x:f>
      </x:c>
    </x:row>
    <x:row r="4126" spans="1:10">
      <x:c r="A4126" s="1" t="s">
        <x:v>4135</x:v>
      </x:c>
      <x:c r="B4126" s="1">
        <x:f>IFERROR(__xludf.DUMMYFUNCTION("""COMPUTED_VALUE"""),"La importància de ser Frank")</x:f>
      </x:c>
      <x:c r="C4126" s="1">
        <x:f>IFERROR(__xludf.DUMMYFUNCTION("""COMPUTED_VALUE"""),"2021")</x:f>
      </x:c>
    </x:row>
    <x:row r="4127" spans="1:10">
      <x:c r="A4127" s="1" t="s">
        <x:v>4136</x:v>
      </x:c>
      <x:c r="B4127" s="1">
        <x:f>IFERROR(__xludf.DUMMYFUNCTION("""COMPUTED_VALUE"""),"La increïble Elisa")</x:f>
      </x:c>
      <x:c r="C4127" s="1">
        <x:f>IFERROR(__xludf.DUMMYFUNCTION("""COMPUTED_VALUE"""),"2022")</x:f>
      </x:c>
    </x:row>
    <x:row r="4128" spans="1:10">
      <x:c r="A4128" s="1" t="s">
        <x:v>4137</x:v>
      </x:c>
      <x:c r="B4128" s="1">
        <x:f>IFERROR(__xludf.DUMMYFUNCTION("""COMPUTED_VALUE"""),"La increïble història de la pera gegant")</x:f>
      </x:c>
      <x:c r="C4128" s="1">
        <x:f>IFERROR(__xludf.DUMMYFUNCTION("""COMPUTED_VALUE"""),"2017")</x:f>
      </x:c>
    </x:row>
    <x:row r="4129" spans="1:10">
      <x:c r="A4129" s="1" t="s">
        <x:v>4138</x:v>
      </x:c>
      <x:c r="B4129" s="1">
        <x:f>IFERROR(__xludf.DUMMYFUNCTION("""COMPUTED_VALUE"""),"La increïble però certa història de la Caputxeta Vermella")</x:f>
      </x:c>
      <x:c r="C4129" s="1">
        <x:f>IFERROR(__xludf.DUMMYFUNCTION("""COMPUTED_VALUE"""),"2005")</x:f>
      </x:c>
    </x:row>
    <x:row r="4130" spans="1:10">
      <x:c r="A4130" s="1" t="s">
        <x:v>4139</x:v>
      </x:c>
      <x:c r="B4130" s="1">
        <x:f>IFERROR(__xludf.DUMMYFUNCTION("""COMPUTED_VALUE"""),"La independència, pas a pas")</x:f>
      </x:c>
      <x:c r="C4130" s="1">
        <x:f>IFERROR(__xludf.DUMMYFUNCTION("""COMPUTED_VALUE"""),"2012")</x:f>
      </x:c>
    </x:row>
    <x:row r="4131" spans="1:10">
      <x:c r="A4131" s="1" t="s">
        <x:v>4140</x:v>
      </x:c>
      <x:c r="B4131" s="1">
        <x:f>IFERROR(__xludf.DUMMYFUNCTION("""COMPUTED_VALUE"""),"La infermera")</x:f>
      </x:c>
      <x:c r="C4131" s="1">
        <x:f>IFERROR(__xludf.DUMMYFUNCTION("""COMPUTED_VALUE"""),"1997")</x:f>
      </x:c>
    </x:row>
    <x:row r="4132" spans="1:10">
      <x:c r="A4132" s="1" t="s">
        <x:v>4141</x:v>
      </x:c>
      <x:c r="B4132" s="1">
        <x:f>IFERROR(__xludf.DUMMYFUNCTION("""COMPUTED_VALUE"""),"La infermera")</x:f>
      </x:c>
      <x:c r="C4132" s="1">
        <x:f>IFERROR(__xludf.DUMMYFUNCTION("""COMPUTED_VALUE"""),"2016")</x:f>
      </x:c>
    </x:row>
    <x:row r="4133" spans="1:10">
      <x:c r="A4133" s="1" t="s">
        <x:v>4142</x:v>
      </x:c>
      <x:c r="B4133" s="1">
        <x:f>IFERROR(__xludf.DUMMYFUNCTION("""COMPUTED_VALUE"""),"La innocència")</x:f>
      </x:c>
      <x:c r="C4133" s="1">
        <x:f>IFERROR(__xludf.DUMMYFUNCTION("""COMPUTED_VALUE"""),"2019")</x:f>
      </x:c>
    </x:row>
    <x:row r="4134" spans="1:10">
      <x:c r="A4134" s="1" t="s">
        <x:v>4143</x:v>
      </x:c>
      <x:c r="B4134" s="1">
        <x:f>IFERROR(__xludf.DUMMYFUNCTION("""COMPUTED_VALUE"""),"La inspiració. El gran Pirandello")</x:f>
      </x:c>
      <x:c r="C4134" s="1">
        <x:f>IFERROR(__xludf.DUMMYFUNCTION("""COMPUTED_VALUE"""),"2022")</x:f>
      </x:c>
    </x:row>
    <x:row r="4135" spans="1:10">
      <x:c r="A4135" s="1" t="s">
        <x:v>4144</x:v>
      </x:c>
      <x:c r="B4135" s="1">
        <x:f>IFERROR(__xludf.DUMMYFUNCTION("""COMPUTED_VALUE"""),"La intervenció")</x:f>
      </x:c>
      <x:c r="C4135" s="1">
        <x:f>IFERROR(__xludf.DUMMYFUNCTION("""COMPUTED_VALUE"""),"2019")</x:f>
      </x:c>
    </x:row>
    <x:row r="4136" spans="1:10">
      <x:c r="A4136" s="1" t="s">
        <x:v>4145</x:v>
      </x:c>
      <x:c r="B4136" s="1">
        <x:f>IFERROR(__xludf.DUMMYFUNCTION("""COMPUTED_VALUE"""),"La jetée [VOSC]")</x:f>
      </x:c>
      <x:c r="C4136" s="1">
        <x:f>IFERROR(__xludf.DUMMYFUNCTION("""COMPUTED_VALUE"""),"1962")</x:f>
      </x:c>
    </x:row>
    <x:row r="4137" spans="1:10">
      <x:c r="A4137" s="1" t="s">
        <x:v>4146</x:v>
      </x:c>
      <x:c r="B4137" s="1">
        <x:f>IFERROR(__xludf.DUMMYFUNCTION("""COMPUTED_VALUE"""),"La joia del Nil")</x:f>
      </x:c>
      <x:c r="C4137" s="1">
        <x:f>IFERROR(__xludf.DUMMYFUNCTION("""COMPUTED_VALUE"""),"1985")</x:f>
      </x:c>
    </x:row>
    <x:row r="4138" spans="1:10">
      <x:c r="A4138" s="1" t="s">
        <x:v>4147</x:v>
      </x:c>
      <x:c r="B4138" s="1">
        <x:f>IFERROR(__xludf.DUMMYFUNCTION("""COMPUTED_VALUE"""),"La Joséphine està embarassada")</x:f>
      </x:c>
      <x:c r="C4138" s="1">
        <x:f>IFERROR(__xludf.DUMMYFUNCTION("""COMPUTED_VALUE"""),"2016")</x:f>
      </x:c>
    </x:row>
    <x:row r="4139" spans="1:10">
      <x:c r="A4139" s="1" t="s">
        <x:v>4148</x:v>
      </x:c>
      <x:c r="B4139" s="1">
        <x:f>IFERROR(__xludf.DUMMYFUNCTION("""COMPUTED_VALUE"""),"La jove de l'aigua")</x:f>
      </x:c>
      <x:c r="C4139" s="1">
        <x:f>IFERROR(__xludf.DUMMYFUNCTION("""COMPUTED_VALUE"""),"2006")</x:f>
      </x:c>
    </x:row>
    <x:row r="4140" spans="1:10">
      <x:c r="A4140" s="1" t="s">
        <x:v>4149</x:v>
      </x:c>
      <x:c r="B4140" s="1">
        <x:f>IFERROR(__xludf.DUMMYFUNCTION("""COMPUTED_VALUE"""),"La jove i el mar")</x:f>
      </x:c>
      <x:c r="C4140" s="1">
        <x:f>IFERROR(__xludf.DUMMYFUNCTION("""COMPUTED_VALUE"""),"2024")</x:f>
      </x:c>
    </x:row>
    <x:row r="4141" spans="1:10">
      <x:c r="A4141" s="1" t="s">
        <x:v>4150</x:v>
      </x:c>
      <x:c r="B4141" s="1">
        <x:f>IFERROR(__xludf.DUMMYFUNCTION("""COMPUTED_VALUE"""),"La jove Jane Austen")</x:f>
      </x:c>
      <x:c r="C4141" s="1">
        <x:f>IFERROR(__xludf.DUMMYFUNCTION("""COMPUTED_VALUE"""),"2007")</x:f>
      </x:c>
    </x:row>
    <x:row r="4142" spans="1:10">
      <x:c r="A4142" s="1" t="s">
        <x:v>4151</x:v>
      </x:c>
      <x:c r="B4142" s="1">
        <x:f>IFERROR(__xludf.DUMMYFUNCTION("""COMPUTED_VALUE"""),"La joventut d'una reina")</x:f>
      </x:c>
      <x:c r="C4142" s="1">
        <x:f>IFERROR(__xludf.DUMMYFUNCTION("""COMPUTED_VALUE"""),"1954")</x:f>
      </x:c>
    </x:row>
    <x:row r="4143" spans="1:10">
      <x:c r="A4143" s="1" t="s">
        <x:v>4152</x:v>
      </x:c>
      <x:c r="B4143" s="1">
        <x:f>IFERROR(__xludf.DUMMYFUNCTION("""COMPUTED_VALUE"""),"La juguesca")</x:f>
      </x:c>
      <x:c r="C4143" s="1">
        <x:f>IFERROR(__xludf.DUMMYFUNCTION("""COMPUTED_VALUE"""),"2015")</x:f>
      </x:c>
    </x:row>
    <x:row r="4144" spans="1:10">
      <x:c r="A4144" s="1" t="s">
        <x:v>4153</x:v>
      </x:c>
      <x:c r="B4144" s="1">
        <x:f>IFERROR(__xludf.DUMMYFUNCTION("""COMPUTED_VALUE"""),"La jungla")</x:f>
      </x:c>
      <x:c r="C4144" s="1">
        <x:f>IFERROR(__xludf.DUMMYFUNCTION("""COMPUTED_VALUE"""),"2017")</x:f>
      </x:c>
    </x:row>
    <x:row r="4145" spans="1:10">
      <x:c r="A4145" s="1" t="s">
        <x:v>4154</x:v>
      </x:c>
      <x:c r="B4145" s="1">
        <x:f>IFERROR(__xludf.DUMMYFUNCTION("""COMPUTED_VALUE"""),"La Kate i en Leopold")</x:f>
      </x:c>
      <x:c r="C4145" s="1">
        <x:f>IFERROR(__xludf.DUMMYFUNCTION("""COMPUTED_VALUE"""),"2001")</x:f>
      </x:c>
    </x:row>
    <x:row r="4146" spans="1:10">
      <x:c r="A4146" s="1" t="s">
        <x:v>4155</x:v>
      </x:c>
      <x:c r="B4146" s="1">
        <x:f>IFERROR(__xludf.DUMMYFUNCTION("""COMPUTED_VALUE"""),"La Klara i el Nadal a la granja")</x:f>
      </x:c>
      <x:c r="C4146" s="1">
        <x:f>IFERROR(__xludf.DUMMYFUNCTION("""COMPUTED_VALUE"""),"2020")</x:f>
      </x:c>
    </x:row>
    <x:row r="4147" spans="1:10">
      <x:c r="A4147" s="1" t="s">
        <x:v>4156</x:v>
      </x:c>
      <x:c r="B4147" s="1">
        <x:f>IFERROR(__xludf.DUMMYFUNCTION("""COMPUTED_VALUE"""),"La La Land")</x:f>
      </x:c>
      <x:c r="C4147" s="1">
        <x:f>IFERROR(__xludf.DUMMYFUNCTION("""COMPUTED_VALUE"""),"2016")</x:f>
      </x:c>
    </x:row>
    <x:row r="4148" spans="1:10">
      <x:c r="A4148" s="1" t="s">
        <x:v>4157</x:v>
      </x:c>
      <x:c r="B4148" s="1">
        <x:f>IFERROR(__xludf.DUMMYFUNCTION("""COMPUTED_VALUE"""),"La lapidació de Sant Esteve")</x:f>
      </x:c>
      <x:c r="C4148" s="1">
        <x:f>IFERROR(__xludf.DUMMYFUNCTION("""COMPUTED_VALUE"""),"2012")</x:f>
      </x:c>
    </x:row>
    <x:row r="4149" spans="1:10">
      <x:c r="A4149" s="1" t="s">
        <x:v>4158</x:v>
      </x:c>
      <x:c r="B4149" s="1">
        <x:f>IFERROR(__xludf.DUMMYFUNCTION("""COMPUTED_VALUE"""),"La lapidació de Soraya M")</x:f>
      </x:c>
      <x:c r="C4149" s="1">
        <x:f>IFERROR(__xludf.DUMMYFUNCTION("""COMPUTED_VALUE"""),"2008")</x:f>
      </x:c>
    </x:row>
    <x:row r="4150" spans="1:10">
      <x:c r="A4150" s="1" t="s">
        <x:v>4159</x:v>
      </x:c>
      <x:c r="B4150" s="1">
        <x:f>IFERROR(__xludf.DUMMYFUNCTION("""COMPUTED_VALUE"""),"La Lassie torna a casa")</x:f>
      </x:c>
      <x:c r="C4150" s="1">
        <x:f>IFERROR(__xludf.DUMMYFUNCTION("""COMPUTED_VALUE"""),"2020")</x:f>
      </x:c>
    </x:row>
    <x:row r="4151" spans="1:10">
      <x:c r="A4151" s="1" t="s">
        <x:v>4160</x:v>
      </x:c>
      <x:c r="B4151" s="1">
        <x:f>IFERROR(__xludf.DUMMYFUNCTION("""COMPUTED_VALUE"""),"La lectora")</x:f>
      </x:c>
      <x:c r="C4151" s="1">
        <x:f>IFERROR(__xludf.DUMMYFUNCTION("""COMPUTED_VALUE"""),"2016")</x:f>
      </x:c>
    </x:row>
    <x:row r="4152" spans="1:10">
      <x:c r="A4152" s="1" t="s">
        <x:v>4161</x:v>
      </x:c>
      <x:c r="B4152" s="1">
        <x:f>IFERROR(__xludf.DUMMYFUNCTION("""COMPUTED_VALUE"""),"La legió invencible")</x:f>
      </x:c>
      <x:c r="C4152" s="1">
        <x:f>IFERROR(__xludf.DUMMYFUNCTION("""COMPUTED_VALUE"""),"1949")</x:f>
      </x:c>
    </x:row>
    <x:row r="4153" spans="1:10">
      <x:c r="A4153" s="1" t="s">
        <x:v>4162</x:v>
      </x:c>
      <x:c r="B4153" s="1">
        <x:f>IFERROR(__xludf.DUMMYFUNCTION("""COMPUTED_VALUE"""),"La Lego Ninjago pel·lícula")</x:f>
      </x:c>
      <x:c r="C4153" s="1">
        <x:f>IFERROR(__xludf.DUMMYFUNCTION("""COMPUTED_VALUE"""),"2017")</x:f>
      </x:c>
    </x:row>
    <x:row r="4154" spans="1:10">
      <x:c r="A4154" s="1" t="s">
        <x:v>4163</x:v>
      </x:c>
      <x:c r="B4154" s="1">
        <x:f>IFERROR(__xludf.DUMMYFUNCTION("""COMPUTED_VALUE"""),"La Lego pel·lícula")</x:f>
      </x:c>
      <x:c r="C4154" s="1">
        <x:f>IFERROR(__xludf.DUMMYFUNCTION("""COMPUTED_VALUE"""),"2014")</x:f>
      </x:c>
    </x:row>
    <x:row r="4155" spans="1:10">
      <x:c r="A4155" s="1" t="s">
        <x:v>4164</x:v>
      </x:c>
      <x:c r="B4155" s="1">
        <x:f>IFERROR(__xludf.DUMMYFUNCTION("""COMPUTED_VALUE"""),"La Lego pel·lícula 2")</x:f>
      </x:c>
      <x:c r="C4155" s="1">
        <x:f>IFERROR(__xludf.DUMMYFUNCTION("""COMPUTED_VALUE"""),"2019")</x:f>
      </x:c>
    </x:row>
    <x:row r="4156" spans="1:10">
      <x:c r="A4156" s="1" t="s">
        <x:v>4165</x:v>
      </x:c>
      <x:c r="B4156" s="1">
        <x:f>IFERROR(__xludf.DUMMYFUNCTION("""COMPUTED_VALUE"""),"La llamada")</x:f>
      </x:c>
      <x:c r="C4156" s="1">
        <x:f>IFERROR(__xludf.DUMMYFUNCTION("""COMPUTED_VALUE"""),"2017")</x:f>
      </x:c>
    </x:row>
    <x:row r="4157" spans="1:10">
      <x:c r="A4157" s="1" t="s">
        <x:v>4166</x:v>
      </x:c>
      <x:c r="B4157" s="1">
        <x:f>IFERROR(__xludf.DUMMYFUNCTION("""COMPUTED_VALUE"""),"La llavor del diable")</x:f>
      </x:c>
      <x:c r="C4157" s="1">
        <x:f>IFERROR(__xludf.DUMMYFUNCTION("""COMPUTED_VALUE"""),"1968")</x:f>
      </x:c>
    </x:row>
    <x:row r="4158" spans="1:10">
      <x:c r="A4158" s="1" t="s">
        <x:v>4167</x:v>
      </x:c>
      <x:c r="B4158" s="1">
        <x:f>IFERROR(__xludf.DUMMYFUNCTION("""COMPUTED_VALUE"""),"La llegenda d'Ochi")</x:f>
      </x:c>
      <x:c r="C4158" s="1">
        <x:f>IFERROR(__xludf.DUMMYFUNCTION("""COMPUTED_VALUE"""),"2025")</x:f>
      </x:c>
    </x:row>
    <x:row r="4159" spans="1:10">
      <x:c r="A4159" s="1" t="s">
        <x:v>4168</x:v>
      </x:c>
      <x:c r="B4159" s="1">
        <x:f>IFERROR(__xludf.DUMMYFUNCTION("""COMPUTED_VALUE"""),"La llegenda de l'indomable")</x:f>
      </x:c>
      <x:c r="C4159" s="1">
        <x:f>IFERROR(__xludf.DUMMYFUNCTION("""COMPUTED_VALUE"""),"1967")</x:f>
      </x:c>
    </x:row>
    <x:row r="4160" spans="1:10">
      <x:c r="A4160" s="1" t="s">
        <x:v>4169</x:v>
      </x:c>
      <x:c r="B4160" s="1">
        <x:f>IFERROR(__xludf.DUMMYFUNCTION("""COMPUTED_VALUE"""),"La llegenda de Redbad")</x:f>
      </x:c>
      <x:c r="C4160" s="1">
        <x:f>IFERROR(__xludf.DUMMYFUNCTION("""COMPUTED_VALUE"""),"2018")</x:f>
      </x:c>
    </x:row>
    <x:row r="4161" spans="1:10">
      <x:c r="A4161" s="1" t="s">
        <x:v>4170</x:v>
      </x:c>
      <x:c r="B4161" s="1">
        <x:f>IFERROR(__xludf.DUMMYFUNCTION("""COMPUTED_VALUE"""),"La llegenda de Santa Claus")</x:f>
      </x:c>
      <x:c r="C4161" s="1">
        <x:f>IFERROR(__xludf.DUMMYFUNCTION("""COMPUTED_VALUE"""),"2007")</x:f>
      </x:c>
    </x:row>
    <x:row r="4162" spans="1:10">
      <x:c r="A4162" s="1" t="s">
        <x:v>4171</x:v>
      </x:c>
      <x:c r="B4162" s="1">
        <x:f>IFERROR(__xludf.DUMMYFUNCTION("""COMPUTED_VALUE"""),"La llegenda de Sarila")</x:f>
      </x:c>
      <x:c r="C4162" s="1">
        <x:f>IFERROR(__xludf.DUMMYFUNCTION("""COMPUTED_VALUE"""),"2013")</x:f>
      </x:c>
    </x:row>
    <x:row r="4163" spans="1:10">
      <x:c r="A4163" s="1" t="s">
        <x:v>4172</x:v>
      </x:c>
      <x:c r="B4163" s="1">
        <x:f>IFERROR(__xludf.DUMMYFUNCTION("""COMPUTED_VALUE"""),"La llegenda de Tarzan")</x:f>
      </x:c>
      <x:c r="C4163" s="1">
        <x:f>IFERROR(__xludf.DUMMYFUNCTION("""COMPUTED_VALUE"""),"2016")</x:f>
      </x:c>
    </x:row>
    <x:row r="4164" spans="1:10">
      <x:c r="A4164" s="1" t="s">
        <x:v>4173</x:v>
      </x:c>
      <x:c r="B4164" s="1">
        <x:f>IFERROR(__xludf.DUMMYFUNCTION("""COMPUTED_VALUE"""),"La llegenda de Tombatossals")</x:f>
      </x:c>
      <x:c r="C4164" s="1">
        <x:f>IFERROR(__xludf.DUMMYFUNCTION("""COMPUTED_VALUE"""),"2013")</x:f>
      </x:c>
    </x:row>
    <x:row r="4165" spans="1:10">
      <x:c r="A4165" s="1" t="s">
        <x:v>4174</x:v>
      </x:c>
      <x:c r="B4165" s="1">
        <x:f>IFERROR(__xludf.DUMMYFUNCTION("""COMPUTED_VALUE"""),"La llegenda del drac trencaossos")</x:f>
      </x:c>
      <x:c r="C4165" s="1">
        <x:f>IFERROR(__xludf.DUMMYFUNCTION("""COMPUTED_VALUE"""),"2010")</x:f>
      </x:c>
    </x:row>
    <x:row r="4166" spans="1:10">
      <x:c r="A4166" s="1" t="s">
        <x:v>4175</x:v>
      </x:c>
      <x:c r="B4166" s="1">
        <x:f>IFERROR(__xludf.DUMMYFUNCTION("""COMPUTED_VALUE"""),"La llegenda del Red Dog")</x:f>
      </x:c>
      <x:c r="C4166" s="1">
        <x:f>IFERROR(__xludf.DUMMYFUNCTION("""COMPUTED_VALUE"""),"2011")</x:f>
      </x:c>
    </x:row>
    <x:row r="4167" spans="1:10">
      <x:c r="A4167" s="1" t="s">
        <x:v>4176</x:v>
      </x:c>
      <x:c r="B4167" s="1">
        <x:f>IFERROR(__xludf.DUMMYFUNCTION("""COMPUTED_VALUE"""),"La llegenda del Zorro")</x:f>
      </x:c>
      <x:c r="C4167" s="1">
        <x:f>IFERROR(__xludf.DUMMYFUNCTION("""COMPUTED_VALUE"""),"2005")</x:f>
      </x:c>
    </x:row>
    <x:row r="4168" spans="1:10">
      <x:c r="A4168" s="1" t="s">
        <x:v>4177</x:v>
      </x:c>
      <x:c r="B4168" s="1">
        <x:f>IFERROR(__xludf.DUMMYFUNCTION("""COMPUTED_VALUE"""),"La llegenda dels guardians. Les òlibes de Ga'Hoole")</x:f>
      </x:c>
      <x:c r="C4168" s="1">
        <x:f>IFERROR(__xludf.DUMMYFUNCTION("""COMPUTED_VALUE"""),"2010")</x:f>
      </x:c>
    </x:row>
    <x:row r="4169" spans="1:10">
      <x:c r="A4169" s="1" t="s">
        <x:v>4178</x:v>
      </x:c>
      <x:c r="B4169" s="1">
        <x:f>IFERROR(__xludf.DUMMYFUNCTION("""COMPUTED_VALUE"""),"La llegenda dels perduts")</x:f>
      </x:c>
      <x:c r="C4169" s="1">
        <x:f>IFERROR(__xludf.DUMMYFUNCTION("""COMPUTED_VALUE"""),"1957")</x:f>
      </x:c>
    </x:row>
    <x:row r="4170" spans="1:10">
      <x:c r="A4170" s="1" t="s">
        <x:v>4179</x:v>
      </x:c>
      <x:c r="B4170" s="1">
        <x:f>IFERROR(__xludf.DUMMYFUNCTION("""COMPUTED_VALUE"""),"La llei de la força")</x:f>
      </x:c>
      <x:c r="C4170" s="1">
        <x:f>IFERROR(__xludf.DUMMYFUNCTION("""COMPUTED_VALUE"""),"1952")</x:f>
      </x:c>
    </x:row>
    <x:row r="4171" spans="1:10">
      <x:c r="A4171" s="1" t="s">
        <x:v>4180</x:v>
      </x:c>
      <x:c r="B4171" s="1">
        <x:f>IFERROR(__xludf.DUMMYFUNCTION("""COMPUTED_VALUE"""),"La llei del silenci")</x:f>
      </x:c>
      <x:c r="C4171" s="1">
        <x:f>IFERROR(__xludf.DUMMYFUNCTION("""COMPUTED_VALUE"""),"1954")</x:f>
      </x:c>
    </x:row>
    <x:row r="4172" spans="1:10">
      <x:c r="A4172" s="1" t="s">
        <x:v>4181</x:v>
      </x:c>
      <x:c r="B4172" s="1">
        <x:f>IFERROR(__xludf.DUMMYFUNCTION("""COMPUTED_VALUE"""),"La llengua de les papallones")</x:f>
      </x:c>
      <x:c r="C4172" s="1">
        <x:f>IFERROR(__xludf.DUMMYFUNCTION("""COMPUTED_VALUE"""),"1999")</x:f>
      </x:c>
    </x:row>
    <x:row r="4173" spans="1:10">
      <x:c r="A4173" s="1" t="s">
        <x:v>4182</x:v>
      </x:c>
      <x:c r="B4173" s="1">
        <x:f>IFERROR(__xludf.DUMMYFUNCTION("""COMPUTED_VALUE"""),"La lletra escarlata")</x:f>
      </x:c>
      <x:c r="C4173" s="1">
        <x:f>IFERROR(__xludf.DUMMYFUNCTION("""COMPUTED_VALUE"""),"1995")</x:f>
      </x:c>
    </x:row>
    <x:row r="4174" spans="1:10">
      <x:c r="A4174" s="1" t="s">
        <x:v>4183</x:v>
      </x:c>
      <x:c r="B4174" s="1">
        <x:f>IFERROR(__xludf.DUMMYFUNCTION("""COMPUTED_VALUE"""),"La llibreria")</x:f>
      </x:c>
      <x:c r="C4174" s="1">
        <x:f>IFERROR(__xludf.DUMMYFUNCTION("""COMPUTED_VALUE"""),"2017")</x:f>
      </x:c>
    </x:row>
    <x:row r="4175" spans="1:10">
      <x:c r="A4175" s="1" t="s">
        <x:v>4184</x:v>
      </x:c>
      <x:c r="B4175" s="1">
        <x:f>IFERROR(__xludf.DUMMYFUNCTION("""COMPUTED_VALUE"""),"La Lliga de la Justícia")</x:f>
      </x:c>
      <x:c r="C4175" s="1">
        <x:f>IFERROR(__xludf.DUMMYFUNCTION("""COMPUTED_VALUE"""),"2017")</x:f>
      </x:c>
    </x:row>
    <x:row r="4176" spans="1:10">
      <x:c r="A4176" s="1" t="s">
        <x:v>4185</x:v>
      </x:c>
      <x:c r="B4176" s="1">
        <x:f>IFERROR(__xludf.DUMMYFUNCTION("""COMPUTED_VALUE"""),"La lliga dels homes extraordinaris")</x:f>
      </x:c>
      <x:c r="C4176" s="1">
        <x:f>IFERROR(__xludf.DUMMYFUNCTION("""COMPUTED_VALUE"""),"2003")</x:f>
      </x:c>
    </x:row>
    <x:row r="4177" spans="1:10">
      <x:c r="A4177" s="1" t="s">
        <x:v>4186</x:v>
      </x:c>
      <x:c r="B4177" s="1">
        <x:f>IFERROR(__xludf.DUMMYFUNCTION("""COMPUTED_VALUE"""),"La Llista")</x:f>
      </x:c>
      <x:c r="C4177" s="1">
        <x:f>IFERROR(__xludf.DUMMYFUNCTION("""COMPUTED_VALUE"""),"2008")</x:f>
      </x:c>
    </x:row>
    <x:row r="4178" spans="1:10">
      <x:c r="A4178" s="1" t="s">
        <x:v>4187</x:v>
      </x:c>
      <x:c r="B4178" s="1">
        <x:f>IFERROR(__xludf.DUMMYFUNCTION("""COMPUTED_VALUE"""),"La llista de Schindler")</x:f>
      </x:c>
      <x:c r="C4178" s="1">
        <x:f>IFERROR(__xludf.DUMMYFUNCTION("""COMPUTED_VALUE"""),"1993")</x:f>
      </x:c>
    </x:row>
    <x:row r="4179" spans="1:10">
      <x:c r="A4179" s="1" t="s">
        <x:v>4188</x:v>
      </x:c>
      <x:c r="B4179" s="1">
        <x:f>IFERROR(__xludf.DUMMYFUNCTION("""COMPUTED_VALUE"""),"La lloba")</x:f>
      </x:c>
      <x:c r="C4179" s="1">
        <x:f>IFERROR(__xludf.DUMMYFUNCTION("""COMPUTED_VALUE"""),"1941")</x:f>
      </x:c>
    </x:row>
    <x:row r="4180" spans="1:10">
      <x:c r="A4180" s="1" t="s">
        <x:v>4189</x:v>
      </x:c>
      <x:c r="B4180" s="1">
        <x:f>IFERROR(__xludf.DUMMYFUNCTION("""COMPUTED_VALUE"""),"La lluitadora")</x:f>
      </x:c>
      <x:c r="C4180" s="1">
        <x:f>IFERROR(__xludf.DUMMYFUNCTION("""COMPUTED_VALUE"""),"2007")</x:f>
      </x:c>
    </x:row>
    <x:row r="4181" spans="1:10">
      <x:c r="A4181" s="1" t="s">
        <x:v>4190</x:v>
      </x:c>
      <x:c r="B4181" s="1">
        <x:f>IFERROR(__xludf.DUMMYFUNCTION("""COMPUTED_VALUE"""),"La llum d'Elna")</x:f>
      </x:c>
      <x:c r="C4181" s="1">
        <x:f>IFERROR(__xludf.DUMMYFUNCTION("""COMPUTED_VALUE"""),"2017")</x:f>
      </x:c>
    </x:row>
    <x:row r="4182" spans="1:10">
      <x:c r="A4182" s="1" t="s">
        <x:v>4191</x:v>
      </x:c>
      <x:c r="B4182" s="1">
        <x:f>IFERROR(__xludf.DUMMYFUNCTION("""COMPUTED_VALUE"""),"La llum de l'Aisha")</x:f>
      </x:c>
      <x:c r="C4182" s="1">
        <x:f>IFERROR(__xludf.DUMMYFUNCTION("""COMPUTED_VALUE"""),"2025")</x:f>
      </x:c>
    </x:row>
    <x:row r="4183" spans="1:10">
      <x:c r="A4183" s="1" t="s">
        <x:v>4192</x:v>
      </x:c>
      <x:c r="B4183" s="1">
        <x:f>IFERROR(__xludf.DUMMYFUNCTION("""COMPUTED_VALUE"""),"La llum entre els oceans")</x:f>
      </x:c>
      <x:c r="C4183" s="1">
        <x:f>IFERROR(__xludf.DUMMYFUNCTION("""COMPUTED_VALUE"""),"2016")</x:f>
      </x:c>
    </x:row>
    <x:row r="4184" spans="1:10">
      <x:c r="A4184" s="1" t="s">
        <x:v>4193</x:v>
      </x:c>
      <x:c r="B4184" s="1">
        <x:f>IFERROR(__xludf.DUMMYFUNCTION("""COMPUTED_VALUE"""),"La Ludwig Band ""La mateixa sort"" - final de gira -")</x:f>
      </x:c>
      <x:c r="C4184" s="1">
        <x:f>IFERROR(__xludf.DUMMYFUNCTION("""COMPUTED_VALUE"""),"2023")</x:f>
      </x:c>
    </x:row>
    <x:row r="4185" spans="1:10">
      <x:c r="A4185" s="1" t="s">
        <x:v>4194</x:v>
      </x:c>
      <x:c r="B4185" s="1">
        <x:f>IFERROR(__xludf.DUMMYFUNCTION("""COMPUTED_VALUE"""),"La màfia dels cotxes robats")</x:f>
      </x:c>
      <x:c r="C4185" s="1">
        <x:f>IFERROR(__xludf.DUMMYFUNCTION("""COMPUTED_VALUE"""),"2025")</x:f>
      </x:c>
    </x:row>
    <x:row r="4186" spans="1:10">
      <x:c r="A4186" s="1" t="s">
        <x:v>4195</x:v>
      </x:c>
      <x:c r="B4186" s="1">
        <x:f>IFERROR(__xludf.DUMMYFUNCTION("""COMPUTED_VALUE"""),"La màfia jove")</x:f>
      </x:c>
      <x:c r="C4186" s="1">
        <x:f>IFERROR(__xludf.DUMMYFUNCTION("""COMPUTED_VALUE"""),"2018")</x:f>
      </x:c>
    </x:row>
    <x:row r="4187" spans="1:10">
      <x:c r="A4187" s="1" t="s">
        <x:v>4196</x:v>
      </x:c>
      <x:c r="B4187" s="1">
        <x:f>IFERROR(__xludf.DUMMYFUNCTION("""COMPUTED_VALUE"""),"La màfia només mata a l'estiu")</x:f>
      </x:c>
      <x:c r="C4187" s="1">
        <x:f>IFERROR(__xludf.DUMMYFUNCTION("""COMPUTED_VALUE"""),"2013")</x:f>
      </x:c>
    </x:row>
    <x:row r="4188" spans="1:10">
      <x:c r="A4188" s="1" t="s">
        <x:v>4197</x:v>
      </x:c>
      <x:c r="B4188" s="1">
        <x:f>IFERROR(__xludf.DUMMYFUNCTION("""COMPUTED_VALUE"""),"La màgia del sud")</x:f>
      </x:c>
      <x:c r="C4188" s="1">
        <x:f>IFERROR(__xludf.DUMMYFUNCTION("""COMPUTED_VALUE"""),"2003")</x:f>
      </x:c>
    </x:row>
    <x:row r="4189" spans="1:10">
      <x:c r="A4189" s="1" t="s">
        <x:v>4198</x:v>
      </x:c>
      <x:c r="B4189" s="1">
        <x:f>IFERROR(__xludf.DUMMYFUNCTION("""COMPUTED_VALUE"""),"La mainadera màgica i el gran bum!")</x:f>
      </x:c>
      <x:c r="C4189" s="1">
        <x:f>IFERROR(__xludf.DUMMYFUNCTION("""COMPUTED_VALUE"""),"2010")</x:f>
      </x:c>
    </x:row>
    <x:row r="4190" spans="1:10">
      <x:c r="A4190" s="1" t="s">
        <x:v>4199</x:v>
      </x:c>
      <x:c r="B4190" s="1">
        <x:f>IFERROR(__xludf.DUMMYFUNCTION("""COMPUTED_VALUE"""),"La malaltia del diumenge")</x:f>
      </x:c>
      <x:c r="C4190" s="1">
        <x:f>IFERROR(__xludf.DUMMYFUNCTION("""COMPUTED_VALUE"""),"2018")</x:f>
      </x:c>
    </x:row>
    <x:row r="4191" spans="1:10">
      <x:c r="A4191" s="1" t="s">
        <x:v>4200</x:v>
      </x:c>
      <x:c r="B4191" s="1">
        <x:f>IFERROR(__xludf.DUMMYFUNCTION("""COMPUTED_VALUE"""),"La maledicció de l'escorpí de jade")</x:f>
      </x:c>
      <x:c r="C4191" s="1">
        <x:f>IFERROR(__xludf.DUMMYFUNCTION("""COMPUTED_VALUE"""),"2001")</x:f>
      </x:c>
    </x:row>
    <x:row r="4192" spans="1:10">
      <x:c r="A4192" s="1" t="s">
        <x:v>4201</x:v>
      </x:c>
      <x:c r="B4192" s="1">
        <x:f>IFERROR(__xludf.DUMMYFUNCTION("""COMPUTED_VALUE"""),"La maledicció de la flor daurada")</x:f>
      </x:c>
      <x:c r="C4192" s="1">
        <x:f>IFERROR(__xludf.DUMMYFUNCTION("""COMPUTED_VALUE"""),"2006")</x:f>
      </x:c>
    </x:row>
    <x:row r="4193" spans="1:10">
      <x:c r="A4193" s="1" t="s">
        <x:v>4202</x:v>
      </x:c>
      <x:c r="B4193" s="1">
        <x:f>IFERROR(__xludf.DUMMYFUNCTION("""COMPUTED_VALUE"""),"La maledicció de la Pantera Rosa")</x:f>
      </x:c>
      <x:c r="C4193" s="1">
        <x:f>IFERROR(__xludf.DUMMYFUNCTION("""COMPUTED_VALUE"""),"1983")</x:f>
      </x:c>
    </x:row>
    <x:row r="4194" spans="1:10">
      <x:c r="A4194" s="1" t="s">
        <x:v>4203</x:v>
      </x:c>
      <x:c r="B4194" s="1">
        <x:f>IFERROR(__xludf.DUMMYFUNCTION("""COMPUTED_VALUE"""),"La maledicció de Lake Manor")</x:f>
      </x:c>
      <x:c r="C4194" s="1">
        <x:f>IFERROR(__xludf.DUMMYFUNCTION("""COMPUTED_VALUE"""),"2019")</x:f>
      </x:c>
    </x:row>
    <x:row r="4195" spans="1:10">
      <x:c r="A4195" s="1" t="s">
        <x:v>4204</x:v>
      </x:c>
      <x:c r="B4195" s="1">
        <x:f>IFERROR(__xludf.DUMMYFUNCTION("""COMPUTED_VALUE"""),"La maledicció de les bruixes")</x:f>
      </x:c>
      <x:c r="C4195" s="1">
        <x:f>IFERROR(__xludf.DUMMYFUNCTION("""COMPUTED_VALUE"""),"1990")</x:f>
      </x:c>
    </x:row>
    <x:row r="4196" spans="1:10">
      <x:c r="A4196" s="1" t="s">
        <x:v>4205</x:v>
      </x:c>
      <x:c r="B4196" s="1">
        <x:f>IFERROR(__xludf.DUMMYFUNCTION("""COMPUTED_VALUE"""),"La maledicció de Tutankamon")</x:f>
      </x:c>
      <x:c r="C4196" s="1">
        <x:f>IFERROR(__xludf.DUMMYFUNCTION("""COMPUTED_VALUE"""),"2005")</x:f>
      </x:c>
    </x:row>
    <x:row r="4197" spans="1:10">
      <x:c r="A4197" s="1" t="s">
        <x:v>4206</x:v>
      </x:c>
      <x:c r="B4197" s="1">
        <x:f>IFERROR(__xludf.DUMMYFUNCTION("""COMPUTED_VALUE"""),"La maledicció del diable")</x:f>
      </x:c>
      <x:c r="C4197" s="1">
        <x:f>IFERROR(__xludf.DUMMYFUNCTION("""COMPUTED_VALUE"""),"1957")</x:f>
      </x:c>
    </x:row>
    <x:row r="4198" spans="1:10">
      <x:c r="A4198" s="1" t="s">
        <x:v>4207</x:v>
      </x:c>
      <x:c r="B4198" s="1">
        <x:f>IFERROR(__xludf.DUMMYFUNCTION("""COMPUTED_VALUE"""),"La maleta mexicana")</x:f>
      </x:c>
      <x:c r="C4198" s="1">
        <x:f>IFERROR(__xludf.DUMMYFUNCTION("""COMPUTED_VALUE"""),"2011")</x:f>
      </x:c>
    </x:row>
    <x:row r="4199" spans="1:10">
      <x:c r="A4199" s="1" t="s">
        <x:v>4208</x:v>
      </x:c>
      <x:c r="B4199" s="1">
        <x:f>IFERROR(__xludf.DUMMYFUNCTION("""COMPUTED_VALUE"""),"La malvada guineu ferotge")</x:f>
      </x:c>
      <x:c r="C4199" s="1">
        <x:f>IFERROR(__xludf.DUMMYFUNCTION("""COMPUTED_VALUE"""),"2017")</x:f>
      </x:c>
    </x:row>
    <x:row r="4200" spans="1:10">
      <x:c r="A4200" s="1" t="s">
        <x:v>4209</x:v>
      </x:c>
      <x:c r="B4200" s="1">
        <x:f>IFERROR(__xludf.DUMMYFUNCTION("""COMPUTED_VALUE"""),"La Mama Muu torna a casa")</x:f>
      </x:c>
      <x:c r="C4200" s="1">
        <x:f>IFERROR(__xludf.DUMMYFUNCTION("""COMPUTED_VALUE"""),"2021")</x:f>
      </x:c>
    </x:row>
    <x:row r="4201" spans="1:10">
      <x:c r="A4201" s="1" t="s">
        <x:v>4210</x:v>
      </x:c>
      <x:c r="B4201" s="1">
        <x:f>IFERROR(__xludf.DUMMYFUNCTION("""COMPUTED_VALUE"""),"La màquina del temps")</x:f>
      </x:c>
      <x:c r="C4201" s="1">
        <x:f>IFERROR(__xludf.DUMMYFUNCTION("""COMPUTED_VALUE"""),"1960")</x:f>
      </x:c>
    </x:row>
    <x:row r="4202" spans="1:10">
      <x:c r="A4202" s="1" t="s">
        <x:v>4211</x:v>
      </x:c>
      <x:c r="B4202" s="1">
        <x:f>IFERROR(__xludf.DUMMYFUNCTION("""COMPUTED_VALUE"""),"La màquina del temps")</x:f>
      </x:c>
      <x:c r="C4202" s="1">
        <x:f>IFERROR(__xludf.DUMMYFUNCTION("""COMPUTED_VALUE"""),"2002")</x:f>
      </x:c>
    </x:row>
    <x:row r="4203" spans="1:10">
      <x:c r="A4203" s="1" t="s">
        <x:v>4212</x:v>
      </x:c>
      <x:c r="B4203" s="1">
        <x:f>IFERROR(__xludf.DUMMYFUNCTION("""COMPUTED_VALUE"""),"La mar no és blava")</x:f>
      </x:c>
      <x:c r="C4203" s="1">
        <x:f>IFERROR(__xludf.DUMMYFUNCTION("""COMPUTED_VALUE"""),"2006")</x:f>
      </x:c>
    </x:row>
    <x:row r="4204" spans="1:10">
      <x:c r="A4204" s="1" t="s">
        <x:v>4213</x:v>
      </x:c>
      <x:c r="B4204" s="1">
        <x:f>IFERROR(__xludf.DUMMYFUNCTION("""COMPUTED_VALUE"""),"La marca del llop")</x:f>
      </x:c>
      <x:c r="C4204" s="1">
        <x:f>IFERROR(__xludf.DUMMYFUNCTION("""COMPUTED_VALUE"""),"2007")</x:f>
      </x:c>
    </x:row>
    <x:row r="4205" spans="1:10">
      <x:c r="A4205" s="1" t="s">
        <x:v>4214</x:v>
      </x:c>
      <x:c r="B4205" s="1">
        <x:f>IFERROR(__xludf.DUMMYFUNCTION("""COMPUTED_VALUE"""),"La mare d'ell")</x:f>
      </x:c>
      <x:c r="C4205" s="1">
        <x:f>IFERROR(__xludf.DUMMYFUNCTION("""COMPUTED_VALUE"""),"2008")</x:f>
      </x:c>
    </x:row>
    <x:row r="4206" spans="1:10">
      <x:c r="A4206" s="1" t="s">
        <x:v>4215</x:v>
      </x:c>
      <x:c r="B4206" s="1">
        <x:f>IFERROR(__xludf.DUMMYFUNCTION("""COMPUTED_VALUE"""),"La mare de lloguer")</x:f>
      </x:c>
      <x:c r="C4206" s="1">
        <x:f>IFERROR(__xludf.DUMMYFUNCTION("""COMPUTED_VALUE"""),"2015")</x:f>
      </x:c>
    </x:row>
    <x:row r="4207" spans="1:10">
      <x:c r="A4207" s="1" t="s">
        <x:v>4216</x:v>
      </x:c>
      <x:c r="B4207" s="1">
        <x:f>IFERROR(__xludf.DUMMYFUNCTION("""COMPUTED_VALUE"""),"La mare del nuvi")</x:f>
      </x:c>
      <x:c r="C4207" s="1">
        <x:f>IFERROR(__xludf.DUMMYFUNCTION("""COMPUTED_VALUE"""),"2005")</x:f>
      </x:c>
    </x:row>
    <x:row r="4208" spans="1:10">
      <x:c r="A4208" s="1" t="s">
        <x:v>4217</x:v>
      </x:c>
      <x:c r="B4208" s="1">
        <x:f>IFERROR(__xludf.DUMMYFUNCTION("""COMPUTED_VALUE"""),"La mare perfecta")</x:f>
      </x:c>
      <x:c r="C4208" s="1">
        <x:f>IFERROR(__xludf.DUMMYFUNCTION("""COMPUTED_VALUE"""),"2017")</x:f>
      </x:c>
    </x:row>
    <x:row r="4209" spans="1:10">
      <x:c r="A4209" s="1" t="s">
        <x:v>4218</x:v>
      </x:c>
      <x:c r="B4209" s="1">
        <x:f>IFERROR(__xludf.DUMMYFUNCTION("""COMPUTED_VALUE"""),"La Mare Teresa i jo")</x:f>
      </x:c>
      <x:c r="C4209" s="1">
        <x:f>IFERROR(__xludf.DUMMYFUNCTION("""COMPUTED_VALUE"""),"2022")</x:f>
      </x:c>
    </x:row>
    <x:row r="4210" spans="1:10">
      <x:c r="A4210" s="1" t="s">
        <x:v>4219</x:v>
      </x:c>
      <x:c r="B4210" s="1">
        <x:f>IFERROR(__xludf.DUMMYFUNCTION("""COMPUTED_VALUE"""),"La màscara")</x:f>
      </x:c>
      <x:c r="C4210" s="1">
        <x:f>IFERROR(__xludf.DUMMYFUNCTION("""COMPUTED_VALUE"""),"1994")</x:f>
      </x:c>
    </x:row>
    <x:row r="4211" spans="1:10">
      <x:c r="A4211" s="1" t="s">
        <x:v>4220</x:v>
      </x:c>
      <x:c r="B4211" s="1">
        <x:f>IFERROR(__xludf.DUMMYFUNCTION("""COMPUTED_VALUE"""),"La màscara del Zorro")</x:f>
      </x:c>
      <x:c r="C4211" s="1">
        <x:f>IFERROR(__xludf.DUMMYFUNCTION("""COMPUTED_VALUE"""),"1998")</x:f>
      </x:c>
    </x:row>
    <x:row r="4212" spans="1:10">
      <x:c r="A4212" s="1" t="s">
        <x:v>4221</x:v>
      </x:c>
      <x:c r="B4212" s="1">
        <x:f>IFERROR(__xludf.DUMMYFUNCTION("""COMPUTED_VALUE"""),"La matança de Texas l'origen")</x:f>
      </x:c>
      <x:c r="C4212" s="1">
        <x:f>IFERROR(__xludf.DUMMYFUNCTION("""COMPUTED_VALUE"""),"2006")</x:f>
      </x:c>
    </x:row>
    <x:row r="4213" spans="1:10">
      <x:c r="A4213" s="1" t="s">
        <x:v>4222</x:v>
      </x:c>
      <x:c r="B4213" s="1">
        <x:f>IFERROR(__xludf.DUMMYFUNCTION("""COMPUTED_VALUE"""),"La maternal")</x:f>
      </x:c>
      <x:c r="C4213" s="1">
        <x:f>IFERROR(__xludf.DUMMYFUNCTION("""COMPUTED_VALUE"""),"2022")</x:f>
      </x:c>
    </x:row>
    <x:row r="4214" spans="1:10">
      <x:c r="A4214" s="1" t="s">
        <x:v>4223</x:v>
      </x:c>
      <x:c r="B4214" s="1">
        <x:f>IFERROR(__xludf.DUMMYFUNCTION("""COMPUTED_VALUE"""),"La memòria dels morts")</x:f>
      </x:c>
      <x:c r="C4214" s="1">
        <x:f>IFERROR(__xludf.DUMMYFUNCTION("""COMPUTED_VALUE"""),"2004")</x:f>
      </x:c>
    </x:row>
    <x:row r="4215" spans="1:10">
      <x:c r="A4215" s="1" t="s">
        <x:v>4224</x:v>
      </x:c>
      <x:c r="B4215" s="1">
        <x:f>IFERROR(__xludf.DUMMYFUNCTION("""COMPUTED_VALUE"""),"La memòria dels peixos")</x:f>
      </x:c>
      <x:c r="C4215" s="1">
        <x:f>IFERROR(__xludf.DUMMYFUNCTION("""COMPUTED_VALUE"""),"2004")</x:f>
      </x:c>
    </x:row>
    <x:row r="4216" spans="1:10">
      <x:c r="A4216" s="1" t="s">
        <x:v>4225</x:v>
      </x:c>
      <x:c r="B4216" s="1">
        <x:f>IFERROR(__xludf.DUMMYFUNCTION("""COMPUTED_VALUE"""),"La ment de l'assassí")</x:f>
      </x:c>
      <x:c r="C4216" s="1">
        <x:f>IFERROR(__xludf.DUMMYFUNCTION("""COMPUTED_VALUE"""),"2012")</x:f>
      </x:c>
    </x:row>
    <x:row r="4217" spans="1:10">
      <x:c r="A4217" s="1" t="s">
        <x:v>4226</x:v>
      </x:c>
      <x:c r="B4217" s="1">
        <x:f>IFERROR(__xludf.DUMMYFUNCTION("""COMPUTED_VALUE"""),"La meva bonica família italiana!")</x:f>
      </x:c>
      <x:c r="C4217" s="1">
        <x:f>IFERROR(__xludf.DUMMYFUNCTION("""COMPUTED_VALUE"""),"2014")</x:f>
      </x:c>
    </x:row>
    <x:row r="4218" spans="1:10">
      <x:c r="A4218" s="1" t="s">
        <x:v>4227</x:v>
      </x:c>
      <x:c r="B4218" s="1">
        <x:f>IFERROR(__xludf.DUMMYFUNCTION("""COMPUTED_VALUE"""),"La meva casa a París")</x:f>
      </x:c>
      <x:c r="C4218" s="1">
        <x:f>IFERROR(__xludf.DUMMYFUNCTION("""COMPUTED_VALUE"""),"2014")</x:f>
      </x:c>
    </x:row>
    <x:row r="4219" spans="1:10">
      <x:c r="A4219" s="1" t="s">
        <x:v>4228</x:v>
      </x:c>
      <x:c r="B4219" s="1">
        <x:f>IFERROR(__xludf.DUMMYFUNCTION("""COMPUTED_VALUE"""),"La meva cita a cegues amb la vida")</x:f>
      </x:c>
      <x:c r="C4219" s="1">
        <x:f>IFERROR(__xludf.DUMMYFUNCTION("""COMPUTED_VALUE"""),"2017")</x:f>
      </x:c>
    </x:row>
    <x:row r="4220" spans="1:10">
      <x:c r="A4220" s="1" t="s">
        <x:v>4229</x:v>
      </x:c>
      <x:c r="B4220" s="1">
        <x:f>IFERROR(__xludf.DUMMYFUNCTION("""COMPUTED_VALUE"""),"La meva família del nord")</x:f>
      </x:c>
      <x:c r="C4220" s="1">
        <x:f>IFERROR(__xludf.DUMMYFUNCTION("""COMPUTED_VALUE"""),"2018")</x:f>
      </x:c>
    </x:row>
    <x:row r="4221" spans="1:10">
      <x:c r="A4221" s="1" t="s">
        <x:v>4230</x:v>
      </x:c>
      <x:c r="B4221" s="1">
        <x:f>IFERROR(__xludf.DUMMYFUNCTION("""COMPUTED_VALUE"""),"La meva gran aventura sexual")</x:f>
      </x:c>
      <x:c r="C4221" s="1">
        <x:f>IFERROR(__xludf.DUMMYFUNCTION("""COMPUTED_VALUE"""),"2012")</x:f>
      </x:c>
    </x:row>
    <x:row r="4222" spans="1:10">
      <x:c r="A4222" s="1" t="s">
        <x:v>4231</x:v>
      </x:c>
      <x:c r="B4222" s="1">
        <x:f>IFERROR(__xludf.DUMMYFUNCTION("""COMPUTED_VALUE"""),"La meva nena")</x:f>
      </x:c>
      <x:c r="C4222" s="1">
        <x:f>IFERROR(__xludf.DUMMYFUNCTION("""COMPUTED_VALUE"""),"2019")</x:f>
      </x:c>
    </x:row>
    <x:row r="4223" spans="1:10">
      <x:c r="A4223" s="1" t="s">
        <x:v>4232</x:v>
      </x:c>
      <x:c r="B4223" s="1">
        <x:f>IFERROR(__xludf.DUMMYFUNCTION("""COMPUTED_VALUE"""),"#N/A")</x:f>
      </x:c>
      <x:c r="C4223" s="1"/>
    </x:row>
    <x:row r="4224" spans="1:10">
      <x:c r="A4224" s="1" t="s">
        <x:v>4233</x:v>
      </x:c>
      <x:c r="B4224" s="1">
        <x:f>IFERROR(__xludf.DUMMYFUNCTION("""COMPUTED_VALUE"""),"La meva preciosa bugaderia")</x:f>
      </x:c>
      <x:c r="C4224" s="1">
        <x:f>IFERROR(__xludf.DUMMYFUNCTION("""COMPUTED_VALUE"""),"1985")</x:f>
      </x:c>
    </x:row>
    <x:row r="4225" spans="1:10">
      <x:c r="A4225" s="1" t="s">
        <x:v>4234</x:v>
      </x:c>
      <x:c r="B4225" s="1">
        <x:f>IFERROR(__xludf.DUMMYFUNCTION("""COMPUTED_VALUE"""),"La meva setmana amb Marilyn")</x:f>
      </x:c>
      <x:c r="C4225" s="1">
        <x:f>IFERROR(__xludf.DUMMYFUNCTION("""COMPUTED_VALUE"""),"2011")</x:f>
      </x:c>
    </x:row>
    <x:row r="4226" spans="1:10">
      <x:c r="A4226" s="1" t="s">
        <x:v>4235</x:v>
      </x:c>
      <x:c r="B4226" s="1">
        <x:f>IFERROR(__xludf.DUMMYFUNCTION("""COMPUTED_VALUE"""),"La meva terra")</x:f>
      </x:c>
      <x:c r="C4226" s="1">
        <x:f>IFERROR(__xludf.DUMMYFUNCTION("""COMPUTED_VALUE"""),"2014")</x:f>
      </x:c>
    </x:row>
    <x:row r="4227" spans="1:10">
      <x:c r="A4227" s="1" t="s">
        <x:v>4236</x:v>
      </x:c>
      <x:c r="B4227" s="1">
        <x:f>IFERROR(__xludf.DUMMYFUNCTION("""COMPUTED_VALUE"""),"La meva trobada amb la Marilou")</x:f>
      </x:c>
      <x:c r="C4227" s="1">
        <x:f>IFERROR(__xludf.DUMMYFUNCTION("""COMPUTED_VALUE"""),"2012")</x:f>
      </x:c>
    </x:row>
    <x:row r="4228" spans="1:10">
      <x:c r="A4228" s="1" t="s">
        <x:v>4237</x:v>
      </x:c>
      <x:c r="B4228" s="1">
        <x:f>IFERROR(__xludf.DUMMYFUNCTION("""COMPUTED_VALUE"""),"La meva vida als seixanta")</x:f>
      </x:c>
      <x:c r="C4228" s="1">
        <x:f>IFERROR(__xludf.DUMMYFUNCTION("""COMPUTED_VALUE"""),"2014")</x:f>
      </x:c>
    </x:row>
    <x:row r="4229" spans="1:10">
      <x:c r="A4229" s="1" t="s">
        <x:v>4238</x:v>
      </x:c>
      <x:c r="B4229" s="1">
        <x:f>IFERROR(__xludf.DUMMYFUNCTION("""COMPUTED_VALUE"""),"La meva vida amb l’Amanda")</x:f>
      </x:c>
      <x:c r="C4229" s="1">
        <x:f>IFERROR(__xludf.DUMMYFUNCTION("""COMPUTED_VALUE"""),"2018")</x:f>
      </x:c>
    </x:row>
    <x:row r="4230" spans="1:10">
      <x:c r="A4230" s="1" t="s">
        <x:v>4239</x:v>
      </x:c>
      <x:c r="B4230" s="1">
        <x:f>IFERROR(__xludf.DUMMYFUNCTION("""COMPUTED_VALUE"""),"La meva vida d'ara")</x:f>
      </x:c>
      <x:c r="C4230" s="1">
        <x:f>IFERROR(__xludf.DUMMYFUNCTION("""COMPUTED_VALUE"""),"2013")</x:f>
      </x:c>
    </x:row>
    <x:row r="4231" spans="1:10">
      <x:c r="A4231" s="1" t="s">
        <x:v>4240</x:v>
      </x:c>
      <x:c r="B4231" s="1">
        <x:f>IFERROR(__xludf.DUMMYFUNCTION("""COMPUTED_VALUE"""),"La meva vida en ruïnes")</x:f>
      </x:c>
      <x:c r="C4231" s="1">
        <x:f>IFERROR(__xludf.DUMMYFUNCTION("""COMPUTED_VALUE"""),"2009")</x:f>
      </x:c>
    </x:row>
    <x:row r="4232" spans="1:10">
      <x:c r="A4232" s="1" t="s">
        <x:v>4241</x:v>
      </x:c>
      <x:c r="B4232" s="1">
        <x:f>IFERROR(__xludf.DUMMYFUNCTION("""COMPUTED_VALUE"""),"La Mia i el lleó blanc")</x:f>
      </x:c>
      <x:c r="C4232" s="1">
        <x:f>IFERROR(__xludf.DUMMYFUNCTION("""COMPUTED_VALUE"""),"2018")</x:f>
      </x:c>
    </x:row>
    <x:row r="4233" spans="1:10">
      <x:c r="A4233" s="1" t="s">
        <x:v>4242</x:v>
      </x:c>
      <x:c r="B4233" s="1">
        <x:f>IFERROR(__xludf.DUMMYFUNCTION("""COMPUTED_VALUE"""),"La milla verda")</x:f>
      </x:c>
      <x:c r="C4233" s="1">
        <x:f>IFERROR(__xludf.DUMMYFUNCTION("""COMPUTED_VALUE"""),"1999")</x:f>
      </x:c>
    </x:row>
    <x:row r="4234" spans="1:10">
      <x:c r="A4234" s="1" t="s">
        <x:v>4243</x:v>
      </x:c>
      <x:c r="B4234" s="1">
        <x:f>IFERROR(__xludf.DUMMYFUNCTION("""COMPUTED_VALUE"""),"La millor")</x:f>
      </x:c>
      <x:c r="C4234" s="1">
        <x:f>IFERROR(__xludf.DUMMYFUNCTION("""COMPUTED_VALUE"""),"2009")</x:f>
      </x:c>
    </x:row>
    <x:row r="4235" spans="1:10">
      <x:c r="A4235" s="1" t="s">
        <x:v>4244</x:v>
      </x:c>
      <x:c r="B4235" s="1">
        <x:f>IFERROR(__xludf.DUMMYFUNCTION("""COMPUTED_VALUE"""),"La millor oferta")</x:f>
      </x:c>
      <x:c r="C4235" s="1">
        <x:f>IFERROR(__xludf.DUMMYFUNCTION("""COMPUTED_VALUE"""),"2013")</x:f>
      </x:c>
    </x:row>
    <x:row r="4236" spans="1:10">
      <x:c r="A4236" s="1" t="s">
        <x:v>4245</x:v>
      </x:c>
      <x:c r="B4236" s="1">
        <x:f>IFERROR(__xludf.DUMMYFUNCTION("""COMPUTED_VALUE"""),"La millor opció")</x:f>
      </x:c>
      <x:c r="C4236" s="1">
        <x:f>IFERROR(__xludf.DUMMYFUNCTION("""COMPUTED_VALUE"""),"2016")</x:f>
      </x:c>
    </x:row>
    <x:row r="4237" spans="1:10">
      <x:c r="A4237" s="1" t="s">
        <x:v>4246</x:v>
      </x:c>
      <x:c r="B4237" s="1">
        <x:f>IFERROR(__xludf.DUMMYFUNCTION("""COMPUTED_VALUE"""),"La mina del diable [VOSC]")</x:f>
      </x:c>
      <x:c r="C4237" s="1">
        <x:f>IFERROR(__xludf.DUMMYFUNCTION("""COMPUTED_VALUE"""),"2005")</x:f>
      </x:c>
    </x:row>
    <x:row r="4238" spans="1:10">
      <x:c r="A4238" s="1" t="s">
        <x:v>4247</x:v>
      </x:c>
      <x:c r="B4238" s="1">
        <x:f>IFERROR(__xludf.DUMMYFUNCTION("""COMPUTED_VALUE"""),"La mirada de l'amor")</x:f>
      </x:c>
      <x:c r="C4238" s="1">
        <x:f>IFERROR(__xludf.DUMMYFUNCTION("""COMPUTED_VALUE"""),"2013")</x:f>
      </x:c>
    </x:row>
    <x:row r="4239" spans="1:10">
      <x:c r="A4239" s="1" t="s">
        <x:v>4248</x:v>
      </x:c>
      <x:c r="B4239" s="1">
        <x:f>IFERROR(__xludf.DUMMYFUNCTION("""COMPUTED_VALUE"""),"La Mirai, la meva germana petita")</x:f>
      </x:c>
      <x:c r="C4239" s="1">
        <x:f>IFERROR(__xludf.DUMMYFUNCTION("""COMPUTED_VALUE"""),"2018")</x:f>
      </x:c>
    </x:row>
    <x:row r="4240" spans="1:10">
      <x:c r="A4240" s="1" t="s">
        <x:v>4249</x:v>
      </x:c>
      <x:c r="B4240" s="1">
        <x:f>IFERROR(__xludf.DUMMYFUNCTION("""COMPUTED_VALUE"""),"La moda ràpida: què amaguen les gangues?")</x:f>
      </x:c>
      <x:c r="C4240" s="1">
        <x:f>IFERROR(__xludf.DUMMYFUNCTION("""COMPUTED_VALUE"""),"2021")</x:f>
      </x:c>
    </x:row>
    <x:row r="4241" spans="1:10">
      <x:c r="A4241" s="1" t="s">
        <x:v>4250</x:v>
      </x:c>
      <x:c r="B4241" s="1">
        <x:f>IFERROR(__xludf.DUMMYFUNCTION("""COMPUTED_VALUE"""),"La mòmia")</x:f>
      </x:c>
      <x:c r="C4241" s="1">
        <x:f>IFERROR(__xludf.DUMMYFUNCTION("""COMPUTED_VALUE"""),"1959")</x:f>
      </x:c>
    </x:row>
    <x:row r="4242" spans="1:10">
      <x:c r="A4242" s="1" t="s">
        <x:v>4251</x:v>
      </x:c>
      <x:c r="B4242" s="1">
        <x:f>IFERROR(__xludf.DUMMYFUNCTION("""COMPUTED_VALUE"""),"La mòmia: la tomba de l'emperador drac")</x:f>
      </x:c>
      <x:c r="C4242" s="1">
        <x:f>IFERROR(__xludf.DUMMYFUNCTION("""COMPUTED_VALUE"""),"2008")</x:f>
      </x:c>
    </x:row>
    <x:row r="4243" spans="1:10">
      <x:c r="A4243" s="1" t="s">
        <x:v>4252</x:v>
      </x:c>
      <x:c r="B4243" s="1">
        <x:f>IFERROR(__xludf.DUMMYFUNCTION("""COMPUTED_VALUE"""),"La Mona espera un nen")</x:f>
      </x:c>
      <x:c r="C4243" s="1">
        <x:f>IFERROR(__xludf.DUMMYFUNCTION("""COMPUTED_VALUE"""),"2014")</x:f>
      </x:c>
    </x:row>
    <x:row r="4244" spans="1:10">
      <x:c r="A4244" s="1" t="s">
        <x:v>4253</x:v>
      </x:c>
      <x:c r="B4244" s="1">
        <x:f>IFERROR(__xludf.DUMMYFUNCTION("""COMPUTED_VALUE"""),"La monja")</x:f>
      </x:c>
      <x:c r="C4244" s="1">
        <x:f>IFERROR(__xludf.DUMMYFUNCTION("""COMPUTED_VALUE"""),"2005")</x:f>
      </x:c>
    </x:row>
    <x:row r="4245" spans="1:10">
      <x:c r="A4245" s="1" t="s">
        <x:v>4254</x:v>
      </x:c>
      <x:c r="B4245" s="1">
        <x:f>IFERROR(__xludf.DUMMYFUNCTION("""COMPUTED_VALUE"""),"La Monyos")</x:f>
      </x:c>
      <x:c r="C4245" s="1">
        <x:f>IFERROR(__xludf.DUMMYFUNCTION("""COMPUTED_VALUE"""),"1997")</x:f>
      </x:c>
    </x:row>
    <x:row r="4246" spans="1:10">
      <x:c r="A4246" s="1" t="s">
        <x:v>4255</x:v>
      </x:c>
      <x:c r="B4246" s="1">
        <x:f>IFERROR(__xludf.DUMMYFUNCTION("""COMPUTED_VALUE"""),"La mort a l'ànima")</x:f>
      </x:c>
      <x:c r="C4246" s="1">
        <x:f>IFERROR(__xludf.DUMMYFUNCTION("""COMPUTED_VALUE"""),"2018")</x:f>
      </x:c>
    </x:row>
    <x:row r="4247" spans="1:10">
      <x:c r="A4247" s="1" t="s">
        <x:v>4256</x:v>
      </x:c>
      <x:c r="B4247" s="1">
        <x:f>IFERROR(__xludf.DUMMYFUNCTION("""COMPUTED_VALUE"""),"La mort arriba suaument")</x:f>
      </x:c>
      <x:c r="C4247" s="1">
        <x:f>IFERROR(__xludf.DUMMYFUNCTION("""COMPUTED_VALUE"""),"2016")</x:f>
      </x:c>
    </x:row>
    <x:row r="4248" spans="1:10">
      <x:c r="A4248" s="1" t="s">
        <x:v>4257</x:v>
      </x:c>
      <x:c r="B4248" s="1">
        <x:f>IFERROR(__xludf.DUMMYFUNCTION("""COMPUTED_VALUE"""),"La mort de Guillem")</x:f>
      </x:c>
      <x:c r="C4248" s="1">
        <x:f>IFERROR(__xludf.DUMMYFUNCTION("""COMPUTED_VALUE"""),"2020")</x:f>
      </x:c>
    </x:row>
    <x:row r="4249" spans="1:10">
      <x:c r="A4249" s="1" t="s">
        <x:v>4258</x:v>
      </x:c>
      <x:c r="B4249" s="1">
        <x:f>IFERROR(__xludf.DUMMYFUNCTION("""COMPUTED_VALUE"""),"La mort de Lluís XIV [VOSC]")</x:f>
      </x:c>
      <x:c r="C4249" s="1">
        <x:f>IFERROR(__xludf.DUMMYFUNCTION("""COMPUTED_VALUE"""),"2016")</x:f>
      </x:c>
    </x:row>
    <x:row r="4250" spans="1:10">
      <x:c r="A4250" s="1" t="s">
        <x:v>4259</x:v>
      </x:c>
      <x:c r="B4250" s="1">
        <x:f>IFERROR(__xludf.DUMMYFUNCTION("""COMPUTED_VALUE"""),"La mort de ningú, l'enigma Heinz Ches")</x:f>
      </x:c>
      <x:c r="C4250" s="1">
        <x:f>IFERROR(__xludf.DUMMYFUNCTION("""COMPUTED_VALUE"""),"2004")</x:f>
      </x:c>
    </x:row>
    <x:row r="4251" spans="1:10">
      <x:c r="A4251" s="1" t="s">
        <x:v>4260</x:v>
      </x:c>
      <x:c r="B4251" s="1">
        <x:f>IFERROR(__xludf.DUMMYFUNCTION("""COMPUTED_VALUE"""),"La mort del senyor Lazarescu [VOSC]")</x:f>
      </x:c>
      <x:c r="C4251" s="1">
        <x:f>IFERROR(__xludf.DUMMYFUNCTION("""COMPUTED_VALUE"""),"2005")</x:f>
      </x:c>
    </x:row>
    <x:row r="4252" spans="1:10">
      <x:c r="A4252" s="1" t="s">
        <x:v>4261</x:v>
      </x:c>
      <x:c r="B4252" s="1">
        <x:f>IFERROR(__xludf.DUMMYFUNCTION("""COMPUTED_VALUE"""),"La mort i la donzella")</x:f>
      </x:c>
      <x:c r="C4252" s="1">
        <x:f>IFERROR(__xludf.DUMMYFUNCTION("""COMPUTED_VALUE"""),"1994")</x:f>
      </x:c>
    </x:row>
    <x:row r="4253" spans="1:10">
      <x:c r="A4253" s="1" t="s">
        <x:v>4262</x:v>
      </x:c>
      <x:c r="B4253" s="1">
        <x:f>IFERROR(__xludf.DUMMYFUNCTION("""COMPUTED_VALUE"""),"La mosquitera")</x:f>
      </x:c>
      <x:c r="C4253" s="1">
        <x:f>IFERROR(__xludf.DUMMYFUNCTION("""COMPUTED_VALUE"""),"2010")</x:f>
      </x:c>
    </x:row>
    <x:row r="4254" spans="1:10">
      <x:c r="A4254" s="1" t="s">
        <x:v>4263</x:v>
      </x:c>
      <x:c r="B4254" s="1">
        <x:f>IFERROR(__xludf.DUMMYFUNCTION("""COMPUTED_VALUE"""),"La muntanya màgica")</x:f>
      </x:c>
      <x:c r="C4254" s="1">
        <x:f>IFERROR(__xludf.DUMMYFUNCTION("""COMPUTED_VALUE"""),"2009")</x:f>
      </x:c>
    </x:row>
    <x:row r="4255" spans="1:10">
      <x:c r="A4255" s="1" t="s">
        <x:v>4264</x:v>
      </x:c>
      <x:c r="B4255" s="1">
        <x:f>IFERROR(__xludf.DUMMYFUNCTION("""COMPUTED_VALUE"""),"La muntanya màgica II la banya màgica")</x:f>
      </x:c>
      <x:c r="C4255" s="1">
        <x:f>IFERROR(__xludf.DUMMYFUNCTION("""COMPUTED_VALUE"""),"2011")</x:f>
      </x:c>
    </x:row>
    <x:row r="4256" spans="1:10">
      <x:c r="A4256" s="1" t="s">
        <x:v>4265</x:v>
      </x:c>
      <x:c r="B4256" s="1">
        <x:f>IFERROR(__xludf.DUMMYFUNCTION("""COMPUTED_VALUE"""),"La musa")</x:f>
      </x:c>
      <x:c r="C4256" s="1">
        <x:f>IFERROR(__xludf.DUMMYFUNCTION("""COMPUTED_VALUE"""),"1999")</x:f>
      </x:c>
    </x:row>
    <x:row r="4257" spans="1:10">
      <x:c r="A4257" s="1" t="s">
        <x:v>4266</x:v>
      </x:c>
      <x:c r="B4257" s="1">
        <x:f>IFERROR(__xludf.DUMMYFUNCTION("""COMPUTED_VALUE"""),"La música del silenci")</x:f>
      </x:c>
      <x:c r="C4257" s="1">
        <x:f>IFERROR(__xludf.DUMMYFUNCTION("""COMPUTED_VALUE"""),"2017")</x:f>
      </x:c>
    </x:row>
    <x:row r="4258" spans="1:10">
      <x:c r="A4258" s="1" t="s">
        <x:v>4267</x:v>
      </x:c>
      <x:c r="B4258" s="1">
        <x:f>IFERROR(__xludf.DUMMYFUNCTION("""COMPUTED_VALUE"""),"La narcoamenaça")</x:f>
      </x:c>
      <x:c r="C4258" s="1">
        <x:f>IFERROR(__xludf.DUMMYFUNCTION("""COMPUTED_VALUE"""),"2026")</x:f>
      </x:c>
    </x:row>
    <x:row r="4259" spans="1:10">
      <x:c r="A4259" s="1" t="s">
        <x:v>4268</x:v>
      </x:c>
      <x:c r="B4259" s="1">
        <x:f>IFERROR(__xludf.DUMMYFUNCTION("""COMPUTED_VALUE"""),"La narradora de pel·lícules")</x:f>
      </x:c>
      <x:c r="C4259" s="1">
        <x:f>IFERROR(__xludf.DUMMYFUNCTION("""COMPUTED_VALUE"""),"2023")</x:f>
      </x:c>
    </x:row>
    <x:row r="4260" spans="1:10">
      <x:c r="A4260" s="1" t="s">
        <x:v>4269</x:v>
      </x:c>
      <x:c r="B4260" s="1">
        <x:f>IFERROR(__xludf.DUMMYFUNCTION("""COMPUTED_VALUE"""),"La natura de la por")</x:f>
      </x:c>
      <x:c r="C4260" s="1">
        <x:f>IFERROR(__xludf.DUMMYFUNCTION("""COMPUTED_VALUE"""),"2005")</x:f>
      </x:c>
    </x:row>
    <x:row r="4261" spans="1:10">
      <x:c r="A4261" s="1" t="s">
        <x:v>4270</x:v>
      </x:c>
      <x:c r="B4261" s="1">
        <x:f>IFERROR(__xludf.DUMMYFUNCTION("""COMPUTED_VALUE"""),"La nit cau sobre Manhattan")</x:f>
      </x:c>
      <x:c r="C4261" s="1">
        <x:f>IFERROR(__xludf.DUMMYFUNCTION("""COMPUTED_VALUE"""),"1996")</x:f>
      </x:c>
    </x:row>
    <x:row r="4262" spans="1:10">
      <x:c r="A4262" s="1" t="s">
        <x:v>4271</x:v>
      </x:c>
      <x:c r="B4262" s="1">
        <x:f>IFERROR(__xludf.DUMMYFUNCTION("""COMPUTED_VALUE"""),"La nit de la iguana")</x:f>
      </x:c>
      <x:c r="C4262" s="1">
        <x:f>IFERROR(__xludf.DUMMYFUNCTION("""COMPUTED_VALUE"""),"1964")</x:f>
      </x:c>
    </x:row>
    <x:row r="4263" spans="1:10">
      <x:c r="A4263" s="1" t="s">
        <x:v>4272</x:v>
      </x:c>
      <x:c r="B4263" s="1">
        <x:f>IFERROR(__xludf.DUMMYFUNCTION("""COMPUTED_VALUE"""),"La nit del 12")</x:f>
      </x:c>
      <x:c r="C4263" s="1">
        <x:f>IFERROR(__xludf.DUMMYFUNCTION("""COMPUTED_VALUE"""),"2022")</x:f>
      </x:c>
    </x:row>
    <x:row r="4264" spans="1:10">
      <x:c r="A4264" s="1" t="s">
        <x:v>4273</x:v>
      </x:c>
      <x:c r="B4264" s="1">
        <x:f>IFERROR(__xludf.DUMMYFUNCTION("""COMPUTED_VALUE"""),"La nit del caçador")</x:f>
      </x:c>
      <x:c r="C4264" s="1">
        <x:f>IFERROR(__xludf.DUMMYFUNCTION("""COMPUTED_VALUE"""),"1955")</x:f>
      </x:c>
    </x:row>
    <x:row r="4265" spans="1:10">
      <x:c r="A4265" s="1" t="s">
        <x:v>4274</x:v>
      </x:c>
      <x:c r="B4265" s="1">
        <x:f>IFERROR(__xludf.DUMMYFUNCTION("""COMPUTED_VALUE"""),"La nit dels gegants")</x:f>
      </x:c>
      <x:c r="C4265" s="1">
        <x:f>IFERROR(__xludf.DUMMYFUNCTION("""COMPUTED_VALUE"""),"1968")</x:f>
      </x:c>
    </x:row>
    <x:row r="4266" spans="1:10">
      <x:c r="A4266" s="1" t="s">
        <x:v>4275</x:v>
      </x:c>
      <x:c r="B4266" s="1">
        <x:f>IFERROR(__xludf.DUMMYFUNCTION("""COMPUTED_VALUE"""),"La nit dels morts vivents")</x:f>
      </x:c>
      <x:c r="C4266" s="1">
        <x:f>IFERROR(__xludf.DUMMYFUNCTION("""COMPUTED_VALUE"""),"1968")</x:f>
      </x:c>
    </x:row>
    <x:row r="4267" spans="1:10">
      <x:c r="A4267" s="1" t="s">
        <x:v>4276</x:v>
      </x:c>
      <x:c r="B4267" s="1">
        <x:f>IFERROR(__xludf.DUMMYFUNCTION("""COMPUTED_VALUE"""),"La nit dels vidres trencats")</x:f>
      </x:c>
      <x:c r="C4267" s="1">
        <x:f>IFERROR(__xludf.DUMMYFUNCTION("""COMPUTED_VALUE"""),"1991")</x:f>
      </x:c>
    </x:row>
    <x:row r="4268" spans="1:10">
      <x:c r="A4268" s="1" t="s">
        <x:v>4277</x:v>
      </x:c>
      <x:c r="B4268" s="1">
        <x:f>IFERROR(__xludf.DUMMYFUNCTION("""COMPUTED_VALUE"""),"La nit es mou")</x:f>
      </x:c>
      <x:c r="C4268" s="1">
        <x:f>IFERROR(__xludf.DUMMYFUNCTION("""COMPUTED_VALUE"""),"1975")</x:f>
      </x:c>
    </x:row>
    <x:row r="4269" spans="1:10">
      <x:c r="A4269" s="1" t="s">
        <x:v>4278</x:v>
      </x:c>
      <x:c r="B4269" s="1">
        <x:f>IFERROR(__xludf.DUMMYFUNCTION("""COMPUTED_VALUE"""),"La noia danesa")</x:f>
      </x:c>
      <x:c r="C4269" s="1">
        <x:f>IFERROR(__xludf.DUMMYFUNCTION("""COMPUTED_VALUE"""),"2015")</x:f>
      </x:c>
    </x:row>
    <x:row r="4270" spans="1:10">
      <x:c r="A4270" s="1" t="s">
        <x:v>4279</x:v>
      </x:c>
      <x:c r="B4270" s="1">
        <x:f>IFERROR(__xludf.DUMMYFUNCTION("""COMPUTED_VALUE"""),"La noia de l’agulla")</x:f>
      </x:c>
      <x:c r="C4270" s="1">
        <x:f>IFERROR(__xludf.DUMMYFUNCTION("""COMPUTED_VALUE"""),"2024")</x:f>
      </x:c>
    </x:row>
    <x:row r="4271" spans="1:10">
      <x:c r="A4271" s="1" t="s">
        <x:v>4280</x:v>
      </x:c>
      <x:c r="B4271" s="1">
        <x:f>IFERROR(__xludf.DUMMYFUNCTION("""COMPUTED_VALUE"""),"La noia de la finestra")</x:f>
      </x:c>
      <x:c r="C4271" s="1">
        <x:f>IFERROR(__xludf.DUMMYFUNCTION("""COMPUTED_VALUE"""),"2022")</x:f>
      </x:c>
    </x:row>
    <x:row r="4272" spans="1:10">
      <x:c r="A4272" s="1" t="s">
        <x:v>4281</x:v>
      </x:c>
      <x:c r="B4272" s="1">
        <x:f>IFERROR(__xludf.DUMMYFUNCTION("""COMPUTED_VALUE"""),"La noia de la polsera")</x:f>
      </x:c>
      <x:c r="C4272" s="1">
        <x:f>IFERROR(__xludf.DUMMYFUNCTION("""COMPUTED_VALUE"""),"2019")</x:f>
      </x:c>
    </x:row>
    <x:row r="4273" spans="1:10">
      <x:c r="A4273" s="1" t="s">
        <x:v>4282</x:v>
      </x:c>
      <x:c r="B4273" s="1">
        <x:f>IFERROR(__xludf.DUMMYFUNCTION("""COMPUTED_VALUE"""),"La noia de les espècies")</x:f>
      </x:c>
      <x:c r="C4273" s="1">
        <x:f>IFERROR(__xludf.DUMMYFUNCTION("""COMPUTED_VALUE"""),"2005")</x:f>
      </x:c>
    </x:row>
    <x:row r="4274" spans="1:10">
      <x:c r="A4274" s="1" t="s">
        <x:v>4283</x:v>
      </x:c>
      <x:c r="B4274" s="1">
        <x:f>IFERROR(__xludf.DUMMYFUNCTION("""COMPUTED_VALUE"""),"La noia del bosc")</x:f>
      </x:c>
      <x:c r="C4274" s="1">
        <x:f>IFERROR(__xludf.DUMMYFUNCTION("""COMPUTED_VALUE"""),"2021")</x:f>
      </x:c>
    </x:row>
    <x:row r="4275" spans="1:10">
      <x:c r="A4275" s="1" t="s">
        <x:v>4284</x:v>
      </x:c>
      <x:c r="B4275" s="1">
        <x:f>IFERROR(__xludf.DUMMYFUNCTION("""COMPUTED_VALUE"""),"La noia del llac")</x:f>
      </x:c>
      <x:c r="C4275" s="1">
        <x:f>IFERROR(__xludf.DUMMYFUNCTION("""COMPUTED_VALUE"""),"2007")</x:f>
      </x:c>
    </x:row>
    <x:row r="4276" spans="1:10">
      <x:c r="A4276" s="1" t="s">
        <x:v>4285</x:v>
      </x:c>
      <x:c r="B4276" s="1">
        <x:f>IFERROR(__xludf.DUMMYFUNCTION("""COMPUTED_VALUE"""),"La noia del metro")</x:f>
      </x:c>
      <x:c r="C4276" s="1">
        <x:f>IFERROR(__xludf.DUMMYFUNCTION("""COMPUTED_VALUE"""),"2001")</x:f>
      </x:c>
    </x:row>
    <x:row r="4277" spans="1:10">
      <x:c r="A4277" s="1" t="s">
        <x:v>4286</x:v>
      </x:c>
      <x:c r="B4277" s="1">
        <x:f>IFERROR(__xludf.DUMMYFUNCTION("""COMPUTED_VALUE"""),"La noia del tren")</x:f>
      </x:c>
      <x:c r="C4277" s="1">
        <x:f>IFERROR(__xludf.DUMMYFUNCTION("""COMPUTED_VALUE"""),"2016")</x:f>
      </x:c>
    </x:row>
    <x:row r="4278" spans="1:10">
      <x:c r="A4278" s="1" t="s">
        <x:v>4287</x:v>
      </x:c>
      <x:c r="B4278" s="1">
        <x:f>IFERROR(__xludf.DUMMYFUNCTION("""COMPUTED_VALUE"""),"La noia en la boira")</x:f>
      </x:c>
      <x:c r="C4278" s="1">
        <x:f>IFERROR(__xludf.DUMMYFUNCTION("""COMPUTED_VALUE"""),"2017")</x:f>
      </x:c>
    </x:row>
    <x:row r="4279" spans="1:10">
      <x:c r="A4279" s="1" t="s">
        <x:v>4288</x:v>
      </x:c>
      <x:c r="B4279" s="1">
        <x:f>IFERROR(__xludf.DUMMYFUNCTION("""COMPUTED_VALUE"""),"La noia que saltava a través del temps")</x:f>
      </x:c>
      <x:c r="C4279" s="1">
        <x:f>IFERROR(__xludf.DUMMYFUNCTION("""COMPUTED_VALUE"""),"2006")</x:f>
      </x:c>
    </x:row>
    <x:row r="4280" spans="1:10">
      <x:c r="A4280" s="1" t="s">
        <x:v>4289</x:v>
      </x:c>
      <x:c r="B4280" s="1">
        <x:f>IFERROR(__xludf.DUMMYFUNCTION("""COMPUTED_VALUE"""),"La noia tallada en dues")</x:f>
      </x:c>
      <x:c r="C4280" s="1">
        <x:f>IFERROR(__xludf.DUMMYFUNCTION("""COMPUTED_VALUE"""),"2007")</x:f>
      </x:c>
    </x:row>
    <x:row r="4281" spans="1:10">
      <x:c r="A4281" s="1" t="s">
        <x:v>4290</x:v>
      </x:c>
      <x:c r="B4281" s="1">
        <x:f>IFERROR(__xludf.DUMMYFUNCTION("""COMPUTED_VALUE"""),"La nostra història")</x:f>
      </x:c>
      <x:c r="C4281" s="1">
        <x:f>IFERROR(__xludf.DUMMYFUNCTION("""COMPUTED_VALUE"""),"1999")</x:f>
      </x:c>
    </x:row>
    <x:row r="4282" spans="1:10">
      <x:c r="A4282" s="1" t="s">
        <x:v>4291</x:v>
      </x:c>
      <x:c r="B4282" s="1">
        <x:f>IFERROR(__xludf.DUMMYFUNCTION("""COMPUTED_VALUE"""),"La nostra hospitalitat")</x:f>
      </x:c>
      <x:c r="C4282" s="1">
        <x:f>IFERROR(__xludf.DUMMYFUNCTION("""COMPUTED_VALUE"""),"1923")</x:f>
      </x:c>
    </x:row>
    <x:row r="4283" spans="1:10">
      <x:c r="A4283" s="1" t="s">
        <x:v>4292</x:v>
      </x:c>
      <x:c r="B4283" s="1">
        <x:f>IFERROR(__xludf.DUMMYFUNCTION("""COMPUTED_VALUE"""),"La nostra vida")</x:f>
      </x:c>
      <x:c r="C4283" s="1">
        <x:f>IFERROR(__xludf.DUMMYFUNCTION("""COMPUTED_VALUE"""),"2010")</x:f>
      </x:c>
    </x:row>
    <x:row r="4284" spans="1:10">
      <x:c r="A4284" s="1" t="s">
        <x:v>4293</x:v>
      </x:c>
      <x:c r="B4284" s="1">
        <x:f>IFERROR(__xludf.DUMMYFUNCTION("""COMPUTED_VALUE"""),"La nova guerra dels botons")</x:f>
      </x:c>
      <x:c r="C4284" s="1">
        <x:f>IFERROR(__xludf.DUMMYFUNCTION("""COMPUTED_VALUE"""),"2011")</x:f>
      </x:c>
    </x:row>
    <x:row r="4285" spans="1:10">
      <x:c r="A4285" s="1" t="s">
        <x:v>4294</x:v>
      </x:c>
      <x:c r="B4285" s="1">
        <x:f>IFERROR(__xludf.DUMMYFUNCTION("""COMPUTED_VALUE"""),"La nova joguina")</x:f>
      </x:c>
      <x:c r="C4285" s="1">
        <x:f>IFERROR(__xludf.DUMMYFUNCTION("""COMPUTED_VALUE"""),"2022")</x:f>
      </x:c>
    </x:row>
    <x:row r="4286" spans="1:10">
      <x:c r="A4286" s="1" t="s">
        <x:v>4295</x:v>
      </x:c>
      <x:c r="B4286" s="1">
        <x:f>IFERROR(__xludf.DUMMYFUNCTION("""COMPUTED_VALUE"""),"La novena porta")</x:f>
      </x:c>
      <x:c r="C4286" s="1">
        <x:f>IFERROR(__xludf.DUMMYFUNCTION("""COMPUTED_VALUE"""),"1999")</x:f>
      </x:c>
    </x:row>
    <x:row r="4287" spans="1:10">
      <x:c r="A4287" s="1" t="s">
        <x:v>4296</x:v>
      </x:c>
      <x:c r="B4287" s="1">
        <x:f>IFERROR(__xludf.DUMMYFUNCTION("""COMPUTED_VALUE"""),"La núvia cadàver")</x:f>
      </x:c>
      <x:c r="C4287" s="1">
        <x:f>IFERROR(__xludf.DUMMYFUNCTION("""COMPUTED_VALUE"""),"2005")</x:f>
      </x:c>
    </x:row>
    <x:row r="4288" spans="1:10">
      <x:c r="A4288" s="1" t="s">
        <x:v>4297</x:v>
      </x:c>
      <x:c r="B4288" s="1">
        <x:f>IFERROR(__xludf.DUMMYFUNCTION("""COMPUTED_VALUE"""),"La núvia de Chucky")</x:f>
      </x:c>
      <x:c r="C4288" s="1">
        <x:f>IFERROR(__xludf.DUMMYFUNCTION("""COMPUTED_VALUE"""),"1998")</x:f>
      </x:c>
    </x:row>
    <x:row r="4289" spans="1:10">
      <x:c r="A4289" s="1" t="s">
        <x:v>4298</x:v>
      </x:c>
      <x:c r="B4289" s="1">
        <x:f>IFERROR(__xludf.DUMMYFUNCTION("""COMPUTED_VALUE"""),"La núvia de Frankenstein")</x:f>
      </x:c>
      <x:c r="C4289" s="1">
        <x:f>IFERROR(__xludf.DUMMYFUNCTION("""COMPUTED_VALUE"""),"1935")</x:f>
      </x:c>
    </x:row>
    <x:row r="4290" spans="1:10">
      <x:c r="A4290" s="1" t="s">
        <x:v>4299</x:v>
      </x:c>
      <x:c r="B4290" s="1">
        <x:f>IFERROR(__xludf.DUMMYFUNCTION("""COMPUTED_VALUE"""),"La núvia de la neu")</x:f>
      </x:c>
      <x:c r="C4290" s="1">
        <x:f>IFERROR(__xludf.DUMMYFUNCTION("""COMPUTED_VALUE"""),"2013")</x:f>
      </x:c>
    </x:row>
    <x:row r="4291" spans="1:10">
      <x:c r="A4291" s="1" t="s">
        <x:v>4300</x:v>
      </x:c>
      <x:c r="B4291" s="1">
        <x:f>IFERROR(__xludf.DUMMYFUNCTION("""COMPUTED_VALUE"""),"La Panadella, històries de la carretera")</x:f>
      </x:c>
      <x:c r="C4291" s="1">
        <x:f>IFERROR(__xludf.DUMMYFUNCTION("""COMPUTED_VALUE"""),"2015")</x:f>
      </x:c>
    </x:row>
    <x:row r="4292" spans="1:10">
      <x:c r="A4292" s="1" t="s">
        <x:v>4301</x:v>
      </x:c>
      <x:c r="B4292" s="1">
        <x:f>IFERROR(__xludf.DUMMYFUNCTION("""COMPUTED_VALUE"""),"La Pantera Rosa")</x:f>
      </x:c>
      <x:c r="C4292" s="1">
        <x:f>IFERROR(__xludf.DUMMYFUNCTION("""COMPUTED_VALUE"""),"1963")</x:f>
      </x:c>
    </x:row>
    <x:row r="4293" spans="1:10">
      <x:c r="A4293" s="1" t="s">
        <x:v>4302</x:v>
      </x:c>
      <x:c r="B4293" s="1">
        <x:f>IFERROR(__xludf.DUMMYFUNCTION("""COMPUTED_VALUE"""),"La Pantera Rosa torna")</x:f>
      </x:c>
      <x:c r="C4293" s="1">
        <x:f>IFERROR(__xludf.DUMMYFUNCTION("""COMPUTED_VALUE"""),"1975")</x:f>
      </x:c>
    </x:row>
    <x:row r="4294" spans="1:10">
      <x:c r="A4294" s="1" t="s">
        <x:v>4303</x:v>
      </x:c>
      <x:c r="B4294" s="1">
        <x:f>IFERROR(__xludf.DUMMYFUNCTION("""COMPUTED_VALUE"""),"La part dels àngels")</x:f>
      </x:c>
      <x:c r="C4294" s="1">
        <x:f>IFERROR(__xludf.DUMMYFUNCTION("""COMPUTED_VALUE"""),"2012")</x:f>
      </x:c>
    </x:row>
    <x:row r="4295" spans="1:10">
      <x:c r="A4295" s="1" t="s">
        <x:v>4304</x:v>
      </x:c>
      <x:c r="B4295" s="1">
        <x:f>IFERROR(__xludf.DUMMYFUNCTION("""COMPUTED_VALUE"""),"La part positiva de les coses")</x:f>
      </x:c>
      <x:c r="C4295" s="1">
        <x:f>IFERROR(__xludf.DUMMYFUNCTION("""COMPUTED_VALUE"""),"2012")</x:f>
      </x:c>
    </x:row>
    <x:row r="4296" spans="1:10">
      <x:c r="A4296" s="1" t="s">
        <x:v>4305</x:v>
      </x:c>
      <x:c r="B4296" s="1">
        <x:f>IFERROR(__xludf.DUMMYFUNCTION("""COMPUTED_VALUE"""),"La partícula de Déu")</x:f>
      </x:c>
      <x:c r="C4296" s="1">
        <x:f>IFERROR(__xludf.DUMMYFUNCTION("""COMPUTED_VALUE"""),"2011")</x:f>
      </x:c>
    </x:row>
    <x:row r="4297" spans="1:10">
      <x:c r="A4297" s="1" t="s">
        <x:v>4306</x:v>
      </x:c>
      <x:c r="B4297" s="1">
        <x:f>IFERROR(__xludf.DUMMYFUNCTION("""COMPUTED_VALUE"""),"La pedra de la paciència")</x:f>
      </x:c>
      <x:c r="C4297" s="1">
        <x:f>IFERROR(__xludf.DUMMYFUNCTION("""COMPUTED_VALUE"""),"2012")</x:f>
      </x:c>
    </x:row>
    <x:row r="4298" spans="1:10">
      <x:c r="A4298" s="1" t="s">
        <x:v>4307</x:v>
      </x:c>
      <x:c r="B4298" s="1">
        <x:f>IFERROR(__xludf.DUMMYFUNCTION("""COMPUTED_VALUE"""),"La Peggy Sue es va casar")</x:f>
      </x:c>
      <x:c r="C4298" s="1">
        <x:f>IFERROR(__xludf.DUMMYFUNCTION("""COMPUTED_VALUE"""),"1986")</x:f>
      </x:c>
    </x:row>
    <x:row r="4299" spans="1:10">
      <x:c r="A4299" s="1" t="s">
        <x:v>4308</x:v>
      </x:c>
      <x:c r="B4299" s="1">
        <x:f>IFERROR(__xludf.DUMMYFUNCTION("""COMPUTED_VALUE"""),"La pell freda")</x:f>
      </x:c>
      <x:c r="C4299" s="1">
        <x:f>IFERROR(__xludf.DUMMYFUNCTION("""COMPUTED_VALUE"""),"2017")</x:f>
      </x:c>
    </x:row>
    <x:row r="4300" spans="1:10">
      <x:c r="A4300" s="1" t="s">
        <x:v>4309</x:v>
      </x:c>
      <x:c r="B4300" s="1">
        <x:f>IFERROR(__xludf.DUMMYFUNCTION("""COMPUTED_VALUE"""),"La pel·lícula d'en Tigger. Les noves aventures de Winnie de Poo i els seus amics")</x:f>
      </x:c>
      <x:c r="C4300" s="1">
        <x:f>IFERROR(__xludf.DUMMYFUNCTION("""COMPUTED_VALUE"""),"2000")</x:f>
      </x:c>
    </x:row>
    <x:row r="4301" spans="1:10">
      <x:c r="A4301" s="1" t="s">
        <x:v>4310</x:v>
      </x:c>
      <x:c r="B4301" s="1">
        <x:f>IFERROR(__xludf.DUMMYFUNCTION("""COMPUTED_VALUE"""),"La pel·lícula Pokémon: Et trio a tu")</x:f>
      </x:c>
      <x:c r="C4301" s="1">
        <x:f>IFERROR(__xludf.DUMMYFUNCTION("""COMPUTED_VALUE"""),"2017")</x:f>
      </x:c>
    </x:row>
    <x:row r="4302" spans="1:10">
      <x:c r="A4302" s="1" t="s">
        <x:v>4311</x:v>
      </x:c>
      <x:c r="B4302" s="1">
        <x:f>IFERROR(__xludf.DUMMYFUNCTION("""COMPUTED_VALUE"""),"La pesca del salmó al Iemen")</x:f>
      </x:c>
      <x:c r="C4302" s="1">
        <x:f>IFERROR(__xludf.DUMMYFUNCTION("""COMPUTED_VALUE"""),"2011")</x:f>
      </x:c>
    </x:row>
    <x:row r="4303" spans="1:10">
      <x:c r="A4303" s="1" t="s">
        <x:v>4312</x:v>
      </x:c>
      <x:c r="B4303" s="1">
        <x:f>IFERROR(__xludf.DUMMYFUNCTION("""COMPUTED_VALUE"""),"La pesta del porc")</x:f>
      </x:c>
      <x:c r="C4303" s="1">
        <x:f>IFERROR(__xludf.DUMMYFUNCTION("""COMPUTED_VALUE"""),"2026")</x:f>
      </x:c>
    </x:row>
    <x:row r="4304" spans="1:10">
      <x:c r="A4304" s="1" t="s">
        <x:v>4313</x:v>
      </x:c>
      <x:c r="B4304" s="1">
        <x:f>IFERROR(__xludf.DUMMYFUNCTION("""COMPUTED_VALUE"""),"La petita Amélie")</x:f>
      </x:c>
      <x:c r="C4304" s="1">
        <x:f>IFERROR(__xludf.DUMMYFUNCTION("""COMPUTED_VALUE"""),"2025")</x:f>
      </x:c>
    </x:row>
    <x:row r="4305" spans="1:10">
      <x:c r="A4305" s="1" t="s">
        <x:v>4314</x:v>
      </x:c>
      <x:c r="B4305" s="1">
        <x:f>IFERROR(__xludf.DUMMYFUNCTION("""COMPUTED_VALUE"""),"La petita Anna i el tiet Llargarut")</x:f>
      </x:c>
      <x:c r="C4305" s="1">
        <x:f>IFERROR(__xludf.DUMMYFUNCTION("""COMPUTED_VALUE"""),"2012")</x:f>
      </x:c>
    </x:row>
    <x:row r="4306" spans="1:10">
      <x:c r="A4306" s="1" t="s">
        <x:v>4315</x:v>
      </x:c>
      <x:c r="B4306" s="1">
        <x:f>IFERROR(__xludf.DUMMYFUNCTION("""COMPUTED_VALUE"""),"La petita bruixa")</x:f>
      </x:c>
      <x:c r="C4306" s="1">
        <x:f>IFERROR(__xludf.DUMMYFUNCTION("""COMPUTED_VALUE"""),"2018")</x:f>
      </x:c>
    </x:row>
    <x:row r="4307" spans="1:10">
      <x:c r="A4307" s="1" t="s">
        <x:v>4316</x:v>
      </x:c>
      <x:c r="B4307" s="1">
        <x:f>IFERROR(__xludf.DUMMYFUNCTION("""COMPUTED_VALUE"""),"La petita trapella")</x:f>
      </x:c>
      <x:c r="C4307" s="1">
        <x:f>IFERROR(__xludf.DUMMYFUNCTION("""COMPUTED_VALUE"""),"2018")</x:f>
      </x:c>
    </x:row>
    <x:row r="4308" spans="1:10">
      <x:c r="A4308" s="1" t="s">
        <x:v>4317</x:v>
      </x:c>
      <x:c r="B4308" s="1">
        <x:f>IFERROR(__xludf.DUMMYFUNCTION("""COMPUTED_VALUE"""),"La Pimpinella Escarlata")</x:f>
      </x:c>
      <x:c r="C4308" s="1">
        <x:f>IFERROR(__xludf.DUMMYFUNCTION("""COMPUTED_VALUE"""),"1934")</x:f>
      </x:c>
    </x:row>
    <x:row r="4309" spans="1:10">
      <x:c r="A4309" s="1" t="s">
        <x:v>4318</x:v>
      </x:c>
      <x:c r="B4309" s="1">
        <x:f>IFERROR(__xludf.DUMMYFUNCTION("""COMPUTED_VALUE"""),"La piràmide invisible. Les urnes de l'1-O")</x:f>
      </x:c>
      <x:c r="C4309" s="1">
        <x:f>IFERROR(__xludf.DUMMYFUNCTION("""COMPUTED_VALUE"""),"2022")</x:f>
      </x:c>
    </x:row>
    <x:row r="4310" spans="1:10">
      <x:c r="A4310" s="1" t="s">
        <x:v>4319</x:v>
      </x:c>
      <x:c r="B4310" s="1">
        <x:f>IFERROR(__xludf.DUMMYFUNCTION("""COMPUTED_VALUE"""),"La piscine [VOSC]")</x:f>
      </x:c>
      <x:c r="C4310" s="1">
        <x:f>IFERROR(__xludf.DUMMYFUNCTION("""COMPUTED_VALUE"""),"1969")</x:f>
      </x:c>
    </x:row>
    <x:row r="4311" spans="1:10">
      <x:c r="A4311" s="1" t="s">
        <x:v>4320</x:v>
      </x:c>
      <x:c r="B4311" s="1">
        <x:f>IFERROR(__xludf.DUMMYFUNCTION("""COMPUTED_VALUE"""),"La pitjor feina de la meva vida")</x:f>
      </x:c>
      <x:c r="C4311" s="1">
        <x:f>IFERROR(__xludf.DUMMYFUNCTION("""COMPUTED_VALUE"""),"2022")</x:f>
      </x:c>
    </x:row>
    <x:row r="4312" spans="1:10">
      <x:c r="A4312" s="1" t="s">
        <x:v>4321</x:v>
      </x:c>
      <x:c r="B4312" s="1">
        <x:f>IFERROR(__xludf.DUMMYFUNCTION("""COMPUTED_VALUE"""),"La pitjor persona del món")</x:f>
      </x:c>
      <x:c r="C4312" s="1">
        <x:f>IFERROR(__xludf.DUMMYFUNCTION("""COMPUTED_VALUE"""),"2021")</x:f>
      </x:c>
    </x:row>
    <x:row r="4313" spans="1:10">
      <x:c r="A4313" s="1" t="s">
        <x:v>4322</x:v>
      </x:c>
      <x:c r="B4313" s="1">
        <x:f>IFERROR(__xludf.DUMMYFUNCTION("""COMPUTED_VALUE"""),"La plaça del Diamant")</x:f>
      </x:c>
      <x:c r="C4313" s="1">
        <x:f>IFERROR(__xludf.DUMMYFUNCTION("""COMPUTED_VALUE"""),"1982")</x:f>
      </x:c>
    </x:row>
    <x:row r="4314" spans="1:10">
      <x:c r="A4314" s="1" t="s">
        <x:v>4323</x:v>
      </x:c>
      <x:c r="B4314" s="1">
        <x:f>IFERROR(__xludf.DUMMYFUNCTION("""COMPUTED_VALUE"""),"La Plaga")</x:f>
      </x:c>
      <x:c r="C4314" s="1">
        <x:f>IFERROR(__xludf.DUMMYFUNCTION("""COMPUTED_VALUE"""),"2013")</x:f>
      </x:c>
    </x:row>
    <x:row r="4315" spans="1:10">
      <x:c r="A4315" s="1" t="s">
        <x:v>4324</x:v>
      </x:c>
      <x:c r="B4315" s="1">
        <x:f>IFERROR(__xludf.DUMMYFUNCTION("""COMPUTED_VALUE"""),"La plaga final")</x:f>
      </x:c>
      <x:c r="C4315" s="1">
        <x:f>IFERROR(__xludf.DUMMYFUNCTION("""COMPUTED_VALUE"""),"2007")</x:f>
      </x:c>
    </x:row>
    <x:row r="4316" spans="1:10">
      <x:c r="A4316" s="1" t="s">
        <x:v>4325</x:v>
      </x:c>
      <x:c r="B4316" s="1">
        <x:f>IFERROR(__xludf.DUMMYFUNCTION("""COMPUTED_VALUE"""),"La planète sauvage [VOSC]")</x:f>
      </x:c>
      <x:c r="C4316" s="1">
        <x:f>IFERROR(__xludf.DUMMYFUNCTION("""COMPUTED_VALUE"""),"1973")</x:f>
      </x:c>
    </x:row>
    <x:row r="4317" spans="1:10">
      <x:c r="A4317" s="1" t="s">
        <x:v>4326</x:v>
      </x:c>
      <x:c r="B4317" s="1">
        <x:f>IFERROR(__xludf.DUMMYFUNCTION("""COMPUTED_VALUE"""),"La platja")</x:f>
      </x:c>
      <x:c r="C4317" s="1">
        <x:f>IFERROR(__xludf.DUMMYFUNCTION("""COMPUTED_VALUE"""),"2000")</x:f>
      </x:c>
    </x:row>
    <x:row r="4318" spans="1:10">
      <x:c r="A4318" s="1" t="s">
        <x:v>4327</x:v>
      </x:c>
      <x:c r="B4318" s="1">
        <x:f>IFERROR(__xludf.DUMMYFUNCTION("""COMPUTED_VALUE"""),"La Ponyo al penya-segat")</x:f>
      </x:c>
      <x:c r="C4318" s="1">
        <x:f>IFERROR(__xludf.DUMMYFUNCTION("""COMPUTED_VALUE"""),"2008")</x:f>
      </x:c>
    </x:row>
    <x:row r="4319" spans="1:10">
      <x:c r="A4319" s="1" t="s">
        <x:v>4328</x:v>
      </x:c>
      <x:c r="B4319" s="1">
        <x:f>IFERROR(__xludf.DUMMYFUNCTION("""COMPUTED_VALUE"""),"La por")</x:f>
      </x:c>
      <x:c r="C4319" s="1">
        <x:f>IFERROR(__xludf.DUMMYFUNCTION("""COMPUTED_VALUE"""),"2013")</x:f>
      </x:c>
    </x:row>
    <x:row r="4320" spans="1:10">
      <x:c r="A4320" s="1" t="s">
        <x:v>4329</x:v>
      </x:c>
      <x:c r="B4320" s="1">
        <x:f>IFERROR(__xludf.DUMMYFUNCTION("""COMPUTED_VALUE"""),"La porta màgica")</x:f>
      </x:c>
      <x:c r="C4320" s="1">
        <x:f>IFERROR(__xludf.DUMMYFUNCTION("""COMPUTED_VALUE"""),"2023")</x:f>
      </x:c>
    </x:row>
    <x:row r="4321" spans="1:10">
      <x:c r="A4321" s="1" t="s">
        <x:v>4330</x:v>
      </x:c>
      <x:c r="B4321" s="1">
        <x:f>IFERROR(__xludf.DUMMYFUNCTION("""COMPUTED_VALUE"""),"La possessió d'Emma Evans")</x:f>
      </x:c>
      <x:c r="C4321" s="1">
        <x:f>IFERROR(__xludf.DUMMYFUNCTION("""COMPUTED_VALUE"""),"2010")</x:f>
      </x:c>
    </x:row>
    <x:row r="4322" spans="1:10">
      <x:c r="A4322" s="1" t="s">
        <x:v>4331</x:v>
      </x:c>
      <x:c r="B4322" s="1">
        <x:f>IFERROR(__xludf.DUMMYFUNCTION("""COMPUTED_VALUE"""),"La presa nua")</x:f>
      </x:c>
      <x:c r="C4322" s="1">
        <x:f>IFERROR(__xludf.DUMMYFUNCTION("""COMPUTED_VALUE"""),"1965")</x:f>
      </x:c>
    </x:row>
    <x:row r="4323" spans="1:10">
      <x:c r="A4323" s="1" t="s">
        <x:v>4332</x:v>
      </x:c>
      <x:c r="B4323" s="1">
        <x:f>IFERROR(__xludf.DUMMYFUNCTION("""COMPUTED_VALUE"""),"La prima cosa bella")</x:f>
      </x:c>
      <x:c r="C4323" s="1">
        <x:f>IFERROR(__xludf.DUMMYFUNCTION("""COMPUTED_VALUE"""),"2010")</x:f>
      </x:c>
    </x:row>
    <x:row r="4324" spans="1:10">
      <x:c r="A4324" s="1" t="s">
        <x:v>4333</x:v>
      </x:c>
      <x:c r="B4324" s="1">
        <x:f>IFERROR(__xludf.DUMMYFUNCTION("""COMPUTED_VALUE"""),"La primavera")</x:f>
      </x:c>
      <x:c r="C4324" s="1">
        <x:f>IFERROR(__xludf.DUMMYFUNCTION("""COMPUTED_VALUE"""),"2012")</x:f>
      </x:c>
    </x:row>
    <x:row r="4325" spans="1:10">
      <x:c r="A4325" s="1" t="s">
        <x:v>4334</x:v>
      </x:c>
      <x:c r="B4325" s="1">
        <x:f>IFERROR(__xludf.DUMMYFUNCTION("""COMPUTED_VALUE"""),"La primera escola")</x:f>
      </x:c>
      <x:c r="C4325" s="1">
        <x:f>IFERROR(__xludf.DUMMYFUNCTION("""COMPUTED_VALUE"""),"2024")</x:f>
      </x:c>
    </x:row>
    <x:row r="4326" spans="1:10">
      <x:c r="A4326" s="1" t="s">
        <x:v>4335</x:v>
      </x:c>
      <x:c r="B4326" s="1">
        <x:f>IFERROR(__xludf.DUMMYFUNCTION("""COMPUTED_VALUE"""),"La princesa Cigne 6, demà princesa, avui pirata")</x:f>
      </x:c>
      <x:c r="C4326" s="1">
        <x:f>IFERROR(__xludf.DUMMYFUNCTION("""COMPUTED_VALUE"""),"2016")</x:f>
      </x:c>
    </x:row>
    <x:row r="4327" spans="1:10">
      <x:c r="A4327" s="1" t="s">
        <x:v>4336</x:v>
      </x:c>
      <x:c r="B4327" s="1">
        <x:f>IFERROR(__xludf.DUMMYFUNCTION("""COMPUTED_VALUE"""),"La princesa Mononoke")</x:f>
      </x:c>
      <x:c r="C4327" s="1">
        <x:f>IFERROR(__xludf.DUMMYFUNCTION("""COMPUTED_VALUE"""),"1997")</x:f>
      </x:c>
    </x:row>
    <x:row r="4328" spans="1:10">
      <x:c r="A4328" s="1" t="s">
        <x:v>4337</x:v>
      </x:c>
      <x:c r="B4328" s="1">
        <x:f>IFERROR(__xludf.DUMMYFUNCTION("""COMPUTED_VALUE"""),"La princesa promesa")</x:f>
      </x:c>
      <x:c r="C4328" s="1">
        <x:f>IFERROR(__xludf.DUMMYFUNCTION("""COMPUTED_VALUE"""),"1987")</x:f>
      </x:c>
    </x:row>
    <x:row r="4329" spans="1:10">
      <x:c r="A4329" s="1" t="s">
        <x:v>4338</x:v>
      </x:c>
      <x:c r="B4329" s="1">
        <x:f>IFERROR(__xludf.DUMMYFUNCTION("""COMPUTED_VALUE"""),"La profecia")</x:f>
      </x:c>
      <x:c r="C4329" s="1">
        <x:f>IFERROR(__xludf.DUMMYFUNCTION("""COMPUTED_VALUE"""),"2006")</x:f>
      </x:c>
    </x:row>
    <x:row r="4330" spans="1:10">
      <x:c r="A4330" s="1" t="s">
        <x:v>4339</x:v>
      </x:c>
      <x:c r="B4330" s="1">
        <x:f>IFERROR(__xludf.DUMMYFUNCTION("""COMPUTED_VALUE"""),"La professora d'història")</x:f>
      </x:c>
      <x:c r="C4330" s="1">
        <x:f>IFERROR(__xludf.DUMMYFUNCTION("""COMPUTED_VALUE"""),"2014")</x:f>
      </x:c>
    </x:row>
    <x:row r="4331" spans="1:10">
      <x:c r="A4331" s="1" t="s">
        <x:v>4340</x:v>
      </x:c>
      <x:c r="B4331" s="1">
        <x:f>IFERROR(__xludf.DUMMYFUNCTION("""COMPUTED_VALUE"""),"La professora de piano")</x:f>
      </x:c>
      <x:c r="C4331" s="1">
        <x:f>IFERROR(__xludf.DUMMYFUNCTION("""COMPUTED_VALUE"""),"2019")</x:f>
      </x:c>
    </x:row>
    <x:row r="4332" spans="1:10">
      <x:c r="A4332" s="1" t="s">
        <x:v>4341</x:v>
      </x:c>
      <x:c r="B4332" s="1">
        <x:f>IFERROR(__xludf.DUMMYFUNCTION("""COMPUTED_VALUE"""),"La promesa")</x:f>
      </x:c>
      <x:c r="C4332" s="1">
        <x:f>IFERROR(__xludf.DUMMYFUNCTION("""COMPUTED_VALUE"""),"2013")</x:f>
      </x:c>
    </x:row>
    <x:row r="4333" spans="1:10">
      <x:c r="A4333" s="1" t="s">
        <x:v>4342</x:v>
      </x:c>
      <x:c r="B4333" s="1">
        <x:f>IFERROR(__xludf.DUMMYFUNCTION("""COMPUTED_VALUE"""),"La promesa")</x:f>
      </x:c>
      <x:c r="C4333" s="1">
        <x:f>IFERROR(__xludf.DUMMYFUNCTION("""COMPUTED_VALUE"""),"2016")</x:f>
      </x:c>
    </x:row>
    <x:row r="4334" spans="1:10">
      <x:c r="A4334" s="1" t="s">
        <x:v>4343</x:v>
      </x:c>
      <x:c r="B4334" s="1">
        <x:f>IFERROR(__xludf.DUMMYFUNCTION("""COMPUTED_VALUE"""),"La promesse de l'aube")</x:f>
      </x:c>
      <x:c r="C4334" s="1">
        <x:f>IFERROR(__xludf.DUMMYFUNCTION("""COMPUTED_VALUE"""),"2017")</x:f>
      </x:c>
    </x:row>
    <x:row r="4335" spans="1:10">
      <x:c r="A4335" s="1" t="s">
        <x:v>4344</x:v>
      </x:c>
      <x:c r="B4335" s="1">
        <x:f>IFERROR(__xludf.DUMMYFUNCTION("""COMPUTED_VALUE"""),"La propera pell")</x:f>
      </x:c>
      <x:c r="C4335" s="1">
        <x:f>IFERROR(__xludf.DUMMYFUNCTION("""COMPUTED_VALUE"""),"2016")</x:f>
      </x:c>
    </x:row>
    <x:row r="4336" spans="1:10">
      <x:c r="A4336" s="1" t="s">
        <x:v>4345</x:v>
      </x:c>
      <x:c r="B4336" s="1">
        <x:f>IFERROR(__xludf.DUMMYFUNCTION("""COMPUTED_VALUE"""),"La prova del crim")</x:f>
      </x:c>
      <x:c r="C4336" s="1">
        <x:f>IFERROR(__xludf.DUMMYFUNCTION("""COMPUTED_VALUE"""),"2006")</x:f>
      </x:c>
    </x:row>
    <x:row r="4337" spans="1:10">
      <x:c r="A4337" s="1" t="s">
        <x:v>4346</x:v>
      </x:c>
      <x:c r="B4337" s="1">
        <x:f>IFERROR(__xludf.DUMMYFUNCTION("""COMPUTED_VALUE"""),"La Pubilla")</x:f>
      </x:c>
      <x:c r="C4337" s="1">
        <x:f>IFERROR(__xludf.DUMMYFUNCTION("""COMPUTED_VALUE"""),"2024")</x:f>
      </x:c>
    </x:row>
    <x:row r="4338" spans="1:10">
      <x:c r="A4338" s="1" t="s">
        <x:v>4347</x:v>
      </x:c>
      <x:c r="B4338" s="1">
        <x:f>IFERROR(__xludf.DUMMYFUNCTION("""COMPUTED_VALUE"""),"La punyalada")</x:f>
      </x:c>
      <x:c r="C4338" s="1">
        <x:f>IFERROR(__xludf.DUMMYFUNCTION("""COMPUTED_VALUE"""),"1989")</x:f>
      </x:c>
    </x:row>
    <x:row r="4339" spans="1:10">
      <x:c r="A4339" s="1" t="s">
        <x:v>4348</x:v>
      </x:c>
      <x:c r="B4339" s="1">
        <x:f>IFERROR(__xludf.DUMMYFUNCTION("""COMPUTED_VALUE"""),"La puta del rei")</x:f>
      </x:c>
      <x:c r="C4339" s="1">
        <x:f>IFERROR(__xludf.DUMMYFUNCTION("""COMPUTED_VALUE"""),"1992")</x:f>
      </x:c>
    </x:row>
    <x:row r="4340" spans="1:10">
      <x:c r="A4340" s="1" t="s">
        <x:v>4349</x:v>
      </x:c>
      <x:c r="B4340" s="1">
        <x:f>IFERROR(__xludf.DUMMYFUNCTION("""COMPUTED_VALUE"""),"La quadrilla dels onze")</x:f>
      </x:c>
      <x:c r="C4340" s="1">
        <x:f>IFERROR(__xludf.DUMMYFUNCTION("""COMPUTED_VALUE"""),"1960")</x:f>
      </x:c>
    </x:row>
    <x:row r="4341" spans="1:10">
      <x:c r="A4341" s="1" t="s">
        <x:v>4350</x:v>
      </x:c>
      <x:c r="B4341" s="1">
        <x:f>IFERROR(__xludf.DUMMYFUNCTION("""COMPUTED_VALUE"""),"La quarta fase")</x:f>
      </x:c>
      <x:c r="C4341" s="1">
        <x:f>IFERROR(__xludf.DUMMYFUNCTION("""COMPUTED_VALUE"""),"2009")</x:f>
      </x:c>
    </x:row>
    <x:row r="4342" spans="1:10">
      <x:c r="A4342" s="1" t="s">
        <x:v>4351</x:v>
      </x:c>
      <x:c r="B4342" s="1">
        <x:f>IFERROR(__xludf.DUMMYFUNCTION("""COMPUTED_VALUE"""),"La quimera de l'or")</x:f>
      </x:c>
      <x:c r="C4342" s="1">
        <x:f>IFERROR(__xludf.DUMMYFUNCTION("""COMPUTED_VALUE"""),"1925")</x:f>
      </x:c>
    </x:row>
    <x:row r="4343" spans="1:10">
      <x:c r="A4343" s="1" t="s">
        <x:v>4352</x:v>
      </x:c>
      <x:c r="B4343" s="1">
        <x:f>IFERROR(__xludf.DUMMYFUNCTION("""COMPUTED_VALUE"""),"La Rambla de les Floristes")</x:f>
      </x:c>
      <x:c r="C4343" s="1">
        <x:f>IFERROR(__xludf.DUMMYFUNCTION("""COMPUTED_VALUE"""),"1986")</x:f>
      </x:c>
    </x:row>
    <x:row r="4344" spans="1:10">
      <x:c r="A4344" s="1" t="s">
        <x:v>4353</x:v>
      </x:c>
      <x:c r="B4344" s="1">
        <x:f>IFERROR(__xludf.DUMMYFUNCTION("""COMPUTED_VALUE"""),"La rata pirata")</x:f>
      </x:c>
      <x:c r="C4344" s="1">
        <x:f>IFERROR(__xludf.DUMMYFUNCTION("""COMPUTED_VALUE"""),"2017")</x:f>
      </x:c>
    </x:row>
    <x:row r="4345" spans="1:10">
      <x:c r="A4345" s="1" t="s">
        <x:v>4354</x:v>
      </x:c>
      <x:c r="B4345" s="1">
        <x:f>IFERROR(__xludf.DUMMYFUNCTION("""COMPUTED_VALUE"""),"La recerca de la felicitat")</x:f>
      </x:c>
      <x:c r="C4345" s="1">
        <x:f>IFERROR(__xludf.DUMMYFUNCTION("""COMPUTED_VALUE"""),"2006")</x:f>
      </x:c>
    </x:row>
    <x:row r="4346" spans="1:10">
      <x:c r="A4346" s="1" t="s">
        <x:v>4355</x:v>
      </x:c>
      <x:c r="B4346" s="1">
        <x:f>IFERROR(__xludf.DUMMYFUNCTION("""COMPUTED_VALUE"""),"La recerca de Tutankamon")</x:f>
      </x:c>
      <x:c r="C4346" s="1">
        <x:f>IFERROR(__xludf.DUMMYFUNCTION("""COMPUTED_VALUE"""),"2005")</x:f>
      </x:c>
    </x:row>
    <x:row r="4347" spans="1:10">
      <x:c r="A4347" s="1" t="s">
        <x:v>4356</x:v>
      </x:c>
      <x:c r="B4347" s="1">
        <x:f>IFERROR(__xludf.DUMMYFUNCTION("""COMPUTED_VALUE"""),"La recerca del foc")</x:f>
      </x:c>
      <x:c r="C4347" s="1">
        <x:f>IFERROR(__xludf.DUMMYFUNCTION("""COMPUTED_VALUE"""),"1981")</x:f>
      </x:c>
    </x:row>
    <x:row r="4348" spans="1:10">
      <x:c r="A4348" s="1" t="s">
        <x:v>4357</x:v>
      </x:c>
      <x:c r="B4348" s="1">
        <x:f>IFERROR(__xludf.DUMMYFUNCTION("""COMPUTED_VALUE"""),"La recluta Benjamin")</x:f>
      </x:c>
      <x:c r="C4348" s="1">
        <x:f>IFERROR(__xludf.DUMMYFUNCTION("""COMPUTED_VALUE"""),"1980")</x:f>
      </x:c>
    </x:row>
    <x:row r="4349" spans="1:10">
      <x:c r="A4349" s="1" t="s">
        <x:v>4358</x:v>
      </x:c>
      <x:c r="B4349" s="1">
        <x:f>IFERROR(__xludf.DUMMYFUNCTION("""COMPUTED_VALUE"""),"La reina")</x:f>
      </x:c>
      <x:c r="C4349" s="1">
        <x:f>IFERROR(__xludf.DUMMYFUNCTION("""COMPUTED_VALUE"""),"2006")</x:f>
      </x:c>
    </x:row>
    <x:row r="4350" spans="1:10">
      <x:c r="A4350" s="1" t="s">
        <x:v>4359</x:v>
      </x:c>
      <x:c r="B4350" s="1">
        <x:f>IFERROR(__xludf.DUMMYFUNCTION("""COMPUTED_VALUE"""),"La reina d'Àfrica")</x:f>
      </x:c>
      <x:c r="C4350" s="1">
        <x:f>IFERROR(__xludf.DUMMYFUNCTION("""COMPUTED_VALUE"""),"1951")</x:f>
      </x:c>
    </x:row>
    <x:row r="4351" spans="1:10">
      <x:c r="A4351" s="1" t="s">
        <x:v>4360</x:v>
      </x:c>
      <x:c r="B4351" s="1">
        <x:f>IFERROR(__xludf.DUMMYFUNCTION("""COMPUTED_VALUE"""),"La reina de Montana")</x:f>
      </x:c>
      <x:c r="C4351" s="1">
        <x:f>IFERROR(__xludf.DUMMYFUNCTION("""COMPUTED_VALUE"""),"1954")</x:f>
      </x:c>
    </x:row>
    <x:row r="4352" spans="1:10">
      <x:c r="A4352" s="1" t="s">
        <x:v>4361</x:v>
      </x:c>
      <x:c r="B4352" s="1">
        <x:f>IFERROR(__xludf.DUMMYFUNCTION("""COMPUTED_VALUE"""),"La reina de Nova York")</x:f>
      </x:c>
      <x:c r="C4352" s="1">
        <x:f>IFERROR(__xludf.DUMMYFUNCTION("""COMPUTED_VALUE"""),"1937")</x:f>
      </x:c>
    </x:row>
    <x:row r="4353" spans="1:10">
      <x:c r="A4353" s="1" t="s">
        <x:v>4362</x:v>
      </x:c>
      <x:c r="B4353" s="1">
        <x:f>IFERROR(__xludf.DUMMYFUNCTION("""COMPUTED_VALUE"""),"La reina del desert")</x:f>
      </x:c>
      <x:c r="C4353" s="1">
        <x:f>IFERROR(__xludf.DUMMYFUNCTION("""COMPUTED_VALUE"""),"2015")</x:f>
      </x:c>
    </x:row>
    <x:row r="4354" spans="1:10">
      <x:c r="A4354" s="1" t="s">
        <x:v>4363</x:v>
      </x:c>
      <x:c r="B4354" s="1">
        <x:f>IFERROR(__xludf.DUMMYFUNCTION("""COMPUTED_VALUE"""),"La reina del riu")</x:f>
      </x:c>
      <x:c r="C4354" s="1">
        <x:f>IFERROR(__xludf.DUMMYFUNCTION("""COMPUTED_VALUE"""),"2005")</x:f>
      </x:c>
    </x:row>
    <x:row r="4355" spans="1:10">
      <x:c r="A4355" s="1" t="s">
        <x:v>4364</x:v>
      </x:c>
      <x:c r="B4355" s="1">
        <x:f>IFERROR(__xludf.DUMMYFUNCTION("""COMPUTED_VALUE"""),"La reina dels condemnats")</x:f>
      </x:c>
      <x:c r="C4355" s="1">
        <x:f>IFERROR(__xludf.DUMMYFUNCTION("""COMPUTED_VALUE"""),"2002")</x:f>
      </x:c>
    </x:row>
    <x:row r="4356" spans="1:10">
      <x:c r="A4356" s="1" t="s">
        <x:v>4365</x:v>
      </x:c>
      <x:c r="B4356" s="1">
        <x:f>IFERROR(__xludf.DUMMYFUNCTION("""COMPUTED_VALUE"""),"La reina Margot")</x:f>
      </x:c>
      <x:c r="C4356" s="1">
        <x:f>IFERROR(__xludf.DUMMYFUNCTION("""COMPUTED_VALUE"""),"1994")</x:f>
      </x:c>
    </x:row>
    <x:row r="4357" spans="1:10">
      <x:c r="A4357" s="1" t="s">
        <x:v>4366</x:v>
      </x:c>
      <x:c r="B4357" s="1">
        <x:f>IFERROR(__xludf.DUMMYFUNCTION("""COMPUTED_VALUE"""),"La reina Victòria")</x:f>
      </x:c>
      <x:c r="C4357" s="1">
        <x:f>IFERROR(__xludf.DUMMYFUNCTION("""COMPUTED_VALUE"""),"2009")</x:f>
      </x:c>
    </x:row>
    <x:row r="4358" spans="1:10">
      <x:c r="A4358" s="1" t="s">
        <x:v>4367</x:v>
      </x:c>
      <x:c r="B4358" s="1">
        <x:f>IFERROR(__xludf.DUMMYFUNCTION("""COMPUTED_VALUE"""),"La reina Victòria i Abdul")</x:f>
      </x:c>
      <x:c r="C4358" s="1">
        <x:f>IFERROR(__xludf.DUMMYFUNCTION("""COMPUTED_VALUE"""),"2017")</x:f>
      </x:c>
    </x:row>
    <x:row r="4359" spans="1:10">
      <x:c r="A4359" s="1" t="s">
        <x:v>4368</x:v>
      </x:c>
      <x:c r="B4359" s="1">
        <x:f>IFERROR(__xludf.DUMMYFUNCTION("""COMPUTED_VALUE"""),"La resurrecció dels morts")</x:f>
      </x:c>
      <x:c r="C4359" s="1">
        <x:f>IFERROR(__xludf.DUMMYFUNCTION("""COMPUTED_VALUE"""),"2004")</x:f>
      </x:c>
    </x:row>
    <x:row r="4360" spans="1:10">
      <x:c r="A4360" s="1" t="s">
        <x:v>4369</x:v>
      </x:c>
      <x:c r="B4360" s="1">
        <x:f>IFERROR(__xludf.DUMMYFUNCTION("""COMPUTED_VALUE"""),"La revenja del comte de Montecristo")</x:f>
      </x:c>
      <x:c r="C4360" s="1">
        <x:f>IFERROR(__xludf.DUMMYFUNCTION("""COMPUTED_VALUE"""),"2002")</x:f>
      </x:c>
    </x:row>
    <x:row r="4361" spans="1:10">
      <x:c r="A4361" s="1" t="s">
        <x:v>4370</x:v>
      </x:c>
      <x:c r="B4361" s="1">
        <x:f>IFERROR(__xludf.DUMMYFUNCTION("""COMPUTED_VALUE"""),"La revolta dels animals")</x:f>
      </x:c>
      <x:c r="C4361" s="1">
        <x:f>IFERROR(__xludf.DUMMYFUNCTION("""COMPUTED_VALUE"""),"1954")</x:f>
      </x:c>
    </x:row>
    <x:row r="4362" spans="1:10">
      <x:c r="A4362" s="1" t="s">
        <x:v>4371</x:v>
      </x:c>
      <x:c r="B4362" s="1">
        <x:f>IFERROR(__xludf.DUMMYFUNCTION("""COMPUTED_VALUE"""),"La revolta dels contes")</x:f>
      </x:c>
      <x:c r="C4362" s="1">
        <x:f>IFERROR(__xludf.DUMMYFUNCTION("""COMPUTED_VALUE"""),"2016")</x:f>
      </x:c>
    </x:row>
    <x:row r="4363" spans="1:10">
      <x:c r="A4363" s="1" t="s">
        <x:v>4372</x:v>
      </x:c>
      <x:c r="B4363" s="1">
        <x:f>IFERROR(__xludf.DUMMYFUNCTION("""COMPUTED_VALUE"""),"La revolució de l'altruisme")</x:f>
      </x:c>
      <x:c r="C4363" s="1">
        <x:f>IFERROR(__xludf.DUMMYFUNCTION("""COMPUTED_VALUE"""),"2015")</x:f>
      </x:c>
    </x:row>
    <x:row r="4364" spans="1:10">
      <x:c r="A4364" s="1" t="s">
        <x:v>4373</x:v>
      </x:c>
      <x:c r="B4364" s="1">
        <x:f>IFERROR(__xludf.DUMMYFUNCTION("""COMPUTED_VALUE"""),"La revolució silenciosa")</x:f>
      </x:c>
      <x:c r="C4364" s="1">
        <x:f>IFERROR(__xludf.DUMMYFUNCTION("""COMPUTED_VALUE"""),"2018")</x:f>
      </x:c>
    </x:row>
    <x:row r="4365" spans="1:10">
      <x:c r="A4365" s="1" t="s">
        <x:v>4374</x:v>
      </x:c>
      <x:c r="B4365" s="1">
        <x:f>IFERROR(__xludf.DUMMYFUNCTION("""COMPUTED_VALUE"""),"La Revolució Turística")</x:f>
      </x:c>
      <x:c r="C4365" s="1">
        <x:f>IFERROR(__xludf.DUMMYFUNCTION("""COMPUTED_VALUE"""),"2014")</x:f>
      </x:c>
    </x:row>
    <x:row r="4366" spans="1:10">
      <x:c r="A4366" s="1" t="s">
        <x:v>4375</x:v>
      </x:c>
      <x:c r="B4366" s="1">
        <x:f>IFERROR(__xludf.DUMMYFUNCTION("""COMPUTED_VALUE"""),"La rifa")</x:f>
      </x:c>
      <x:c r="C4366" s="1">
        <x:f>IFERROR(__xludf.DUMMYFUNCTION("""COMPUTED_VALUE"""),"1991")</x:f>
      </x:c>
    </x:row>
    <x:row r="4367" spans="1:10">
      <x:c r="A4367" s="1" t="s">
        <x:v>4376</x:v>
      </x:c>
      <x:c r="B4367" s="1">
        <x:f>IFERROR(__xludf.DUMMYFUNCTION("""COMPUTED_VALUE"""),"La rosa porpra del Caire")</x:f>
      </x:c>
      <x:c r="C4367" s="1">
        <x:f>IFERROR(__xludf.DUMMYFUNCTION("""COMPUTED_VALUE"""),"1985")</x:f>
      </x:c>
    </x:row>
    <x:row r="4368" spans="1:10">
      <x:c r="A4368" s="1" t="s">
        <x:v>4377</x:v>
      </x:c>
      <x:c r="B4368" s="1">
        <x:f>IFERROR(__xludf.DUMMYFUNCTION("""COMPUTED_VALUE"""),"La rossa del bar")</x:f>
      </x:c>
      <x:c r="C4368" s="1">
        <x:f>IFERROR(__xludf.DUMMYFUNCTION("""COMPUTED_VALUE"""),"1987")</x:f>
      </x:c>
    </x:row>
    <x:row r="4369" spans="1:10">
      <x:c r="A4369" s="1" t="s">
        <x:v>4378</x:v>
      </x:c>
      <x:c r="B4369" s="1">
        <x:f>IFERROR(__xludf.DUMMYFUNCTION("""COMPUTED_VALUE"""),"La ruta cap a El Dorado")</x:f>
      </x:c>
      <x:c r="C4369" s="1">
        <x:f>IFERROR(__xludf.DUMMYFUNCTION("""COMPUTED_VALUE"""),"2000")</x:f>
      </x:c>
    </x:row>
    <x:row r="4370" spans="1:10">
      <x:c r="A4370" s="1" t="s">
        <x:v>4379</x:v>
      </x:c>
      <x:c r="B4370" s="1">
        <x:f>IFERROR(__xludf.DUMMYFUNCTION("""COMPUTED_VALUE"""),"La sal del mar [VOSC]")</x:f>
      </x:c>
      <x:c r="C4370" s="1">
        <x:f>IFERROR(__xludf.DUMMYFUNCTION("""COMPUTED_VALUE"""),"2008")</x:f>
      </x:c>
    </x:row>
    <x:row r="4371" spans="1:10">
      <x:c r="A4371" s="1" t="s">
        <x:v>4380</x:v>
      </x:c>
      <x:c r="B4371" s="1">
        <x:f>IFERROR(__xludf.DUMMYFUNCTION("""COMPUTED_VALUE"""),"La salamandra")</x:f>
      </x:c>
      <x:c r="C4371" s="1">
        <x:f>IFERROR(__xludf.DUMMYFUNCTION("""COMPUTED_VALUE"""),"1981")</x:f>
      </x:c>
    </x:row>
    <x:row r="4372" spans="1:10">
      <x:c r="A4372" s="1" t="s">
        <x:v>4381</x:v>
      </x:c>
      <x:c r="B4372" s="1">
        <x:f>IFERROR(__xludf.DUMMYFUNCTION("""COMPUTED_VALUE"""),"La sega")</x:f>
      </x:c>
      <x:c r="C4372" s="1">
        <x:f>IFERROR(__xludf.DUMMYFUNCTION("""COMPUTED_VALUE"""),"2007")</x:f>
      </x:c>
    </x:row>
    <x:row r="4373" spans="1:10">
      <x:c r="A4373" s="1" t="s">
        <x:v>4382</x:v>
      </x:c>
      <x:c r="B4373" s="1">
        <x:f>IFERROR(__xludf.DUMMYFUNCTION("""COMPUTED_VALUE"""),"La segona arribada")</x:f>
      </x:c>
      <x:c r="C4373" s="1">
        <x:f>IFERROR(__xludf.DUMMYFUNCTION("""COMPUTED_VALUE"""),"1998")</x:f>
      </x:c>
    </x:row>
    <x:row r="4374" spans="1:10">
      <x:c r="A4374" s="1" t="s">
        <x:v>4383</x:v>
      </x:c>
      <x:c r="B4374" s="1">
        <x:f>IFERROR(__xludf.DUMMYFUNCTION("""COMPUTED_VALUE"""),"La segona dona")</x:f>
      </x:c>
      <x:c r="C4374" s="1">
        <x:f>IFERROR(__xludf.DUMMYFUNCTION("""COMPUTED_VALUE"""),"2012")</x:f>
      </x:c>
    </x:row>
    <x:row r="4375" spans="1:10">
      <x:c r="A4375" s="1" t="s">
        <x:v>4384</x:v>
      </x:c>
      <x:c r="B4375" s="1">
        <x:f>IFERROR(__xludf.DUMMYFUNCTION("""COMPUTED_VALUE"""),"La segona nit de noces")</x:f>
      </x:c>
      <x:c r="C4375" s="1">
        <x:f>IFERROR(__xludf.DUMMYFUNCTION("""COMPUTED_VALUE"""),"2005")</x:f>
      </x:c>
    </x:row>
    <x:row r="4376" spans="1:10">
      <x:c r="A4376" s="1" t="s">
        <x:v>4385</x:v>
      </x:c>
      <x:c r="B4376" s="1">
        <x:f>IFERROR(__xludf.DUMMYFUNCTION("""COMPUTED_VALUE"""),"La selva esmaragda")</x:f>
      </x:c>
      <x:c r="C4376" s="1">
        <x:f>IFERROR(__xludf.DUMMYFUNCTION("""COMPUTED_VALUE"""),"1985")</x:f>
      </x:c>
    </x:row>
    <x:row r="4377" spans="1:10">
      <x:c r="A4377" s="1" t="s">
        <x:v>4386</x:v>
      </x:c>
      <x:c r="B4377" s="1">
        <x:f>IFERROR(__xludf.DUMMYFUNCTION("""COMPUTED_VALUE"""),"La senda")</x:f>
      </x:c>
      <x:c r="C4377" s="1">
        <x:f>IFERROR(__xludf.DUMMYFUNCTION("""COMPUTED_VALUE"""),"2012")</x:f>
      </x:c>
    </x:row>
    <x:row r="4378" spans="1:10">
      <x:c r="A4378" s="1" t="s">
        <x:v>4387</x:v>
      </x:c>
      <x:c r="B4378" s="1">
        <x:f>IFERROR(__xludf.DUMMYFUNCTION("""COMPUTED_VALUE"""),"La senyora de les roses")</x:f>
      </x:c>
      <x:c r="C4378" s="1">
        <x:f>IFERROR(__xludf.DUMMYFUNCTION("""COMPUTED_VALUE"""),"2020")</x:f>
      </x:c>
    </x:row>
    <x:row r="4379" spans="1:10">
      <x:c r="A4379" s="1" t="s">
        <x:v>4388</x:v>
      </x:c>
      <x:c r="B4379" s="1">
        <x:f>IFERROR(__xludf.DUMMYFUNCTION("""COMPUTED_VALUE"""),"La senyoreta Julia")</x:f>
      </x:c>
      <x:c r="C4379" s="1">
        <x:f>IFERROR(__xludf.DUMMYFUNCTION("""COMPUTED_VALUE"""),"2014")</x:f>
      </x:c>
    </x:row>
    <x:row r="4380" spans="1:10">
      <x:c r="A4380" s="1" t="s">
        <x:v>4389</x:v>
      </x:c>
      <x:c r="B4380" s="1">
        <x:f>IFERROR(__xludf.DUMMYFUNCTION("""COMPUTED_VALUE"""),"La serp blanca: L'origen")</x:f>
      </x:c>
      <x:c r="C4380" s="1">
        <x:f>IFERROR(__xludf.DUMMYFUNCTION("""COMPUTED_VALUE"""),"2019")</x:f>
      </x:c>
    </x:row>
    <x:row r="4381" spans="1:10">
      <x:c r="A4381" s="1" t="s">
        <x:v>4390</x:v>
      </x:c>
      <x:c r="B4381" s="1">
        <x:f>IFERROR(__xludf.DUMMYFUNCTION("""COMPUTED_VALUE"""),"La seva millor història")</x:f>
      </x:c>
      <x:c r="C4381" s="1">
        <x:f>IFERROR(__xludf.DUMMYFUNCTION("""COMPUTED_VALUE"""),"2016")</x:f>
      </x:c>
    </x:row>
    <x:row r="4382" spans="1:10">
      <x:c r="A4382" s="1" t="s">
        <x:v>4391</x:v>
      </x:c>
      <x:c r="B4382" s="1">
        <x:f>IFERROR(__xludf.DUMMYFUNCTION("""COMPUTED_VALUE"""),"La Shirin, enamorada")</x:f>
      </x:c>
      <x:c r="C4382" s="1">
        <x:f>IFERROR(__xludf.DUMMYFUNCTION("""COMPUTED_VALUE"""),"2014")</x:f>
      </x:c>
    </x:row>
    <x:row r="4383" spans="1:10">
      <x:c r="A4383" s="1" t="s">
        <x:v>4392</x:v>
      </x:c>
      <x:c r="B4383" s="1">
        <x:f>IFERROR(__xludf.DUMMYFUNCTION("""COMPUTED_VALUE"""),"La simfonia del professor Holland")</x:f>
      </x:c>
      <x:c r="C4383" s="1">
        <x:f>IFERROR(__xludf.DUMMYFUNCTION("""COMPUTED_VALUE"""),"1995")</x:f>
      </x:c>
    </x:row>
    <x:row r="4384" spans="1:10">
      <x:c r="A4384" s="1" t="s">
        <x:v>4393</x:v>
      </x:c>
      <x:c r="B4384" s="1">
        <x:f>IFERROR(__xludf.DUMMYFUNCTION("""COMPUTED_VALUE"""),"La síndrome del marit jubilat")</x:f>
      </x:c>
      <x:c r="C4384" s="1">
        <x:f>IFERROR(__xludf.DUMMYFUNCTION("""COMPUTED_VALUE"""),"2007")</x:f>
      </x:c>
    </x:row>
    <x:row r="4385" spans="1:10">
      <x:c r="A4385" s="1" t="s">
        <x:v>4394</x:v>
      </x:c>
      <x:c r="B4385" s="1">
        <x:f>IFERROR(__xludf.DUMMYFUNCTION("""COMPUTED_VALUE"""),"La societat literària i el pastís de pela de patata")</x:f>
      </x:c>
      <x:c r="C4385" s="1">
        <x:f>IFERROR(__xludf.DUMMYFUNCTION("""COMPUTED_VALUE"""),"2018")</x:f>
      </x:c>
    </x:row>
    <x:row r="4386" spans="1:10">
      <x:c r="A4386" s="1" t="s">
        <x:v>4395</x:v>
      </x:c>
      <x:c r="B4386" s="1">
        <x:f>IFERROR(__xludf.DUMMYFUNCTION("""COMPUTED_VALUE"""),"La soga")</x:f>
      </x:c>
      <x:c r="C4386" s="1">
        <x:f>IFERROR(__xludf.DUMMYFUNCTION("""COMPUTED_VALUE"""),"1948")</x:f>
      </x:c>
    </x:row>
    <x:row r="4387" spans="1:10">
      <x:c r="A4387" s="1" t="s">
        <x:v>4396</x:v>
      </x:c>
      <x:c r="B4387" s="1">
        <x:f>IFERROR(__xludf.DUMMYFUNCTION("""COMPUTED_VALUE"""),"La soledat")</x:f>
      </x:c>
      <x:c r="C4387" s="1">
        <x:f>IFERROR(__xludf.DUMMYFUNCTION("""COMPUTED_VALUE"""),"2007")</x:f>
      </x:c>
    </x:row>
    <x:row r="4388" spans="1:10">
      <x:c r="A4388" s="1" t="s">
        <x:v>4397</x:v>
      </x:c>
      <x:c r="B4388" s="1">
        <x:f>IFERROR(__xludf.DUMMYFUNCTION("""COMPUTED_VALUE"""),"La solitària passió de Judith Hearne")</x:f>
      </x:c>
      <x:c r="C4388" s="1">
        <x:f>IFERROR(__xludf.DUMMYFUNCTION("""COMPUTED_VALUE"""),"1987")</x:f>
      </x:c>
    </x:row>
    <x:row r="4389" spans="1:10">
      <x:c r="A4389" s="1" t="s">
        <x:v>4398</x:v>
      </x:c>
      <x:c r="B4389" s="1">
        <x:f>IFERROR(__xludf.DUMMYFUNCTION("""COMPUTED_VALUE"""),"La sopa de pedres i altres contes capgirats")</x:f>
      </x:c>
      <x:c r="C4389" s="1">
        <x:f>IFERROR(__xludf.DUMMYFUNCTION("""COMPUTED_VALUE"""),"2016")</x:f>
      </x:c>
    </x:row>
    <x:row r="4390" spans="1:10">
      <x:c r="A4390" s="1" t="s">
        <x:v>4399</x:v>
      </x:c>
      <x:c r="B4390" s="1">
        <x:f>IFERROR(__xludf.DUMMYFUNCTION("""COMPUTED_VALUE"""),"La sort de l'Emma")</x:f>
      </x:c>
      <x:c r="C4390" s="1">
        <x:f>IFERROR(__xludf.DUMMYFUNCTION("""COMPUTED_VALUE"""),"2006")</x:f>
      </x:c>
    </x:row>
    <x:row r="4391" spans="1:10">
      <x:c r="A4391" s="1" t="s">
        <x:v>4400</x:v>
      </x:c>
      <x:c r="B4391" s="1">
        <x:f>IFERROR(__xludf.DUMMYFUNCTION("""COMPUTED_VALUE"""),"La taca humana")</x:f>
      </x:c>
      <x:c r="C4391" s="1">
        <x:f>IFERROR(__xludf.DUMMYFUNCTION("""COMPUTED_VALUE"""),"2003")</x:f>
      </x:c>
    </x:row>
    <x:row r="4392" spans="1:10">
      <x:c r="A4392" s="1" t="s">
        <x:v>4401</x:v>
      </x:c>
      <x:c r="B4392" s="1">
        <x:f>IFERROR(__xludf.DUMMYFUNCTION("""COMPUTED_VALUE"""),"La taronja mecànica [VOSC]")</x:f>
      </x:c>
      <x:c r="C4392" s="1">
        <x:f>IFERROR(__xludf.DUMMYFUNCTION("""COMPUTED_VALUE"""),"1971")</x:f>
      </x:c>
    </x:row>
    <x:row r="4393" spans="1:10">
      <x:c r="A4393" s="1" t="s">
        <x:v>4402</x:v>
      </x:c>
      <x:c r="B4393" s="1">
        <x:f>IFERROR(__xludf.DUMMYFUNCTION("""COMPUTED_VALUE"""),"La taverna de l'irlandès")</x:f>
      </x:c>
      <x:c r="C4393" s="1">
        <x:f>IFERROR(__xludf.DUMMYFUNCTION("""COMPUTED_VALUE"""),"1963")</x:f>
      </x:c>
    </x:row>
    <x:row r="4394" spans="1:10">
      <x:c r="A4394" s="1" t="s">
        <x:v>4403</x:v>
      </x:c>
      <x:c r="B4394" s="1">
        <x:f>IFERROR(__xludf.DUMMYFUNCTION("""COMPUTED_VALUE"""),"La tempesta")</x:f>
      </x:c>
      <x:c r="C4394" s="1">
        <x:f>IFERROR(__xludf.DUMMYFUNCTION("""COMPUTED_VALUE"""),"2017")</x:f>
      </x:c>
    </x:row>
    <x:row r="4395" spans="1:10">
      <x:c r="A4395" s="1" t="s">
        <x:v>4404</x:v>
      </x:c>
      <x:c r="B4395" s="1">
        <x:f>IFERROR(__xludf.DUMMYFUNCTION("""COMPUTED_VALUE"""),"La tempesta de gel")</x:f>
      </x:c>
      <x:c r="C4395" s="1">
        <x:f>IFERROR(__xludf.DUMMYFUNCTION("""COMPUTED_VALUE"""),"1997")</x:f>
      </x:c>
    </x:row>
    <x:row r="4396" spans="1:10">
      <x:c r="A4396" s="1" t="s">
        <x:v>4405</x:v>
      </x:c>
      <x:c r="B4396" s="1">
        <x:f>IFERROR(__xludf.DUMMYFUNCTION("""COMPUTED_VALUE"""),"La tempesta perfecta")</x:f>
      </x:c>
      <x:c r="C4396" s="1">
        <x:f>IFERROR(__xludf.DUMMYFUNCTION("""COMPUTED_VALUE"""),"2000")</x:f>
      </x:c>
    </x:row>
    <x:row r="4397" spans="1:10">
      <x:c r="A4397" s="1" t="s">
        <x:v>4406</x:v>
      </x:c>
      <x:c r="B4397" s="1">
        <x:f>IFERROR(__xludf.DUMMYFUNCTION("""COMPUTED_VALUE"""),"La temporada del miracle")</x:f>
      </x:c>
      <x:c r="C4397" s="1">
        <x:f>IFERROR(__xludf.DUMMYFUNCTION("""COMPUTED_VALUE"""),"2018")</x:f>
      </x:c>
    </x:row>
    <x:row r="4398" spans="1:10">
      <x:c r="A4398" s="1" t="s">
        <x:v>4407</x:v>
      </x:c>
      <x:c r="B4398" s="1">
        <x:f>IFERROR(__xludf.DUMMYFUNCTION("""COMPUTED_VALUE"""),"La teoria del tot")</x:f>
      </x:c>
      <x:c r="C4398" s="1">
        <x:f>IFERROR(__xludf.DUMMYFUNCTION("""COMPUTED_VALUE"""),"2014")</x:f>
      </x:c>
    </x:row>
    <x:row r="4399" spans="1:10">
      <x:c r="A4399" s="1" t="s">
        <x:v>4408</x:v>
      </x:c>
      <x:c r="B4399" s="1">
        <x:f>IFERROR(__xludf.DUMMYFUNCTION("""COMPUTED_VALUE"""),"La teoria sueca de l'amor")</x:f>
      </x:c>
      <x:c r="C4399" s="1">
        <x:f>IFERROR(__xludf.DUMMYFUNCTION("""COMPUTED_VALUE"""),"2015")</x:f>
      </x:c>
    </x:row>
    <x:row r="4400" spans="1:10">
      <x:c r="A4400" s="1" t="s">
        <x:v>4409</x:v>
      </x:c>
      <x:c r="B4400" s="1">
        <x:f>IFERROR(__xludf.DUMMYFUNCTION("""COMPUTED_VALUE"""),"La teranyina")</x:f>
      </x:c>
      <x:c r="C4400" s="1">
        <x:f>IFERROR(__xludf.DUMMYFUNCTION("""COMPUTED_VALUE"""),"1990")</x:f>
      </x:c>
    </x:row>
    <x:row r="4401" spans="1:10">
      <x:c r="A4401" s="1" t="s">
        <x:v>4410</x:v>
      </x:c>
      <x:c r="B4401" s="1">
        <x:f>IFERROR(__xludf.DUMMYFUNCTION("""COMPUTED_VALUE"""),"La teranyina de la Carlota")</x:f>
      </x:c>
      <x:c r="C4401" s="1">
        <x:f>IFERROR(__xludf.DUMMYFUNCTION("""COMPUTED_VALUE"""),"2006")</x:f>
      </x:c>
    </x:row>
    <x:row r="4402" spans="1:10">
      <x:c r="A4402" s="1" t="s">
        <x:v>4411</x:v>
      </x:c>
      <x:c r="B4402" s="1">
        <x:f>IFERROR(__xludf.DUMMYFUNCTION("""COMPUTED_VALUE"""),"La terra migranya")</x:f>
      </x:c>
      <x:c r="C4402" s="1">
        <x:f>IFERROR(__xludf.DUMMYFUNCTION("""COMPUTED_VALUE"""),"2006")</x:f>
      </x:c>
    </x:row>
    <x:row r="4403" spans="1:10">
      <x:c r="A4403" s="1" t="s">
        <x:v>4412</x:v>
      </x:c>
      <x:c r="B4403" s="1">
        <x:f>IFERROR(__xludf.DUMMYFUNCTION("""COMPUTED_VALUE"""),"La terra oblidada")</x:f>
      </x:c>
      <x:c r="C4403" s="1">
        <x:f>IFERROR(__xludf.DUMMYFUNCTION("""COMPUTED_VALUE"""),"1975")</x:f>
      </x:c>
    </x:row>
    <x:row r="4404" spans="1:10">
      <x:c r="A4404" s="1" t="s">
        <x:v>4413</x:v>
      </x:c>
      <x:c r="B4404" s="1">
        <x:f>IFERROR(__xludf.DUMMYFUNCTION("""COMPUTED_VALUE"""),"La terra promesa")</x:f>
      </x:c>
      <x:c r="C4404" s="1">
        <x:f>IFERROR(__xludf.DUMMYFUNCTION("""COMPUTED_VALUE"""),"2023")</x:f>
      </x:c>
    </x:row>
    <x:row r="4405" spans="1:10">
      <x:c r="A4405" s="1" t="s">
        <x:v>4414</x:v>
      </x:c>
      <x:c r="B4405" s="1">
        <x:f>IFERROR(__xludf.DUMMYFUNCTION("""COMPUTED_VALUE"""),"La teta asustada [VOSC]")</x:f>
      </x:c>
      <x:c r="C4405" s="1">
        <x:f>IFERROR(__xludf.DUMMYFUNCTION("""COMPUTED_VALUE"""),"2009")</x:f>
      </x:c>
    </x:row>
    <x:row r="4406" spans="1:10">
      <x:c r="A4406" s="1" t="s">
        <x:v>4415</x:v>
      </x:c>
      <x:c r="B4406" s="1">
        <x:f>IFERROR(__xludf.DUMMYFUNCTION("""COMPUTED_VALUE"""),"La teva vida en 65'")</x:f>
      </x:c>
      <x:c r="C4406" s="1">
        <x:f>IFERROR(__xludf.DUMMYFUNCTION("""COMPUTED_VALUE"""),"2006")</x:f>
      </x:c>
    </x:row>
    <x:row r="4407" spans="1:10">
      <x:c r="A4407" s="1" t="s">
        <x:v>4416</x:v>
      </x:c>
      <x:c r="B4407" s="1">
        <x:f>IFERROR(__xludf.DUMMYFUNCTION("""COMPUTED_VALUE"""),"La tomba de les lluernes")</x:f>
      </x:c>
      <x:c r="C4407" s="1">
        <x:f>IFERROR(__xludf.DUMMYFUNCTION("""COMPUTED_VALUE"""),"1988")</x:f>
      </x:c>
    </x:row>
    <x:row r="4408" spans="1:10">
      <x:c r="A4408" s="1" t="s">
        <x:v>4417</x:v>
      </x:c>
      <x:c r="B4408" s="1">
        <x:f>IFERROR(__xludf.DUMMYFUNCTION("""COMPUTED_VALUE"""),"La torre de Suso")</x:f>
      </x:c>
      <x:c r="C4408" s="1">
        <x:f>IFERROR(__xludf.DUMMYFUNCTION("""COMPUTED_VALUE"""),"2007")</x:f>
      </x:c>
    </x:row>
    <x:row r="4409" spans="1:10">
      <x:c r="A4409" s="1" t="s">
        <x:v>4418</x:v>
      </x:c>
      <x:c r="B4409" s="1">
        <x:f>IFERROR(__xludf.DUMMYFUNCTION("""COMPUTED_VALUE"""),"La tortuga vermella")</x:f>
      </x:c>
      <x:c r="C4409" s="1">
        <x:f>IFERROR(__xludf.DUMMYFUNCTION("""COMPUTED_VALUE"""),"2016")</x:f>
      </x:c>
    </x:row>
    <x:row r="4410" spans="1:10">
      <x:c r="A4410" s="1" t="s">
        <x:v>4419</x:v>
      </x:c>
      <x:c r="B4410" s="1">
        <x:f>IFERROR(__xludf.DUMMYFUNCTION("""COMPUTED_VALUE"""),"La tragèdia del Manchester United")</x:f>
      </x:c>
      <x:c r="C4410" s="1">
        <x:f>IFERROR(__xludf.DUMMYFUNCTION("""COMPUTED_VALUE"""),"2011")</x:f>
      </x:c>
    </x:row>
    <x:row r="4411" spans="1:10">
      <x:c r="A4411" s="1" t="s">
        <x:v>4420</x:v>
      </x:c>
      <x:c r="B4411" s="1">
        <x:f>IFERROR(__xludf.DUMMYFUNCTION("""COMPUTED_VALUE"""),"La trama")</x:f>
      </x:c>
      <x:c r="C4411" s="1">
        <x:f>IFERROR(__xludf.DUMMYFUNCTION("""COMPUTED_VALUE"""),"2013")</x:f>
      </x:c>
    </x:row>
    <x:row r="4412" spans="1:10">
      <x:c r="A4412" s="1" t="s">
        <x:v>4421</x:v>
      </x:c>
      <x:c r="B4412" s="1">
        <x:f>IFERROR(__xludf.DUMMYFUNCTION("""COMPUTED_VALUE"""),"La trampa")</x:f>
      </x:c>
      <x:c r="C4412" s="1">
        <x:f>IFERROR(__xludf.DUMMYFUNCTION("""COMPUTED_VALUE"""),"1966")</x:f>
      </x:c>
    </x:row>
    <x:row r="4413" spans="1:10">
      <x:c r="A4413" s="1" t="s">
        <x:v>4422</x:v>
      </x:c>
      <x:c r="B4413" s="1">
        <x:f>IFERROR(__xludf.DUMMYFUNCTION("""COMPUTED_VALUE"""),"La trampa")</x:f>
      </x:c>
      <x:c r="C4413" s="1">
        <x:f>IFERROR(__xludf.DUMMYFUNCTION("""COMPUTED_VALUE"""),"1999")</x:f>
      </x:c>
    </x:row>
    <x:row r="4414" spans="1:10">
      <x:c r="A4414" s="1" t="s">
        <x:v>4423</x:v>
      </x:c>
      <x:c r="B4414" s="1">
        <x:f>IFERROR(__xludf.DUMMYFUNCTION("""COMPUTED_VALUE"""),"La travessia")</x:f>
      </x:c>
      <x:c r="C4414" s="1">
        <x:f>IFERROR(__xludf.DUMMYFUNCTION("""COMPUTED_VALUE"""),"2020")</x:f>
      </x:c>
    </x:row>
    <x:row r="4415" spans="1:10">
      <x:c r="A4415" s="1" t="s">
        <x:v>4424</x:v>
      </x:c>
      <x:c r="B4415" s="1">
        <x:f>IFERROR(__xludf.DUMMYFUNCTION("""COMPUTED_VALUE"""),"La trena")</x:f>
      </x:c>
      <x:c r="C4415" s="1">
        <x:f>IFERROR(__xludf.DUMMYFUNCTION("""COMPUTED_VALUE"""),"2023")</x:f>
      </x:c>
    </x:row>
    <x:row r="4416" spans="1:10">
      <x:c r="A4416" s="1" t="s">
        <x:v>4425</x:v>
      </x:c>
      <x:c r="B4416" s="1">
        <x:f>IFERROR(__xludf.DUMMYFUNCTION("""COMPUTED_VALUE"""),"La treva")</x:f>
      </x:c>
      <x:c r="C4416" s="1">
        <x:f>IFERROR(__xludf.DUMMYFUNCTION("""COMPUTED_VALUE"""),"1997")</x:f>
      </x:c>
    </x:row>
    <x:row r="4417" spans="1:10">
      <x:c r="A4417" s="1" t="s">
        <x:v>4426</x:v>
      </x:c>
      <x:c r="B4417" s="1">
        <x:f>IFERROR(__xludf.DUMMYFUNCTION("""COMPUTED_VALUE"""),"La Trinca biografia no autoritzada")</x:f>
      </x:c>
      <x:c r="C4417" s="1">
        <x:f>IFERROR(__xludf.DUMMYFUNCTION("""COMPUTED_VALUE"""),"2011")</x:f>
      </x:c>
    </x:row>
    <x:row r="4418" spans="1:10">
      <x:c r="A4418" s="1" t="s">
        <x:v>4427</x:v>
      </x:c>
      <x:c r="B4418" s="1">
        <x:f>IFERROR(__xludf.DUMMYFUNCTION("""COMPUTED_VALUE"""),"La usurpadora")</x:f>
      </x:c>
      <x:c r="C4418" s="1">
        <x:f>IFERROR(__xludf.DUMMYFUNCTION("""COMPUTED_VALUE"""),"2015")</x:f>
      </x:c>
    </x:row>
    <x:row r="4419" spans="1:10">
      <x:c r="A4419" s="1" t="s">
        <x:v>4428</x:v>
      </x:c>
      <x:c r="B4419" s="1">
        <x:f>IFERROR(__xludf.DUMMYFUNCTION("""COMPUTED_VALUE"""),"La vaca")</x:f>
      </x:c>
      <x:c r="C4419" s="1">
        <x:f>IFERROR(__xludf.DUMMYFUNCTION("""COMPUTED_VALUE"""),"2016")</x:f>
      </x:c>
    </x:row>
    <x:row r="4420" spans="1:10">
      <x:c r="A4420" s="1" t="s">
        <x:v>4429</x:v>
      </x:c>
      <x:c r="B4420" s="1">
        <x:f>IFERROR(__xludf.DUMMYFUNCTION("""COMPUTED_VALUE"""),"La vall de Gwangi")</x:f>
      </x:c>
      <x:c r="C4420" s="1">
        <x:f>IFERROR(__xludf.DUMMYFUNCTION("""COMPUTED_VALUE"""),"1969")</x:f>
      </x:c>
    </x:row>
    <x:row r="4421" spans="1:10">
      <x:c r="A4421" s="1" t="s">
        <x:v>4430</x:v>
      </x:c>
      <x:c r="B4421" s="1">
        <x:f>IFERROR(__xludf.DUMMYFUNCTION("""COMPUTED_VALUE"""),"La vall de la fúria")</x:f>
      </x:c>
      <x:c r="C4421" s="1">
        <x:f>IFERROR(__xludf.DUMMYFUNCTION("""COMPUTED_VALUE"""),"1980")</x:f>
      </x:c>
    </x:row>
    <x:row r="4422" spans="1:10">
      <x:c r="A4422" s="1" t="s">
        <x:v>4431</x:v>
      </x:c>
      <x:c r="B4422" s="1">
        <x:f>IFERROR(__xludf.DUMMYFUNCTION("""COMPUTED_VALUE"""),"La vall de les mentides")</x:f>
      </x:c>
      <x:c r="C4422" s="1">
        <x:f>IFERROR(__xludf.DUMMYFUNCTION("""COMPUTED_VALUE"""),"2014")</x:f>
      </x:c>
    </x:row>
    <x:row r="4423" spans="1:10">
      <x:c r="A4423" s="1" t="s">
        <x:v>4432</x:v>
      </x:c>
      <x:c r="B4423" s="1">
        <x:f>IFERROR(__xludf.DUMMYFUNCTION("""COMPUTED_VALUE"""),"La vall del coure")</x:f>
      </x:c>
      <x:c r="C4423" s="1">
        <x:f>IFERROR(__xludf.DUMMYFUNCTION("""COMPUTED_VALUE"""),"1950")</x:f>
      </x:c>
    </x:row>
    <x:row r="4424" spans="1:10">
      <x:c r="A4424" s="1" t="s">
        <x:v>4433</x:v>
      </x:c>
      <x:c r="B4424" s="1">
        <x:f>IFERROR(__xludf.DUMMYFUNCTION("""COMPUTED_VALUE"""),"La vall del fugitiu")</x:f>
      </x:c>
      <x:c r="C4424" s="1">
        <x:f>IFERROR(__xludf.DUMMYFUNCTION("""COMPUTED_VALUE"""),"1969")</x:f>
      </x:c>
    </x:row>
    <x:row r="4425" spans="1:10">
      <x:c r="A4425" s="1" t="s">
        <x:v>4434</x:v>
      </x:c>
      <x:c r="B4425" s="1">
        <x:f>IFERROR(__xludf.DUMMYFUNCTION("""COMPUTED_VALUE"""),"La vall dels ossos")</x:f>
      </x:c>
      <x:c r="C4425" s="1">
        <x:f>IFERROR(__xludf.DUMMYFUNCTION("""COMPUTED_VALUE"""),"2022")</x:f>
      </x:c>
    </x:row>
    <x:row r="4426" spans="1:10">
      <x:c r="A4426" s="1" t="s">
        <x:v>4435</x:v>
      </x:c>
      <x:c r="B4426" s="1">
        <x:f>IFERROR(__xludf.DUMMYFUNCTION("""COMPUTED_VALUE"""),"La vampira de Barcelona")</x:f>
      </x:c>
      <x:c r="C4426" s="1">
        <x:f>IFERROR(__xludf.DUMMYFUNCTION("""COMPUTED_VALUE"""),"2020")</x:f>
      </x:c>
    </x:row>
    <x:row r="4427" spans="1:10">
      <x:c r="A4427" s="1" t="s">
        <x:v>4436</x:v>
      </x:c>
      <x:c r="B4427" s="1">
        <x:f>IFERROR(__xludf.DUMMYFUNCTION("""COMPUTED_VALUE"""),"La venjança de Frank James")</x:f>
      </x:c>
      <x:c r="C4427" s="1">
        <x:f>IFERROR(__xludf.DUMMYFUNCTION("""COMPUTED_VALUE"""),"1940")</x:f>
      </x:c>
    </x:row>
    <x:row r="4428" spans="1:10">
      <x:c r="A4428" s="1" t="s">
        <x:v>4437</x:v>
      </x:c>
      <x:c r="B4428" s="1">
        <x:f>IFERROR(__xludf.DUMMYFUNCTION("""COMPUTED_VALUE"""),"La venjança de Frankenstein")</x:f>
      </x:c>
      <x:c r="C4428" s="1">
        <x:f>IFERROR(__xludf.DUMMYFUNCTION("""COMPUTED_VALUE"""),"1958")</x:f>
      </x:c>
    </x:row>
    <x:row r="4429" spans="1:10">
      <x:c r="A4429" s="1" t="s">
        <x:v>4438</x:v>
      </x:c>
      <x:c r="B4429" s="1">
        <x:f>IFERROR(__xludf.DUMMYFUNCTION("""COMPUTED_VALUE"""),"La venjança de la Pantera Rosa")</x:f>
      </x:c>
      <x:c r="C4429" s="1">
        <x:f>IFERROR(__xludf.DUMMYFUNCTION("""COMPUTED_VALUE"""),"1978")</x:f>
      </x:c>
    </x:row>
    <x:row r="4430" spans="1:10">
      <x:c r="A4430" s="1" t="s">
        <x:v>4439</x:v>
      </x:c>
      <x:c r="B4430" s="1">
        <x:f>IFERROR(__xludf.DUMMYFUNCTION("""COMPUTED_VALUE"""),"La Ventafocs")</x:f>
      </x:c>
      <x:c r="C4430" s="1">
        <x:f>IFERROR(__xludf.DUMMYFUNCTION("""COMPUTED_VALUE"""),"1973")</x:f>
      </x:c>
    </x:row>
    <x:row r="4431" spans="1:10">
      <x:c r="A4431" s="1" t="s">
        <x:v>4440</x:v>
      </x:c>
      <x:c r="B4431" s="1">
        <x:f>IFERROR(__xludf.DUMMYFUNCTION("""COMPUTED_VALUE"""),"La Ventafocs i el príncep secret")</x:f>
      </x:c>
      <x:c r="C4431" s="1">
        <x:f>IFERROR(__xludf.DUMMYFUNCTION("""COMPUTED_VALUE"""),"2018")</x:f>
      </x:c>
    </x:row>
    <x:row r="4432" spans="1:10">
      <x:c r="A4432" s="1" t="s">
        <x:v>4441</x:v>
      </x:c>
      <x:c r="B4432" s="1">
        <x:f>IFERROR(__xludf.DUMMYFUNCTION("""COMPUTED_VALUE"""),"La venus de les pells")</x:f>
      </x:c>
      <x:c r="C4432" s="1">
        <x:f>IFERROR(__xludf.DUMMYFUNCTION("""COMPUTED_VALUE"""),"2013")</x:f>
      </x:c>
    </x:row>
    <x:row r="4433" spans="1:10">
      <x:c r="A4433" s="1" t="s">
        <x:v>4442</x:v>
      </x:c>
      <x:c r="B4433" s="1">
        <x:f>IFERROR(__xludf.DUMMYFUNCTION("""COMPUTED_VALUE"""),"La verge roja")</x:f>
      </x:c>
      <x:c r="C4433" s="1">
        <x:f>IFERROR(__xludf.DUMMYFUNCTION("""COMPUTED_VALUE"""),"2024")</x:f>
      </x:c>
    </x:row>
    <x:row r="4434" spans="1:10">
      <x:c r="A4434" s="1" t="s">
        <x:v>4443</x:v>
      </x:c>
      <x:c r="B4434" s="1">
        <x:f>IFERROR(__xludf.DUMMYFUNCTION("""COMPUTED_VALUE"""),"La veritat fa mal")</x:f>
      </x:c>
      <x:c r="C4434" s="1">
        <x:f>IFERROR(__xludf.DUMMYFUNCTION("""COMPUTED_VALUE"""),"2015")</x:f>
      </x:c>
    </x:row>
    <x:row r="4435" spans="1:10">
      <x:c r="A4435" s="1" t="s">
        <x:v>4444</x:v>
      </x:c>
      <x:c r="B4435" s="1">
        <x:f>IFERROR(__xludf.DUMMYFUNCTION("""COMPUTED_VALUE"""),"La veritat oculta")</x:f>
      </x:c>
      <x:c r="C4435" s="1">
        <x:f>IFERROR(__xludf.DUMMYFUNCTION("""COMPUTED_VALUE"""),"2010")</x:f>
      </x:c>
    </x:row>
    <x:row r="4436" spans="1:10">
      <x:c r="A4436" s="1" t="s">
        <x:v>4445</x:v>
      </x:c>
      <x:c r="B4436" s="1">
        <x:f>IFERROR(__xludf.DUMMYFUNCTION("""COMPUTED_VALUE"""),"La veritat sobre l'Emma")</x:f>
      </x:c>
      <x:c r="C4436" s="1">
        <x:f>IFERROR(__xludf.DUMMYFUNCTION("""COMPUTED_VALUE"""),"2016")</x:f>
      </x:c>
    </x:row>
    <x:row r="4437" spans="1:10">
      <x:c r="A4437" s="1" t="s">
        <x:v>4446</x:v>
      </x:c>
      <x:c r="B4437" s="1">
        <x:f>IFERROR(__xludf.DUMMYFUNCTION("""COMPUTED_VALUE"""),"La Víctor")</x:f>
      </x:c>
      <x:c r="C4437" s="1">
        <x:f>IFERROR(__xludf.DUMMYFUNCTION("""COMPUTED_VALUE"""),"2017")</x:f>
      </x:c>
    </x:row>
    <x:row r="4438" spans="1:10">
      <x:c r="A4438" s="1" t="s">
        <x:v>4447</x:v>
      </x:c>
      <x:c r="B4438" s="1">
        <x:f>IFERROR(__xludf.DUMMYFUNCTION("""COMPUTED_VALUE"""),"La victòria de Gisèle Pelicot")</x:f>
      </x:c>
      <x:c r="C4438" s="1">
        <x:f>IFERROR(__xludf.DUMMYFUNCTION("""COMPUTED_VALUE"""),"2025")</x:f>
      </x:c>
    </x:row>
    <x:row r="4439" spans="1:10">
      <x:c r="A4439" s="1" t="s">
        <x:v>4448</x:v>
      </x:c>
      <x:c r="B4439" s="1">
        <x:f>IFERROR(__xludf.DUMMYFUNCTION("""COMPUTED_VALUE"""),"La vida amb el pare")</x:f>
      </x:c>
      <x:c r="C4439" s="1">
        <x:f>IFERROR(__xludf.DUMMYFUNCTION("""COMPUTED_VALUE"""),"1947")</x:f>
      </x:c>
    </x:row>
    <x:row r="4440" spans="1:10">
      <x:c r="A4440" s="1" t="s">
        <x:v>4449</x:v>
      </x:c>
      <x:c r="B4440" s="1">
        <x:f>IFERROR(__xludf.DUMMYFUNCTION("""COMPUTED_VALUE"""),"La vida comença avui")</x:f>
      </x:c>
      <x:c r="C4440" s="1">
        <x:f>IFERROR(__xludf.DUMMYFUNCTION("""COMPUTED_VALUE"""),"2010")</x:f>
      </x:c>
    </x:row>
    <x:row r="4441" spans="1:10">
      <x:c r="A4441" s="1" t="s">
        <x:v>4450</x:v>
      </x:c>
      <x:c r="B4441" s="1">
        <x:f>IFERROR(__xludf.DUMMYFUNCTION("""COMPUTED_VALUE"""),"La vida d’en Carbassó")</x:f>
      </x:c>
      <x:c r="C4441" s="1">
        <x:f>IFERROR(__xludf.DUMMYFUNCTION("""COMPUTED_VALUE"""),"2016")</x:f>
      </x:c>
    </x:row>
    <x:row r="4442" spans="1:10">
      <x:c r="A4442" s="1" t="s">
        <x:v>4451</x:v>
      </x:c>
      <x:c r="B4442" s="1">
        <x:f>IFERROR(__xludf.DUMMYFUNCTION("""COMPUTED_VALUE"""),"La vida d'en Pi")</x:f>
      </x:c>
      <x:c r="C4442" s="1">
        <x:f>IFERROR(__xludf.DUMMYFUNCTION("""COMPUTED_VALUE"""),"2012")</x:f>
      </x:c>
    </x:row>
    <x:row r="4443" spans="1:10">
      <x:c r="A4443" s="1" t="s">
        <x:v>4452</x:v>
      </x:c>
      <x:c r="B4443" s="1">
        <x:f>IFERROR(__xludf.DUMMYFUNCTION("""COMPUTED_VALUE"""),"La vida davant dels seus ulls")</x:f>
      </x:c>
      <x:c r="C4443" s="1">
        <x:f>IFERROR(__xludf.DUMMYFUNCTION("""COMPUTED_VALUE"""),"2007")</x:f>
      </x:c>
    </x:row>
    <x:row r="4444" spans="1:10">
      <x:c r="A4444" s="1" t="s">
        <x:v>4453</x:v>
      </x:c>
      <x:c r="B4444" s="1">
        <x:f>IFERROR(__xludf.DUMMYFUNCTION("""COMPUTED_VALUE"""),"La vida de Brian")</x:f>
      </x:c>
      <x:c r="C4444" s="1">
        <x:f>IFERROR(__xludf.DUMMYFUNCTION("""COMPUTED_VALUE"""),"1979")</x:f>
      </x:c>
    </x:row>
    <x:row r="4445" spans="1:10">
      <x:c r="A4445" s="1" t="s">
        <x:v>4454</x:v>
      </x:c>
      <x:c r="B4445" s="1">
        <x:f>IFERROR(__xludf.DUMMYFUNCTION("""COMPUTED_VALUE"""),"La vida del gran Ramsés II - El faraó i el saltinbanqui")</x:f>
      </x:c>
      <x:c r="C4445" s="1">
        <x:f>IFERROR(__xludf.DUMMYFUNCTION("""COMPUTED_VALUE"""),"2005")</x:f>
      </x:c>
    </x:row>
    <x:row r="4446" spans="1:10">
      <x:c r="A4446" s="1" t="s">
        <x:v>4455</x:v>
      </x:c>
      <x:c r="B4446" s="1">
        <x:f>IFERROR(__xludf.DUMMYFUNCTION("""COMPUTED_VALUE"""),"La vida del grup")</x:f>
      </x:c>
      <x:c r="C4446" s="1">
        <x:f>IFERROR(__xludf.DUMMYFUNCTION("""COMPUTED_VALUE"""),"2005")</x:f>
      </x:c>
    </x:row>
    <x:row r="4447" spans="1:10">
      <x:c r="A4447" s="1" t="s">
        <x:v>4456</x:v>
      </x:c>
      <x:c r="B4447" s="1">
        <x:f>IFERROR(__xludf.DUMMYFUNCTION("""COMPUTED_VALUE"""),"La vida dels altres")</x:f>
      </x:c>
      <x:c r="C4447" s="1">
        <x:f>IFERROR(__xludf.DUMMYFUNCTION("""COMPUTED_VALUE"""),"2006")</x:f>
      </x:c>
    </x:row>
    <x:row r="4448" spans="1:10">
      <x:c r="A4448" s="1" t="s">
        <x:v>4457</x:v>
      </x:c>
      <x:c r="B4448" s="1">
        <x:f>IFERROR(__xludf.DUMMYFUNCTION("""COMPUTED_VALUE"""),"La vida en joc")</x:f>
      </x:c>
      <x:c r="C4448" s="1">
        <x:f>IFERROR(__xludf.DUMMYFUNCTION("""COMPUTED_VALUE"""),"2006")</x:f>
      </x:c>
    </x:row>
    <x:row r="4449" spans="1:10">
      <x:c r="A4449" s="1" t="s">
        <x:v>4458</x:v>
      </x:c>
      <x:c r="B4449" s="1">
        <x:f>IFERROR(__xludf.DUMMYFUNCTION("""COMPUTED_VALUE"""),"La vida en rosa")</x:f>
      </x:c>
      <x:c r="C4449" s="1">
        <x:f>IFERROR(__xludf.DUMMYFUNCTION("""COMPUTED_VALUE"""),"2007")</x:f>
      </x:c>
    </x:row>
    <x:row r="4450" spans="1:10">
      <x:c r="A4450" s="1" t="s">
        <x:v>4459</x:v>
      </x:c>
      <x:c r="B4450" s="1">
        <x:f>IFERROR(__xludf.DUMMYFUNCTION("""COMPUTED_VALUE"""),"La vida és bella")</x:f>
      </x:c>
      <x:c r="C4450" s="1">
        <x:f>IFERROR(__xludf.DUMMYFUNCTION("""COMPUTED_VALUE"""),"1997")</x:f>
      </x:c>
    </x:row>
    <x:row r="4451" spans="1:10">
      <x:c r="A4451" s="1" t="s">
        <x:v>4460</x:v>
      </x:c>
      <x:c r="B4451" s="1">
        <x:f>IFERROR(__xludf.DUMMYFUNCTION("""COMPUTED_VALUE"""),"La vida futura")</x:f>
      </x:c>
      <x:c r="C4451" s="1">
        <x:f>IFERROR(__xludf.DUMMYFUNCTION("""COMPUTED_VALUE"""),"1936")</x:f>
      </x:c>
    </x:row>
    <x:row r="4452" spans="1:10">
      <x:c r="A4452" s="1" t="s">
        <x:v>4461</x:v>
      </x:c>
      <x:c r="B4452" s="1">
        <x:f>IFERROR(__xludf.DUMMYFUNCTION("""COMPUTED_VALUE"""),"La vida lliure")</x:f>
      </x:c>
      <x:c r="C4452" s="1">
        <x:f>IFERROR(__xludf.DUMMYFUNCTION("""COMPUTED_VALUE"""),"2017")</x:f>
      </x:c>
    </x:row>
    <x:row r="4453" spans="1:10">
      <x:c r="A4453" s="1" t="s">
        <x:v>4462</x:v>
      </x:c>
      <x:c r="B4453" s="1">
        <x:f>IFERROR(__xludf.DUMMYFUNCTION("""COMPUTED_VALUE"""),"La vida privada d'Enric VIII")</x:f>
      </x:c>
      <x:c r="C4453" s="1">
        <x:f>IFERROR(__xludf.DUMMYFUNCTION("""COMPUTED_VALUE"""),"1933")</x:f>
      </x:c>
    </x:row>
    <x:row r="4454" spans="1:10">
      <x:c r="A4454" s="1" t="s">
        <x:v>4463</x:v>
      </x:c>
      <x:c r="B4454" s="1">
        <x:f>IFERROR(__xludf.DUMMYFUNCTION("""COMPUTED_VALUE"""),"La vida privada de Pippa Lee")</x:f>
      </x:c>
      <x:c r="C4454" s="1">
        <x:f>IFERROR(__xludf.DUMMYFUNCTION("""COMPUTED_VALUE"""),"2009")</x:f>
      </x:c>
    </x:row>
    <x:row r="4455" spans="1:10">
      <x:c r="A4455" s="1" t="s">
        <x:v>4464</x:v>
      </x:c>
      <x:c r="B4455" s="1">
        <x:f>IFERROR(__xludf.DUMMYFUNCTION("""COMPUTED_VALUE"""),"La vida privada de Sherlock Holmes")</x:f>
      </x:c>
      <x:c r="C4455" s="1">
        <x:f>IFERROR(__xludf.DUMMYFUNCTION("""COMPUTED_VALUE"""),"1970")</x:f>
      </x:c>
    </x:row>
    <x:row r="4456" spans="1:10">
      <x:c r="A4456" s="1" t="s">
        <x:v>4465</x:v>
      </x:c>
      <x:c r="B4456" s="1">
        <x:f>IFERROR(__xludf.DUMMYFUNCTION("""COMPUTED_VALUE"""),"La vida secreta de les paraules")</x:f>
      </x:c>
      <x:c r="C4456" s="1">
        <x:f>IFERROR(__xludf.DUMMYFUNCTION("""COMPUTED_VALUE"""),"2005")</x:f>
      </x:c>
    </x:row>
    <x:row r="4457" spans="1:10">
      <x:c r="A4457" s="1" t="s">
        <x:v>4466</x:v>
      </x:c>
      <x:c r="B4457" s="1">
        <x:f>IFERROR(__xludf.DUMMYFUNCTION("""COMPUTED_VALUE"""),"La vida secreta del rellotge biològic")</x:f>
      </x:c>
      <x:c r="C4457" s="1">
        <x:f>IFERROR(__xludf.DUMMYFUNCTION("""COMPUTED_VALUE"""),"2009")</x:f>
      </x:c>
    </x:row>
    <x:row r="4458" spans="1:10">
      <x:c r="A4458" s="1" t="s">
        <x:v>4467</x:v>
      </x:c>
      <x:c r="B4458" s="1">
        <x:f>IFERROR(__xludf.DUMMYFUNCTION("""COMPUTED_VALUE"""),"La vida sense la Grace")</x:f>
      </x:c>
      <x:c r="C4458" s="1">
        <x:f>IFERROR(__xludf.DUMMYFUNCTION("""COMPUTED_VALUE"""),"2007")</x:f>
      </x:c>
    </x:row>
    <x:row r="4459" spans="1:10">
      <x:c r="A4459" s="1" t="s">
        <x:v>4468</x:v>
      </x:c>
      <x:c r="B4459" s="1">
        <x:f>IFERROR(__xludf.DUMMYFUNCTION("""COMPUTED_VALUE"""),"La vida sense la Sara Amat")</x:f>
      </x:c>
      <x:c r="C4459" s="1">
        <x:f>IFERROR(__xludf.DUMMYFUNCTION("""COMPUTED_VALUE"""),"2019")</x:f>
      </x:c>
    </x:row>
    <x:row r="4460" spans="1:10">
      <x:c r="A4460" s="1" t="s">
        <x:v>4469</x:v>
      </x:c>
      <x:c r="B4460" s="1">
        <x:f>IFERROR(__xludf.DUMMYFUNCTION("""COMPUTED_VALUE"""),"La vídua Clicquot")</x:f>
      </x:c>
      <x:c r="C4460" s="1">
        <x:f>IFERROR(__xludf.DUMMYFUNCTION("""COMPUTED_VALUE"""),"2023")</x:f>
      </x:c>
    </x:row>
    <x:row r="4461" spans="1:10">
      <x:c r="A4461" s="1" t="s">
        <x:v>4470</x:v>
      </x:c>
      <x:c r="B4461" s="1">
        <x:f>IFERROR(__xludf.DUMMYFUNCTION("""COMPUTED_VALUE"""),"La violinista")</x:f>
      </x:c>
      <x:c r="C4461" s="1">
        <x:f>IFERROR(__xludf.DUMMYFUNCTION("""COMPUTED_VALUE"""),"2018")</x:f>
      </x:c>
    </x:row>
    <x:row r="4462" spans="1:10">
      <x:c r="A4462" s="1" t="s">
        <x:v>4471</x:v>
      </x:c>
      <x:c r="B4462" s="1">
        <x:f>IFERROR(__xludf.DUMMYFUNCTION("""COMPUTED_VALUE"""),"La viuda")</x:f>
      </x:c>
      <x:c r="C4462" s="1">
        <x:f>IFERROR(__xludf.DUMMYFUNCTION("""COMPUTED_VALUE"""),"2018")</x:f>
      </x:c>
    </x:row>
    <x:row r="4463" spans="1:10">
      <x:c r="A4463" s="1" t="s">
        <x:v>4472</x:v>
      </x:c>
      <x:c r="B4463" s="1">
        <x:f>IFERROR(__xludf.DUMMYFUNCTION("""COMPUTED_VALUE"""),"La volta al món en 80 dies")</x:f>
      </x:c>
      <x:c r="C4463" s="1">
        <x:f>IFERROR(__xludf.DUMMYFUNCTION("""COMPUTED_VALUE"""),"2004")</x:f>
      </x:c>
    </x:row>
    <x:row r="4464" spans="1:10">
      <x:c r="A4464" s="1" t="s">
        <x:v>4473</x:v>
      </x:c>
      <x:c r="B4464" s="1">
        <x:f>IFERROR(__xludf.DUMMYFUNCTION("""COMPUTED_VALUE"""),"La voluntària")</x:f>
      </x:c>
      <x:c r="C4464" s="1">
        <x:f>IFERROR(__xludf.DUMMYFUNCTION("""COMPUTED_VALUE"""),"2022")</x:f>
      </x:c>
    </x:row>
    <x:row r="4465" spans="1:10">
      <x:c r="A4465" s="1" t="s">
        <x:v>4474</x:v>
      </x:c>
      <x:c r="B4465" s="1">
        <x:f>IFERROR(__xludf.DUMMYFUNCTION("""COMPUTED_VALUE"""),"La xarxa")</x:f>
      </x:c>
      <x:c r="C4465" s="1">
        <x:f>IFERROR(__xludf.DUMMYFUNCTION("""COMPUTED_VALUE"""),"1995")</x:f>
      </x:c>
    </x:row>
    <x:row r="4466" spans="1:10">
      <x:c r="A4466" s="1" t="s">
        <x:v>4475</x:v>
      </x:c>
      <x:c r="B4466" s="1">
        <x:f>IFERROR(__xludf.DUMMYFUNCTION("""COMPUTED_VALUE"""),"La xarxa social")</x:f>
      </x:c>
      <x:c r="C4466" s="1">
        <x:f>IFERROR(__xludf.DUMMYFUNCTION("""COMPUTED_VALUE"""),"2010")</x:f>
      </x:c>
    </x:row>
    <x:row r="4467" spans="1:10">
      <x:c r="A4467" s="1" t="s">
        <x:v>4476</x:v>
      </x:c>
      <x:c r="B4467" s="1">
        <x:f>IFERROR(__xludf.DUMMYFUNCTION("""COMPUTED_VALUE"""),"La xarxa ultra")</x:f>
      </x:c>
      <x:c r="C4467" s="1">
        <x:f>IFERROR(__xludf.DUMMYFUNCTION("""COMPUTED_VALUE"""),"2024")</x:f>
      </x:c>
    </x:row>
    <x:row r="4468" spans="1:10">
      <x:c r="A4468" s="1" t="s">
        <x:v>4477</x:v>
      </x:c>
      <x:c r="B4468" s="1">
        <x:f>IFERROR(__xludf.DUMMYFUNCTION("""COMPUTED_VALUE"""),"La xifra negra")</x:f>
      </x:c>
      <x:c r="C4468" s="1">
        <x:f>IFERROR(__xludf.DUMMYFUNCTION("""COMPUTED_VALUE"""),"2018")</x:f>
      </x:c>
    </x:row>
    <x:row r="4469" spans="1:10">
      <x:c r="A4469" s="1" t="s">
        <x:v>4478</x:v>
      </x:c>
      <x:c r="B4469" s="1">
        <x:f>IFERROR(__xludf.DUMMYFUNCTION("""COMPUTED_VALUE"""),"La Xirgu")</x:f>
      </x:c>
      <x:c r="C4469" s="1">
        <x:f>IFERROR(__xludf.DUMMYFUNCTION("""COMPUTED_VALUE"""),"2015")</x:f>
      </x:c>
    </x:row>
    <x:row r="4470" spans="1:10">
      <x:c r="A4470" s="1" t="s">
        <x:v>4479</x:v>
      </x:c>
      <x:c r="B4470" s="1">
        <x:f>IFERROR(__xludf.DUMMYFUNCTION("""COMPUTED_VALUE"""),"La Zoe i la Tempesta")</x:f>
      </x:c>
      <x:c r="C4470" s="1">
        <x:f>IFERROR(__xludf.DUMMYFUNCTION("""COMPUTED_VALUE"""),"2022")</x:f>
      </x:c>
    </x:row>
    <x:row r="4471" spans="1:10">
      <x:c r="A4471" s="1" t="s">
        <x:v>4480</x:v>
      </x:c>
      <x:c r="B4471" s="1">
        <x:f>IFERROR(__xludf.DUMMYFUNCTION("""COMPUTED_VALUE"""),"La zona")</x:f>
      </x:c>
      <x:c r="C4471" s="1">
        <x:f>IFERROR(__xludf.DUMMYFUNCTION("""COMPUTED_VALUE"""),"2007")</x:f>
      </x:c>
    </x:row>
    <x:row r="4472" spans="1:10">
      <x:c r="A4472" s="1" t="s">
        <x:v>4481</x:v>
      </x:c>
      <x:c r="B4472" s="1">
        <x:f>IFERROR(__xludf.DUMMYFUNCTION("""COMPUTED_VALUE"""),"La zona morta")</x:f>
      </x:c>
      <x:c r="C4472" s="1">
        <x:f>IFERROR(__xludf.DUMMYFUNCTION("""COMPUTED_VALUE"""),"1983")</x:f>
      </x:c>
    </x:row>
    <x:row r="4473" spans="1:10">
      <x:c r="A4473" s="1" t="s">
        <x:v>4482</x:v>
      </x:c>
      <x:c r="B4473" s="1">
        <x:f>IFERROR(__xludf.DUMMYFUNCTION("""COMPUTED_VALUE"""),"Laban, el petit fantasma. Quina por!")</x:f>
      </x:c>
      <x:c r="C4473" s="1">
        <x:f>IFERROR(__xludf.DUMMYFUNCTION("""COMPUTED_VALUE"""),"2007")</x:f>
      </x:c>
    </x:row>
    <x:row r="4474" spans="1:10">
      <x:c r="A4474" s="1" t="s">
        <x:v>4483</x:v>
      </x:c>
      <x:c r="B4474" s="1">
        <x:f>IFERROR(__xludf.DUMMYFUNCTION("""COMPUTED_VALUE"""),"Laberint")</x:f>
      </x:c>
      <x:c r="C4474" s="1">
        <x:f>IFERROR(__xludf.DUMMYFUNCTION("""COMPUTED_VALUE"""),"1986")</x:f>
      </x:c>
    </x:row>
    <x:row r="4475" spans="1:10">
      <x:c r="A4475" s="1" t="s">
        <x:v>4484</x:v>
      </x:c>
      <x:c r="B4475" s="1">
        <x:f>IFERROR(__xludf.DUMMYFUNCTION("""COMPUTED_VALUE"""),"Lady Bird")</x:f>
      </x:c>
      <x:c r="C4475" s="1">
        <x:f>IFERROR(__xludf.DUMMYFUNCTION("""COMPUTED_VALUE"""),"2017")</x:f>
      </x:c>
    </x:row>
    <x:row r="4476" spans="1:10">
      <x:c r="A4476" s="1" t="s">
        <x:v>4485</x:v>
      </x:c>
      <x:c r="B4476" s="1">
        <x:f>IFERROR(__xludf.DUMMYFUNCTION("""COMPUTED_VALUE"""),"Lady Chatterley")</x:f>
      </x:c>
      <x:c r="C4476" s="1">
        <x:f>IFERROR(__xludf.DUMMYFUNCTION("""COMPUTED_VALUE"""),"2006")</x:f>
      </x:c>
    </x:row>
    <x:row r="4477" spans="1:10">
      <x:c r="A4477" s="1" t="s">
        <x:v>4486</x:v>
      </x:c>
      <x:c r="B4477" s="1">
        <x:f>IFERROR(__xludf.DUMMYFUNCTION("""COMPUTED_VALUE"""),"Lady Falcó")</x:f>
      </x:c>
      <x:c r="C4477" s="1">
        <x:f>IFERROR(__xludf.DUMMYFUNCTION("""COMPUTED_VALUE"""),"1985")</x:f>
      </x:c>
    </x:row>
    <x:row r="4478" spans="1:10">
      <x:c r="A4478" s="1" t="s">
        <x:v>4487</x:v>
      </x:c>
      <x:c r="B4478" s="1">
        <x:f>IFERROR(__xludf.DUMMYFUNCTION("""COMPUTED_VALUE"""),"Lady Hamilton [VOSC]")</x:f>
      </x:c>
      <x:c r="C4478" s="1">
        <x:f>IFERROR(__xludf.DUMMYFUNCTION("""COMPUTED_VALUE"""),"1941")</x:f>
      </x:c>
    </x:row>
    <x:row r="4479" spans="1:10">
      <x:c r="A4479" s="1" t="s">
        <x:v>4488</x:v>
      </x:c>
      <x:c r="B4479" s="1">
        <x:f>IFERROR(__xludf.DUMMYFUNCTION("""COMPUTED_VALUE"""),"Laia")</x:f>
      </x:c>
      <x:c r="C4479" s="1">
        <x:f>IFERROR(__xludf.DUMMYFUNCTION("""COMPUTED_VALUE"""),"1971")</x:f>
      </x:c>
    </x:row>
    <x:row r="4480" spans="1:10">
      <x:c r="A4480" s="1" t="s">
        <x:v>4489</x:v>
      </x:c>
      <x:c r="B4480" s="1">
        <x:f>IFERROR(__xludf.DUMMYFUNCTION("""COMPUTED_VALUE"""),"Laia")</x:f>
      </x:c>
      <x:c r="C4480" s="1">
        <x:f>IFERROR(__xludf.DUMMYFUNCTION("""COMPUTED_VALUE"""),"2016")</x:f>
      </x:c>
    </x:row>
    <x:row r="4481" spans="1:10">
      <x:c r="A4481" s="1" t="s">
        <x:v>4490</x:v>
      </x:c>
      <x:c r="B4481" s="1">
        <x:f>IFERROR(__xludf.DUMMYFUNCTION("""COMPUTED_VALUE"""),"Laietana, 43. El cau de la Bèstia")</x:f>
      </x:c>
      <x:c r="C4481" s="1">
        <x:f>IFERROR(__xludf.DUMMYFUNCTION("""COMPUTED_VALUE"""),"2023")</x:f>
      </x:c>
    </x:row>
    <x:row r="4482" spans="1:10">
      <x:c r="A4482" s="1" t="s">
        <x:v>4491</x:v>
      </x:c>
      <x:c r="B4482" s="1">
        <x:f>IFERROR(__xludf.DUMMYFUNCTION("""COMPUTED_VALUE"""),"Lali Symon")</x:f>
      </x:c>
      <x:c r="C4482" s="1">
        <x:f>IFERROR(__xludf.DUMMYFUNCTION("""COMPUTED_VALUE"""),"2023")</x:f>
      </x:c>
    </x:row>
    <x:row r="4483" spans="1:10">
      <x:c r="A4483" s="1" t="s">
        <x:v>4492</x:v>
      </x:c>
      <x:c r="B4483" s="1">
        <x:f>IFERROR(__xludf.DUMMYFUNCTION("""COMPUTED_VALUE"""),"Lament pel Brexit")</x:f>
      </x:c>
      <x:c r="C4483" s="1">
        <x:f>IFERROR(__xludf.DUMMYFUNCTION("""COMPUTED_VALUE"""),"2024")</x:f>
      </x:c>
    </x:row>
    <x:row r="4484" spans="1:10">
      <x:c r="A4484" s="1" t="s">
        <x:v>4493</x:v>
      </x:c>
      <x:c r="B4484" s="1">
        <x:f>IFERROR(__xludf.DUMMYFUNCTION("""COMPUTED_VALUE"""),"Land of mine. Sota la sorra")</x:f>
      </x:c>
      <x:c r="C4484" s="1">
        <x:f>IFERROR(__xludf.DUMMYFUNCTION("""COMPUTED_VALUE"""),"2015")</x:f>
      </x:c>
    </x:row>
    <x:row r="4485" spans="1:10">
      <x:c r="A4485" s="1" t="s">
        <x:v>4494</x:v>
      </x:c>
      <x:c r="B4485" s="1">
        <x:f>IFERROR(__xludf.DUMMYFUNCTION("""COMPUTED_VALUE"""),"Lantana")</x:f>
      </x:c>
      <x:c r="C4485" s="1">
        <x:f>IFERROR(__xludf.DUMMYFUNCTION("""COMPUTED_VALUE"""),"2001")</x:f>
      </x:c>
    </x:row>
    <x:row r="4486" spans="1:10">
      <x:c r="A4486" s="1" t="s">
        <x:v>4495</x:v>
      </x:c>
      <x:c r="B4486" s="1">
        <x:f>IFERROR(__xludf.DUMMYFUNCTION("""COMPUTED_VALUE"""),"Larry Crowne")</x:f>
      </x:c>
      <x:c r="C4486" s="1">
        <x:f>IFERROR(__xludf.DUMMYFUNCTION("""COMPUTED_VALUE"""),"2011")</x:f>
      </x:c>
    </x:row>
    <x:row r="4487" spans="1:10">
      <x:c r="A4487" s="1" t="s">
        <x:v>4496</x:v>
      </x:c>
      <x:c r="B4487" s="1">
        <x:f>IFERROR(__xludf.DUMMYFUNCTION("""COMPUTED_VALUE"""),"Las cloacas de Interior")</x:f>
      </x:c>
      <x:c r="C4487" s="1">
        <x:f>IFERROR(__xludf.DUMMYFUNCTION("""COMPUTED_VALUE"""),"2017")</x:f>
      </x:c>
    </x:row>
    <x:row r="4488" spans="1:10">
      <x:c r="A4488" s="1" t="s">
        <x:v>4497</x:v>
      </x:c>
      <x:c r="B4488" s="1">
        <x:f>IFERROR(__xludf.DUMMYFUNCTION("""COMPUTED_VALUE"""),"Lasa eta Zabala [VOSC]")</x:f>
      </x:c>
      <x:c r="C4488" s="1">
        <x:f>IFERROR(__xludf.DUMMYFUNCTION("""COMPUTED_VALUE"""),"2014")</x:f>
      </x:c>
    </x:row>
    <x:row r="4489" spans="1:10">
      <x:c r="A4489" s="1" t="s">
        <x:v>4498</x:v>
      </x:c>
      <x:c r="B4489" s="1">
        <x:f>IFERROR(__xludf.DUMMYFUNCTION("""COMPUTED_VALUE"""),"Lassie")</x:f>
      </x:c>
      <x:c r="C4489" s="1">
        <x:f>IFERROR(__xludf.DUMMYFUNCTION("""COMPUTED_VALUE"""),"2005")</x:f>
      </x:c>
    </x:row>
    <x:row r="4490" spans="1:10">
      <x:c r="A4490" s="1" t="s">
        <x:v>4499</x:v>
      </x:c>
      <x:c r="B4490" s="1">
        <x:f>IFERROR(__xludf.DUMMYFUNCTION("""COMPUTED_VALUE"""),"Lassie Una nova aventura")</x:f>
      </x:c>
      <x:c r="C4490" s="1">
        <x:f>IFERROR(__xludf.DUMMYFUNCTION("""COMPUTED_VALUE"""),"2023")</x:f>
      </x:c>
    </x:row>
    <x:row r="4491" spans="1:10">
      <x:c r="A4491" s="1" t="s">
        <x:v>4500</x:v>
      </x:c>
      <x:c r="B4491" s="1">
        <x:f>IFERROR(__xludf.DUMMYFUNCTION("""COMPUTED_VALUE"""),"Last Days")</x:f>
      </x:c>
      <x:c r="C4491" s="1">
        <x:f>IFERROR(__xludf.DUMMYFUNCTION("""COMPUTED_VALUE"""),"2005")</x:f>
      </x:c>
    </x:row>
    <x:row r="4492" spans="1:10">
      <x:c r="A4492" s="1" t="s">
        <x:v>4501</x:v>
      </x:c>
      <x:c r="B4492" s="1">
        <x:f>IFERROR(__xludf.DUMMYFUNCTION("""COMPUTED_VALUE"""),"Laura")</x:f>
      </x:c>
      <x:c r="C4492" s="1">
        <x:f>IFERROR(__xludf.DUMMYFUNCTION("""COMPUTED_VALUE"""),"1944")</x:f>
      </x:c>
    </x:row>
    <x:row r="4493" spans="1:10">
      <x:c r="A4493" s="1" t="s">
        <x:v>4502</x:v>
      </x:c>
      <x:c r="B4493" s="1">
        <x:f>IFERROR(__xludf.DUMMYFUNCTION("""COMPUTED_VALUE"""),"Laura està sola")</x:f>
      </x:c>
      <x:c r="C4493" s="1">
        <x:f>IFERROR(__xludf.DUMMYFUNCTION("""COMPUTED_VALUE"""),"2003")</x:f>
      </x:c>
    </x:row>
    <x:row r="4494" spans="1:10">
      <x:c r="A4494" s="1" t="s">
        <x:v>4503</x:v>
      </x:c>
      <x:c r="B4494" s="1">
        <x:f>IFERROR(__xludf.DUMMYFUNCTION("""COMPUTED_VALUE"""),"Lava")</x:f>
      </x:c>
      <x:c r="C4494" s="1">
        <x:f>IFERROR(__xludf.DUMMYFUNCTION("""COMPUTED_VALUE"""),"2014")</x:f>
      </x:c>
    </x:row>
    <x:row r="4495" spans="1:10">
      <x:c r="A4495" s="1" t="s">
        <x:v>4504</x:v>
      </x:c>
      <x:c r="B4495" s="1">
        <x:f>IFERROR(__xludf.DUMMYFUNCTION("""COMPUTED_VALUE"""),"Lawrence d'Aràbia")</x:f>
      </x:c>
      <x:c r="C4495" s="1">
        <x:f>IFERROR(__xludf.DUMMYFUNCTION("""COMPUTED_VALUE"""),"1962")</x:f>
      </x:c>
    </x:row>
    <x:row r="4496" spans="1:10">
      <x:c r="A4496" s="1" t="s">
        <x:v>4505</x:v>
      </x:c>
      <x:c r="B4496" s="1">
        <x:f>IFERROR(__xludf.DUMMYFUNCTION("""COMPUTED_VALUE"""),"Le Havre")</x:f>
      </x:c>
      <x:c r="C4496" s="1">
        <x:f>IFERROR(__xludf.DUMMYFUNCTION("""COMPUTED_VALUE"""),"2011")</x:f>
      </x:c>
    </x:row>
    <x:row r="4497" spans="1:10">
      <x:c r="A4497" s="1" t="s">
        <x:v>4506</x:v>
      </x:c>
      <x:c r="B4497" s="1">
        <x:f>IFERROR(__xludf.DUMMYFUNCTION("""COMPUTED_VALUE"""),"Le Week-End")</x:f>
      </x:c>
      <x:c r="C4497" s="1">
        <x:f>IFERROR(__xludf.DUMMYFUNCTION("""COMPUTED_VALUE"""),"2013")</x:f>
      </x:c>
    </x:row>
    <x:row r="4498" spans="1:10">
      <x:c r="A4498" s="1" t="s">
        <x:v>4507</x:v>
      </x:c>
      <x:c r="B4498" s="1">
        <x:f>IFERROR(__xludf.DUMMYFUNCTION("""COMPUTED_VALUE"""),"Led Zeppelin - Jimmy Page &amp; Robert Plant - Unledded")</x:f>
      </x:c>
      <x:c r="C4498" s="1">
        <x:f>IFERROR(__xludf.DUMMYFUNCTION("""COMPUTED_VALUE"""),"1994")</x:f>
      </x:c>
    </x:row>
    <x:row r="4499" spans="1:10">
      <x:c r="A4499" s="1" t="s">
        <x:v>4508</x:v>
      </x:c>
      <x:c r="B4499" s="1">
        <x:f>IFERROR(__xludf.DUMMYFUNCTION("""COMPUTED_VALUE"""),"Legion")</x:f>
      </x:c>
      <x:c r="C4499" s="1">
        <x:f>IFERROR(__xludf.DUMMYFUNCTION("""COMPUTED_VALUE"""),"2010")</x:f>
      </x:c>
    </x:row>
    <x:row r="4500" spans="1:10">
      <x:c r="A4500" s="1" t="s">
        <x:v>4509</x:v>
      </x:c>
      <x:c r="B4500" s="1">
        <x:f>IFERROR(__xludf.DUMMYFUNCTION("""COMPUTED_VALUE"""),"Lego: Les aventures de Clutch Powers")</x:f>
      </x:c>
      <x:c r="C4500" s="1">
        <x:f>IFERROR(__xludf.DUMMYFUNCTION("""COMPUTED_VALUE"""),"2010")</x:f>
      </x:c>
    </x:row>
    <x:row r="4501" spans="1:10">
      <x:c r="A4501" s="1" t="s">
        <x:v>4510</x:v>
      </x:c>
      <x:c r="B4501" s="1">
        <x:f>IFERROR(__xludf.DUMMYFUNCTION("""COMPUTED_VALUE"""),"Leo da Vinci, missió Mona Lisa")</x:f>
      </x:c>
      <x:c r="C4501" s="1">
        <x:f>IFERROR(__xludf.DUMMYFUNCTION("""COMPUTED_VALUE"""),"2018")</x:f>
      </x:c>
    </x:row>
    <x:row r="4502" spans="1:10">
      <x:c r="A4502" s="1" t="s">
        <x:v>4511</x:v>
      </x:c>
      <x:c r="B4502" s="1">
        <x:f>IFERROR(__xludf.DUMMYFUNCTION("""COMPUTED_VALUE"""),"Leonard Cohen - Live on London [VOSC]")</x:f>
      </x:c>
      <x:c r="C4502" s="1">
        <x:f>IFERROR(__xludf.DUMMYFUNCTION("""COMPUTED_VALUE"""),"2008")</x:f>
      </x:c>
    </x:row>
    <x:row r="4503" spans="1:10">
      <x:c r="A4503" s="1" t="s">
        <x:v>4512</x:v>
      </x:c>
      <x:c r="B4503" s="1">
        <x:f>IFERROR(__xludf.DUMMYFUNCTION("""COMPUTED_VALUE"""),"Les 2 vides d'Andrés Rabadán")</x:f>
      </x:c>
      <x:c r="C4503" s="1">
        <x:f>IFERROR(__xludf.DUMMYFUNCTION("""COMPUTED_VALUE"""),"2008")</x:f>
      </x:c>
    </x:row>
    <x:row r="4504" spans="1:10">
      <x:c r="A4504" s="1" t="s">
        <x:v>4513</x:v>
      </x:c>
      <x:c r="B4504" s="1">
        <x:f>IFERROR(__xludf.DUMMYFUNCTION("""COMPUTED_VALUE"""),"Les amigues de l'Àgata")</x:f>
      </x:c>
      <x:c r="C4504" s="1">
        <x:f>IFERROR(__xludf.DUMMYFUNCTION("""COMPUTED_VALUE"""),"2015")</x:f>
      </x:c>
    </x:row>
    <x:row r="4505" spans="1:10">
      <x:c r="A4505" s="1" t="s">
        <x:v>4514</x:v>
      </x:c>
      <x:c r="B4505" s="1">
        <x:f>IFERROR(__xludf.DUMMYFUNCTION("""COMPUTED_VALUE"""),"Les ànimes perdudes de Síria")</x:f>
      </x:c>
      <x:c r="C4505" s="1">
        <x:f>IFERROR(__xludf.DUMMYFUNCTION("""COMPUTED_VALUE"""),"2023")</x:f>
      </x:c>
    </x:row>
    <x:row r="4506" spans="1:10">
      <x:c r="A4506" s="1" t="s">
        <x:v>4515</x:v>
      </x:c>
      <x:c r="B4506" s="1">
        <x:f>IFERROR(__xludf.DUMMYFUNCTION("""COMPUTED_VALUE"""),"Les aparences")</x:f>
      </x:c>
      <x:c r="C4506" s="1">
        <x:f>IFERROR(__xludf.DUMMYFUNCTION("""COMPUTED_VALUE"""),"2020")</x:f>
      </x:c>
    </x:row>
    <x:row r="4507" spans="1:10">
      <x:c r="A4507" s="1" t="s">
        <x:v>4516</x:v>
      </x:c>
      <x:c r="B4507" s="1">
        <x:f>IFERROR(__xludf.DUMMYFUNCTION("""COMPUTED_VALUE"""),"Les armes del diable")</x:f>
      </x:c>
      <x:c r="C4507" s="1">
        <x:f>IFERROR(__xludf.DUMMYFUNCTION("""COMPUTED_VALUE"""),"1968")</x:f>
      </x:c>
    </x:row>
    <x:row r="4508" spans="1:10">
      <x:c r="A4508" s="1" t="s">
        <x:v>4517</x:v>
      </x:c>
      <x:c r="B4508" s="1">
        <x:f>IFERROR(__xludf.DUMMYFUNCTION("""COMPUTED_VALUE"""),"Les assassines")</x:f>
      </x:c>
      <x:c r="C4508" s="1">
        <x:f>IFERROR(__xludf.DUMMYFUNCTION("""COMPUTED_VALUE"""),"2020")</x:f>
      </x:c>
    </x:row>
    <x:row r="4509" spans="1:10">
      <x:c r="A4509" s="1" t="s">
        <x:v>4518</x:v>
      </x:c>
      <x:c r="B4509" s="1">
        <x:f>IFERROR(__xludf.DUMMYFUNCTION("""COMPUTED_VALUE"""),"Les aventures de Rocky i Bullwinkle")</x:f>
      </x:c>
      <x:c r="C4509" s="1">
        <x:f>IFERROR(__xludf.DUMMYFUNCTION("""COMPUTED_VALUE"""),"2000")</x:f>
      </x:c>
    </x:row>
    <x:row r="4510" spans="1:10">
      <x:c r="A4510" s="1" t="s">
        <x:v>4519</x:v>
      </x:c>
      <x:c r="B4510" s="1">
        <x:f>IFERROR(__xludf.DUMMYFUNCTION("""COMPUTED_VALUE"""),"Les aventures de Sammy: Un viatge extraordinari")</x:f>
      </x:c>
      <x:c r="C4510" s="1">
        <x:f>IFERROR(__xludf.DUMMYFUNCTION("""COMPUTED_VALUE"""),"2010")</x:f>
      </x:c>
    </x:row>
    <x:row r="4511" spans="1:10">
      <x:c r="A4511" s="1" t="s">
        <x:v>4520</x:v>
      </x:c>
      <x:c r="B4511" s="1">
        <x:f>IFERROR(__xludf.DUMMYFUNCTION("""COMPUTED_VALUE"""),"Les aventures de Sharkboy i Lavagirl")</x:f>
      </x:c>
      <x:c r="C4511" s="1">
        <x:f>IFERROR(__xludf.DUMMYFUNCTION("""COMPUTED_VALUE"""),"2005")</x:f>
      </x:c>
    </x:row>
    <x:row r="4512" spans="1:10">
      <x:c r="A4512" s="1" t="s">
        <x:v>4521</x:v>
      </x:c>
      <x:c r="B4512" s="1">
        <x:f>IFERROR(__xludf.DUMMYFUNCTION("""COMPUTED_VALUE"""),"Les aventures de Tadeu Jones")</x:f>
      </x:c>
      <x:c r="C4512" s="1">
        <x:f>IFERROR(__xludf.DUMMYFUNCTION("""COMPUTED_VALUE"""),"2012")</x:f>
      </x:c>
    </x:row>
    <x:row r="4513" spans="1:10">
      <x:c r="A4513" s="1" t="s">
        <x:v>4522</x:v>
      </x:c>
      <x:c r="B4513" s="1">
        <x:f>IFERROR(__xludf.DUMMYFUNCTION("""COMPUTED_VALUE"""),"Les aventures de Tintín i el secret de l'Unicorn")</x:f>
      </x:c>
      <x:c r="C4513" s="1">
        <x:f>IFERROR(__xludf.DUMMYFUNCTION("""COMPUTED_VALUE"""),"2011")</x:f>
      </x:c>
    </x:row>
    <x:row r="4514" spans="1:10">
      <x:c r="A4514" s="1" t="s">
        <x:v>4523</x:v>
      </x:c>
      <x:c r="B4514" s="1">
        <x:f>IFERROR(__xludf.DUMMYFUNCTION("""COMPUTED_VALUE"""),"Les aventures del capità Blood")</x:f>
      </x:c>
      <x:c r="C4514" s="1">
        <x:f>IFERROR(__xludf.DUMMYFUNCTION("""COMPUTED_VALUE"""),"1950")</x:f>
      </x:c>
    </x:row>
    <x:row r="4515" spans="1:10">
      <x:c r="A4515" s="1" t="s">
        <x:v>4524</x:v>
      </x:c>
      <x:c r="B4515" s="1">
        <x:f>IFERROR(__xludf.DUMMYFUNCTION("""COMPUTED_VALUE"""),"Les aventures del Petit Fantasma")</x:f>
      </x:c>
      <x:c r="C4515" s="1">
        <x:f>IFERROR(__xludf.DUMMYFUNCTION("""COMPUTED_VALUE"""),"2013")</x:f>
      </x:c>
    </x:row>
    <x:row r="4516" spans="1:10">
      <x:c r="A4516" s="1" t="s">
        <x:v>4525</x:v>
      </x:c>
      <x:c r="B4516" s="1">
        <x:f>IFERROR(__xludf.DUMMYFUNCTION("""COMPUTED_VALUE"""),"Les aventures dels Cinc")</x:f>
      </x:c>
      <x:c r="C4516" s="1">
        <x:f>IFERROR(__xludf.DUMMYFUNCTION("""COMPUTED_VALUE"""),"2012")</x:f>
      </x:c>
    </x:row>
    <x:row r="4517" spans="1:10">
      <x:c r="A4517" s="1" t="s">
        <x:v>4526</x:v>
      </x:c>
      <x:c r="B4517" s="1">
        <x:f>IFERROR(__xludf.DUMMYFUNCTION("""COMPUTED_VALUE"""),"Les aventures extraordinàries d'Adèle Blanc-Sec")</x:f>
      </x:c>
      <x:c r="C4517" s="1">
        <x:f>IFERROR(__xludf.DUMMYFUNCTION("""COMPUTED_VALUE"""),"2010")</x:f>
      </x:c>
    </x:row>
    <x:row r="4518" spans="1:10">
      <x:c r="A4518" s="1" t="s">
        <x:v>4527</x:v>
      </x:c>
      <x:c r="B4518" s="1">
        <x:f>IFERROR(__xludf.DUMMYFUNCTION("""COMPUTED_VALUE"""),"Les àvies de Txernòbil")</x:f>
      </x:c>
      <x:c r="C4518" s="1">
        <x:f>IFERROR(__xludf.DUMMYFUNCTION("""COMPUTED_VALUE"""),"2015")</x:f>
      </x:c>
    </x:row>
    <x:row r="4519" spans="1:10">
      <x:c r="A4519" s="1" t="s">
        <x:v>4528</x:v>
      </x:c>
      <x:c r="B4519" s="1">
        <x:f>IFERROR(__xludf.DUMMYFUNCTION("""COMPUTED_VALUE"""),"Les boges, boges aventures de Robin Hood")</x:f>
      </x:c>
      <x:c r="C4519" s="1">
        <x:f>IFERROR(__xludf.DUMMYFUNCTION("""COMPUTED_VALUE"""),"1993")</x:f>
      </x:c>
    </x:row>
    <x:row r="4520" spans="1:10">
      <x:c r="A4520" s="1" t="s">
        <x:v>4529</x:v>
      </x:c>
      <x:c r="B4520" s="1">
        <x:f>IFERROR(__xludf.DUMMYFUNCTION("""COMPUTED_VALUE"""),"Les bones companyies")</x:f>
      </x:c>
      <x:c r="C4520" s="1">
        <x:f>IFERROR(__xludf.DUMMYFUNCTION("""COMPUTED_VALUE"""),"2023")</x:f>
      </x:c>
    </x:row>
    <x:row r="4521" spans="1:10">
      <x:c r="A4521" s="1" t="s">
        <x:v>4530</x:v>
      </x:c>
      <x:c r="B4521" s="1">
        <x:f>IFERROR(__xludf.DUMMYFUNCTION("""COMPUTED_VALUE"""),"Les bostonianes")</x:f>
      </x:c>
      <x:c r="C4521" s="1">
        <x:f>IFERROR(__xludf.DUMMYFUNCTION("""COMPUTED_VALUE"""),"1984")</x:f>
      </x:c>
    </x:row>
    <x:row r="4522" spans="1:10">
      <x:c r="A4522" s="1" t="s">
        <x:v>4531</x:v>
      </x:c>
      <x:c r="B4522" s="1">
        <x:f>IFERROR(__xludf.DUMMYFUNCTION("""COMPUTED_VALUE"""),"Les bruixes d'Eastwick")</x:f>
      </x:c>
      <x:c r="C4522" s="1">
        <x:f>IFERROR(__xludf.DUMMYFUNCTION("""COMPUTED_VALUE"""),"1987")</x:f>
      </x:c>
    </x:row>
    <x:row r="4523" spans="1:10">
      <x:c r="A4523" s="1" t="s">
        <x:v>4532</x:v>
      </x:c>
      <x:c r="B4523" s="1">
        <x:f>IFERROR(__xludf.DUMMYFUNCTION("""COMPUTED_VALUE"""),"Les caixes de Stanley Kubrick")</x:f>
      </x:c>
      <x:c r="C4523" s="1">
        <x:f>IFERROR(__xludf.DUMMYFUNCTION("""COMPUTED_VALUE"""),"2008")</x:f>
      </x:c>
    </x:row>
    <x:row r="4524" spans="1:10">
      <x:c r="A4524" s="1" t="s">
        <x:v>4533</x:v>
      </x:c>
      <x:c r="B4524" s="1">
        <x:f>IFERROR(__xludf.DUMMYFUNCTION("""COMPUTED_VALUE"""),"Les combattants")</x:f>
      </x:c>
      <x:c r="C4524" s="1">
        <x:f>IFERROR(__xludf.DUMMYFUNCTION("""COMPUTED_VALUE"""),"2014")</x:f>
      </x:c>
    </x:row>
    <x:row r="4525" spans="1:10">
      <x:c r="A4525" s="1" t="s">
        <x:v>4534</x:v>
      </x:c>
      <x:c r="B4525" s="1">
        <x:f>IFERROR(__xludf.DUMMYFUNCTION("""COMPUTED_VALUE"""),"Les conseqüències")</x:f>
      </x:c>
      <x:c r="C4525" s="1">
        <x:f>IFERROR(__xludf.DUMMYFUNCTION("""COMPUTED_VALUE"""),"2021")</x:f>
      </x:c>
    </x:row>
    <x:row r="4526" spans="1:10">
      <x:c r="A4526" s="1" t="s">
        <x:v>4535</x:v>
      </x:c>
      <x:c r="B4526" s="1">
        <x:f>IFERROR(__xludf.DUMMYFUNCTION("""COMPUTED_VALUE"""),"Les coses excepcionals")</x:f>
      </x:c>
      <x:c r="C4526" s="1">
        <x:f>IFERROR(__xludf.DUMMYFUNCTION("""COMPUTED_VALUE"""),"2025")</x:f>
      </x:c>
    </x:row>
    <x:row r="4527" spans="1:10">
      <x:c r="A4527" s="1" t="s">
        <x:v>4536</x:v>
      </x:c>
      <x:c r="B4527" s="1">
        <x:f>IFERROR(__xludf.DUMMYFUNCTION("""COMPUTED_VALUE"""),"Les coses senzilles")</x:f>
      </x:c>
      <x:c r="C4527" s="1">
        <x:f>IFERROR(__xludf.DUMMYFUNCTION("""COMPUTED_VALUE"""),"2023")</x:f>
      </x:c>
    </x:row>
    <x:row r="4528" spans="1:10">
      <x:c r="A4528" s="1" t="s">
        <x:v>4537</x:v>
      </x:c>
      <x:c r="B4528" s="1">
        <x:f>IFERROR(__xludf.DUMMYFUNCTION("""COMPUTED_VALUE"""),"Les cròniques de Blancaneu: El caçador i la reina del gel")</x:f>
      </x:c>
      <x:c r="C4528" s="1">
        <x:f>IFERROR(__xludf.DUMMYFUNCTION("""COMPUTED_VALUE"""),"2016")</x:f>
      </x:c>
    </x:row>
    <x:row r="4529" spans="1:10">
      <x:c r="A4529" s="1" t="s">
        <x:v>4538</x:v>
      </x:c>
      <x:c r="B4529" s="1">
        <x:f>IFERROR(__xludf.DUMMYFUNCTION("""COMPUTED_VALUE"""),"Les cròniques de Spiderwick")</x:f>
      </x:c>
      <x:c r="C4529" s="1">
        <x:f>IFERROR(__xludf.DUMMYFUNCTION("""COMPUTED_VALUE"""),"2008")</x:f>
      </x:c>
    </x:row>
    <x:row r="4530" spans="1:10">
      <x:c r="A4530" s="1" t="s">
        <x:v>4539</x:v>
      </x:c>
      <x:c r="B4530" s="1">
        <x:f>IFERROR(__xludf.DUMMYFUNCTION("""COMPUTED_VALUE"""),"Les dents del diable")</x:f>
      </x:c>
      <x:c r="C4530" s="1">
        <x:f>IFERROR(__xludf.DUMMYFUNCTION("""COMPUTED_VALUE"""),"1960")</x:f>
      </x:c>
    </x:row>
    <x:row r="4531" spans="1:10">
      <x:c r="A4531" s="1" t="s">
        <x:v>4540</x:v>
      </x:c>
      <x:c r="B4531" s="1">
        <x:f>IFERROR(__xludf.DUMMYFUNCTION("""COMPUTED_VALUE"""),"Les desaparegudes")</x:f>
      </x:c>
      <x:c r="C4531" s="1">
        <x:f>IFERROR(__xludf.DUMMYFUNCTION("""COMPUTED_VALUE"""),"2017")</x:f>
      </x:c>
    </x:row>
    <x:row r="4532" spans="1:10">
      <x:c r="A4532" s="1" t="s">
        <x:v>4541</x:v>
      </x:c>
      <x:c r="B4532" s="1">
        <x:f>IFERROR(__xludf.DUMMYFUNCTION("""COMPUTED_VALUE"""),"Les desaparicions")</x:f>
      </x:c>
      <x:c r="C4532" s="1">
        <x:f>IFERROR(__xludf.DUMMYFUNCTION("""COMPUTED_VALUE"""),"2024")</x:f>
      </x:c>
    </x:row>
    <x:row r="4533" spans="1:10">
      <x:c r="A4533" s="1" t="s">
        <x:v>4542</x:v>
      </x:c>
      <x:c r="B4533" s="1">
        <x:f>IFERROR(__xludf.DUMMYFUNCTION("""COMPUTED_VALUE"""),"Les diabòliques")</x:f>
      </x:c>
      <x:c r="C4533" s="1">
        <x:f>IFERROR(__xludf.DUMMYFUNCTION("""COMPUTED_VALUE"""),"1955")</x:f>
      </x:c>
    </x:row>
    <x:row r="4534" spans="1:10">
      <x:c r="A4534" s="1" t="s">
        <x:v>4543</x:v>
      </x:c>
      <x:c r="B4534" s="1">
        <x:f>IFERROR(__xludf.DUMMYFUNCTION("""COMPUTED_VALUE"""),"Les distàncies")</x:f>
      </x:c>
      <x:c r="C4534" s="1">
        <x:f>IFERROR(__xludf.DUMMYFUNCTION("""COMPUTED_VALUE"""),"2018")</x:f>
      </x:c>
    </x:row>
    <x:row r="4535" spans="1:10">
      <x:c r="A4535" s="1" t="s">
        <x:v>4544</x:v>
      </x:c>
      <x:c r="B4535" s="1">
        <x:f>IFERROR(__xludf.DUMMYFUNCTION("""COMPUTED_VALUE"""),"Les dones del sisè pis")</x:f>
      </x:c>
      <x:c r="C4535" s="1">
        <x:f>IFERROR(__xludf.DUMMYFUNCTION("""COMPUTED_VALUE"""),"2010")</x:f>
      </x:c>
    </x:row>
    <x:row r="4536" spans="1:10">
      <x:c r="A4536" s="1" t="s">
        <x:v>4545</x:v>
      </x:c>
      <x:c r="B4536" s="1">
        <x:f>IFERROR(__xludf.DUMMYFUNCTION("""COMPUTED_VALUE"""),"Les dones perfectes")</x:f>
      </x:c>
      <x:c r="C4536" s="1">
        <x:f>IFERROR(__xludf.DUMMYFUNCTION("""COMPUTED_VALUE"""),"2004")</x:f>
      </x:c>
    </x:row>
    <x:row r="4537" spans="1:10">
      <x:c r="A4537" s="1" t="s">
        <x:v>4546</x:v>
      </x:c>
      <x:c r="B4537" s="1">
        <x:f>IFERROR(__xludf.DUMMYFUNCTION("""COMPUTED_VALUE"""),"Les dues cares de la justícia")</x:f>
      </x:c>
      <x:c r="C4537" s="1">
        <x:f>IFERROR(__xludf.DUMMYFUNCTION("""COMPUTED_VALUE"""),"2023")</x:f>
      </x:c>
    </x:row>
    <x:row r="4538" spans="1:10">
      <x:c r="A4538" s="1" t="s">
        <x:v>4547</x:v>
      </x:c>
      <x:c r="B4538" s="1">
        <x:f>IFERROR(__xludf.DUMMYFUNCTION("""COMPUTED_VALUE"""),"Les dues nits d'ahir")</x:f>
      </x:c>
      <x:c r="C4538" s="1">
        <x:f>IFERROR(__xludf.DUMMYFUNCTION("""COMPUTED_VALUE"""),"2020")</x:f>
      </x:c>
    </x:row>
    <x:row r="4539" spans="1:10">
      <x:c r="A4539" s="1" t="s">
        <x:v>4548</x:v>
      </x:c>
      <x:c r="B4539" s="1">
        <x:f>IFERROR(__xludf.DUMMYFUNCTION("""COMPUTED_VALUE"""),"Les dues vides d'Audrey Rose")</x:f>
      </x:c>
      <x:c r="C4539" s="1">
        <x:f>IFERROR(__xludf.DUMMYFUNCTION("""COMPUTED_VALUE"""),"1977")</x:f>
      </x:c>
    </x:row>
    <x:row r="4540" spans="1:10">
      <x:c r="A4540" s="1" t="s">
        <x:v>4549</x:v>
      </x:c>
      <x:c r="B4540" s="1">
        <x:f>IFERROR(__xludf.DUMMYFUNCTION("""COMPUTED_VALUE"""),"Les eleccions")</x:f>
      </x:c>
      <x:c r="C4540" s="1">
        <x:f>IFERROR(__xludf.DUMMYFUNCTION("""COMPUTED_VALUE"""),"2005")</x:f>
      </x:c>
    </x:row>
    <x:row r="4541" spans="1:10">
      <x:c r="A4541" s="1" t="s">
        <x:v>4550</x:v>
      </x:c>
      <x:c r="B4541" s="1">
        <x:f>IFERROR(__xludf.DUMMYFUNCTION("""COMPUTED_VALUE"""),"Les espies de Churchill")</x:f>
      </x:c>
      <x:c r="C4541" s="1">
        <x:f>IFERROR(__xludf.DUMMYFUNCTION("""COMPUTED_VALUE"""),"2019")</x:f>
      </x:c>
    </x:row>
    <x:row r="4542" spans="1:10">
      <x:c r="A4542" s="1" t="s">
        <x:v>4551</x:v>
      </x:c>
      <x:c r="B4542" s="1">
        <x:f>IFERROR(__xludf.DUMMYFUNCTION("""COMPUTED_VALUE"""),"Les estacions")</x:f>
      </x:c>
      <x:c r="C4542" s="1">
        <x:f>IFERROR(__xludf.DUMMYFUNCTION("""COMPUTED_VALUE"""),"2015")</x:f>
      </x:c>
    </x:row>
    <x:row r="4543" spans="1:10">
      <x:c r="A4543" s="1" t="s">
        <x:v>4552</x:v>
      </x:c>
      <x:c r="B4543" s="1">
        <x:f>IFERROR(__xludf.DUMMYFUNCTION("""COMPUTED_VALUE"""),"Les estacions de l'amor")</x:f>
      </x:c>
      <x:c r="C4543" s="1">
        <x:f>IFERROR(__xludf.DUMMYFUNCTION("""COMPUTED_VALUE"""),"2012")</x:f>
      </x:c>
    </x:row>
    <x:row r="4544" spans="1:10">
      <x:c r="A4544" s="1" t="s">
        <x:v>4553</x:v>
      </x:c>
      <x:c r="B4544" s="1">
        <x:f>IFERROR(__xludf.DUMMYFUNCTION("""COMPUTED_VALUE"""),"Les exxcursionistes calentes")</x:f>
      </x:c>
      <x:c r="C4544" s="1">
        <x:f>IFERROR(__xludf.DUMMYFUNCTION("""COMPUTED_VALUE"""),"1999")</x:f>
      </x:c>
    </x:row>
    <x:row r="4545" spans="1:10">
      <x:c r="A4545" s="1" t="s">
        <x:v>4554</x:v>
      </x:c>
      <x:c r="B4545" s="1">
        <x:f>IFERROR(__xludf.DUMMYFUNCTION("""COMPUTED_VALUE"""),"Les fantasies")</x:f>
      </x:c>
      <x:c r="C4545" s="1">
        <x:f>IFERROR(__xludf.DUMMYFUNCTION("""COMPUTED_VALUE"""),"2021")</x:f>
      </x:c>
    </x:row>
    <x:row r="4546" spans="1:10">
      <x:c r="A4546" s="1" t="s">
        <x:v>4555</x:v>
      </x:c>
      <x:c r="B4546" s="1">
        <x:f>IFERROR(__xludf.DUMMYFUNCTION("""COMPUTED_VALUE"""),"Les filles de Mohamed")</x:f>
      </x:c>
      <x:c r="C4546" s="1">
        <x:f>IFERROR(__xludf.DUMMYFUNCTION("""COMPUTED_VALUE"""),"2004")</x:f>
      </x:c>
    </x:row>
    <x:row r="4547" spans="1:10">
      <x:c r="A4547" s="1" t="s">
        <x:v>4556</x:v>
      </x:c>
      <x:c r="B4547" s="1">
        <x:f>IFERROR(__xludf.DUMMYFUNCTION("""COMPUTED_VALUE"""),"Les filles del Reich")</x:f>
      </x:c>
      <x:c r="C4547" s="1">
        <x:f>IFERROR(__xludf.DUMMYFUNCTION("""COMPUTED_VALUE"""),"2020")</x:f>
      </x:c>
    </x:row>
    <x:row r="4548" spans="1:10">
      <x:c r="A4548" s="1" t="s">
        <x:v>4557</x:v>
      </x:c>
      <x:c r="B4548" s="1">
        <x:f>IFERROR(__xludf.DUMMYFUNCTION("""COMPUTED_VALUE"""),"Les germanes Bolena")</x:f>
      </x:c>
      <x:c r="C4548" s="1">
        <x:f>IFERROR(__xludf.DUMMYFUNCTION("""COMPUTED_VALUE"""),"2008")</x:f>
      </x:c>
    </x:row>
    <x:row r="4549" spans="1:10">
      <x:c r="A4549" s="1" t="s">
        <x:v>4558</x:v>
      </x:c>
      <x:c r="B4549" s="1">
        <x:f>IFERROR(__xludf.DUMMYFUNCTION("""COMPUTED_VALUE"""),"Les germanes enfadades")</x:f>
      </x:c>
      <x:c r="C4549" s="1">
        <x:f>IFERROR(__xludf.DUMMYFUNCTION("""COMPUTED_VALUE"""),"2004")</x:f>
      </x:c>
    </x:row>
    <x:row r="4550" spans="1:10">
      <x:c r="A4550" s="1" t="s">
        <x:v>4559</x:v>
      </x:c>
      <x:c r="B4550" s="1">
        <x:f>IFERROR(__xludf.DUMMYFUNCTION("""COMPUTED_VALUE"""),"Les germanes Munekata [VOSC]")</x:f>
      </x:c>
      <x:c r="C4550" s="1">
        <x:f>IFERROR(__xludf.DUMMYFUNCTION("""COMPUTED_VALUE"""),"1950")</x:f>
      </x:c>
    </x:row>
    <x:row r="4551" spans="1:10">
      <x:c r="A4551" s="1" t="s">
        <x:v>4560</x:v>
      </x:c>
      <x:c r="B4551" s="1">
        <x:f>IFERROR(__xludf.DUMMYFUNCTION("""COMPUTED_VALUE"""),"Les guardianes")</x:f>
      </x:c>
      <x:c r="C4551" s="1">
        <x:f>IFERROR(__xludf.DUMMYFUNCTION("""COMPUTED_VALUE"""),"2017")</x:f>
      </x:c>
    </x:row>
    <x:row r="4552" spans="1:10">
      <x:c r="A4552" s="1" t="s">
        <x:v>4561</x:v>
      </x:c>
      <x:c r="B4552" s="1">
        <x:f>IFERROR(__xludf.DUMMYFUNCTION("""COMPUTED_VALUE"""),"Les Hereves")</x:f>
      </x:c>
      <x:c r="C4552" s="1">
        <x:f>IFERROR(__xludf.DUMMYFUNCTION("""COMPUTED_VALUE"""),"2021")</x:f>
      </x:c>
    </x:row>
    <x:row r="4553" spans="1:10">
      <x:c r="A4553" s="1" t="s">
        <x:v>4562</x:v>
      </x:c>
      <x:c r="B4553" s="1">
        <x:f>IFERROR(__xludf.DUMMYFUNCTION("""COMPUTED_VALUE"""),"Les hores")</x:f>
      </x:c>
      <x:c r="C4553" s="1">
        <x:f>IFERROR(__xludf.DUMMYFUNCTION("""COMPUTED_VALUE"""),"2002")</x:f>
      </x:c>
    </x:row>
    <x:row r="4554" spans="1:10">
      <x:c r="A4554" s="1" t="s">
        <x:v>4563</x:v>
      </x:c>
      <x:c r="B4554" s="1">
        <x:f>IFERROR(__xludf.DUMMYFUNCTION("""COMPUTED_VALUE"""),"Les invisibles")</x:f>
      </x:c>
      <x:c r="C4554" s="1">
        <x:f>IFERROR(__xludf.DUMMYFUNCTION("""COMPUTED_VALUE"""),"2018")</x:f>
      </x:c>
    </x:row>
    <x:row r="4555" spans="1:10">
      <x:c r="A4555" s="1" t="s">
        <x:v>4564</x:v>
      </x:c>
      <x:c r="B4555" s="1">
        <x:f>IFERROR(__xludf.DUMMYFUNCTION("""COMPUTED_VALUE"""),"Les joies de l'Holocaust")</x:f>
      </x:c>
      <x:c r="C4555" s="1">
        <x:f>IFERROR(__xludf.DUMMYFUNCTION("""COMPUTED_VALUE"""),"2023")</x:f>
      </x:c>
    </x:row>
    <x:row r="4556" spans="1:10">
      <x:c r="A4556" s="1" t="s">
        <x:v>4565</x:v>
      </x:c>
      <x:c r="B4556" s="1">
        <x:f>IFERROR(__xludf.DUMMYFUNCTION("""COMPUTED_VALUE"""),"Les joies de la Castafiore")</x:f>
      </x:c>
      <x:c r="C4556" s="1">
        <x:f>IFERROR(__xludf.DUMMYFUNCTION("""COMPUTED_VALUE"""),"1992")</x:f>
      </x:c>
    </x:row>
    <x:row r="4557" spans="1:10">
      <x:c r="A4557" s="1" t="s">
        <x:v>4566</x:v>
      </x:c>
      <x:c r="B4557" s="1">
        <x:f>IFERROR(__xludf.DUMMYFUNCTION("""COMPUTED_VALUE"""),"Les línies tortes de Déu")</x:f>
      </x:c>
      <x:c r="C4557" s="1">
        <x:f>IFERROR(__xludf.DUMMYFUNCTION("""COMPUTED_VALUE"""),"2020")</x:f>
      </x:c>
    </x:row>
    <x:row r="4558" spans="1:10">
      <x:c r="A4558" s="1" t="s">
        <x:v>4567</x:v>
      </x:c>
      <x:c r="B4558" s="1">
        <x:f>IFERROR(__xludf.DUMMYFUNCTION("""COMPUTED_VALUE"""),"Les lleis de la termodinàmica")</x:f>
      </x:c>
      <x:c r="C4558" s="1">
        <x:f>IFERROR(__xludf.DUMMYFUNCTION("""COMPUTED_VALUE"""),"2018")</x:f>
      </x:c>
    </x:row>
    <x:row r="4559" spans="1:10">
      <x:c r="A4559" s="1" t="s">
        <x:v>4568</x:v>
      </x:c>
      <x:c r="B4559" s="1">
        <x:f>IFERROR(__xludf.DUMMYFUNCTION("""COMPUTED_VALUE"""),"Les Lyonnais")</x:f>
      </x:c>
      <x:c r="C4559" s="1">
        <x:f>IFERROR(__xludf.DUMMYFUNCTION("""COMPUTED_VALUE"""),"2011")</x:f>
      </x:c>
    </x:row>
    <x:row r="4560" spans="1:10">
      <x:c r="A4560" s="1" t="s">
        <x:v>4569</x:v>
      </x:c>
      <x:c r="B4560" s="1">
        <x:f>IFERROR(__xludf.DUMMYFUNCTION("""COMPUTED_VALUE"""),"Les males herbes")</x:f>
      </x:c>
      <x:c r="C4560" s="1">
        <x:f>IFERROR(__xludf.DUMMYFUNCTION("""COMPUTED_VALUE"""),"2009")</x:f>
      </x:c>
    </x:row>
    <x:row r="4561" spans="1:10">
      <x:c r="A4561" s="1" t="s">
        <x:v>4570</x:v>
      </x:c>
      <x:c r="B4561" s="1">
        <x:f>IFERROR(__xludf.DUMMYFUNCTION("""COMPUTED_VALUE"""),"Les maletes de Tulse Luper (La història de Moab)")</x:f>
      </x:c>
      <x:c r="C4561" s="1">
        <x:f>IFERROR(__xludf.DUMMYFUNCTION("""COMPUTED_VALUE"""),"2003")</x:f>
      </x:c>
    </x:row>
    <x:row r="4562" spans="1:10">
      <x:c r="A4562" s="1" t="s">
        <x:v>4571</x:v>
      </x:c>
      <x:c r="B4562" s="1">
        <x:f>IFERROR(__xludf.DUMMYFUNCTION("""COMPUTED_VALUE"""),"Les malifetes de l'Emil")</x:f>
      </x:c>
      <x:c r="C4562" s="1">
        <x:f>IFERROR(__xludf.DUMMYFUNCTION("""COMPUTED_VALUE"""),"2013")</x:f>
      </x:c>
    </x:row>
    <x:row r="4563" spans="1:10">
      <x:c r="A4563" s="1" t="s">
        <x:v>4572</x:v>
      </x:c>
      <x:c r="B4563" s="1">
        <x:f>IFERROR(__xludf.DUMMYFUNCTION("""COMPUTED_VALUE"""),"Les mans buides")</x:f>
      </x:c>
      <x:c r="C4563" s="1">
        <x:f>IFERROR(__xludf.DUMMYFUNCTION("""COMPUTED_VALUE"""),"2003")</x:f>
      </x:c>
    </x:row>
    <x:row r="4564" spans="1:10">
      <x:c r="A4564" s="1" t="s">
        <x:v>4573</x:v>
      </x:c>
      <x:c r="B4564" s="1">
        <x:f>IFERROR(__xludf.DUMMYFUNCTION("""COMPUTED_VALUE"""),"Les margarides [VOSC]")</x:f>
      </x:c>
      <x:c r="C4564" s="1">
        <x:f>IFERROR(__xludf.DUMMYFUNCTION("""COMPUTED_VALUE"""),"1966")</x:f>
      </x:c>
    </x:row>
    <x:row r="4565" spans="1:10">
      <x:c r="A4565" s="1" t="s">
        <x:v>4574</x:v>
      </x:c>
      <x:c r="B4565" s="1">
        <x:f>IFERROR(__xludf.DUMMYFUNCTION("""COMPUTED_VALUE"""),"Les meravelles del mar")</x:f>
      </x:c>
      <x:c r="C4565" s="1">
        <x:f>IFERROR(__xludf.DUMMYFUNCTION("""COMPUTED_VALUE"""),"2017")</x:f>
      </x:c>
    </x:row>
    <x:row r="4566" spans="1:10">
      <x:c r="A4566" s="1" t="s">
        <x:v>4575</x:v>
      </x:c>
      <x:c r="B4566" s="1">
        <x:f>IFERROR(__xludf.DUMMYFUNCTION("""COMPUTED_VALUE"""),"Les meves tardes amb la Margueritte")</x:f>
      </x:c>
      <x:c r="C4566" s="1">
        <x:f>IFERROR(__xludf.DUMMYFUNCTION("""COMPUTED_VALUE"""),"2010")</x:f>
      </x:c>
    </x:row>
    <x:row r="4567" spans="1:10">
      <x:c r="A4567" s="1" t="s">
        <x:v>4576</x:v>
      </x:c>
      <x:c r="B4567" s="1">
        <x:f>IFERROR(__xludf.DUMMYFUNCTION("""COMPUTED_VALUE"""),"Les mines del rei Salomó")</x:f>
      </x:c>
      <x:c r="C4567" s="1">
        <x:f>IFERROR(__xludf.DUMMYFUNCTION("""COMPUTED_VALUE"""),"1937")</x:f>
      </x:c>
    </x:row>
    <x:row r="4568" spans="1:10">
      <x:c r="A4568" s="1" t="s">
        <x:v>4577</x:v>
      </x:c>
      <x:c r="B4568" s="1">
        <x:f>IFERROR(__xludf.DUMMYFUNCTION("""COMPUTED_VALUE"""),"Les nenes")</x:f>
      </x:c>
      <x:c r="C4568" s="1">
        <x:f>IFERROR(__xludf.DUMMYFUNCTION("""COMPUTED_VALUE"""),"2020")</x:f>
      </x:c>
    </x:row>
    <x:row r="4569" spans="1:10">
      <x:c r="A4569" s="1" t="s">
        <x:v>4578</x:v>
      </x:c>
      <x:c r="B4569" s="1">
        <x:f>IFERROR(__xludf.DUMMYFUNCTION("""COMPUTED_VALUE"""),"Les neus del Kilimanjaro")</x:f>
      </x:c>
      <x:c r="C4569" s="1">
        <x:f>IFERROR(__xludf.DUMMYFUNCTION("""COMPUTED_VALUE"""),"2011")</x:f>
      </x:c>
    </x:row>
    <x:row r="4570" spans="1:10">
      <x:c r="A4570" s="1" t="s">
        <x:v>4579</x:v>
      </x:c>
      <x:c r="B4570" s="1">
        <x:f>IFERROR(__xludf.DUMMYFUNCTION("""COMPUTED_VALUE"""),"Les noies de la llenceria")</x:f>
      </x:c>
      <x:c r="C4570" s="1">
        <x:f>IFERROR(__xludf.DUMMYFUNCTION("""COMPUTED_VALUE"""),"2006")</x:f>
      </x:c>
    </x:row>
    <x:row r="4571" spans="1:10">
      <x:c r="A4571" s="1" t="s">
        <x:v>4580</x:v>
      </x:c>
      <x:c r="B4571" s="1">
        <x:f>IFERROR(__xludf.DUMMYFUNCTION("""COMPUTED_VALUE"""),"Les noves aventures d'en Rin-Tin-Tin")</x:f>
      </x:c>
      <x:c r="C4571" s="1">
        <x:f>IFERROR(__xludf.DUMMYFUNCTION("""COMPUTED_VALUE"""),"2007")</x:f>
      </x:c>
    </x:row>
    <x:row r="4572" spans="1:10">
      <x:c r="A4572" s="1" t="s">
        <x:v>4581</x:v>
      </x:c>
      <x:c r="B4572" s="1">
        <x:f>IFERROR(__xludf.DUMMYFUNCTION("""COMPUTED_VALUE"""),"Les noves aventures de la Caputxeta Vermella")</x:f>
      </x:c>
      <x:c r="C4572" s="1">
        <x:f>IFERROR(__xludf.DUMMYFUNCTION("""COMPUTED_VALUE"""),"2011")</x:f>
      </x:c>
    </x:row>
    <x:row r="4573" spans="1:10">
      <x:c r="A4573" s="1" t="s">
        <x:v>4582</x:v>
      </x:c>
      <x:c r="B4573" s="1">
        <x:f>IFERROR(__xludf.DUMMYFUNCTION("""COMPUTED_VALUE"""),"Les nòvies dels meus amics")</x:f>
      </x:c>
      <x:c r="C4573" s="1">
        <x:f>IFERROR(__xludf.DUMMYFUNCTION("""COMPUTED_VALUE"""),"2014")</x:f>
      </x:c>
    </x:row>
    <x:row r="4574" spans="1:10">
      <x:c r="A4574" s="1" t="s">
        <x:v>4583</x:v>
      </x:c>
      <x:c r="B4574" s="1">
        <x:f>IFERROR(__xludf.DUMMYFUNCTION("""COMPUTED_VALUE"""),"Les paraules de la Vero")</x:f>
      </x:c>
      <x:c r="C4574" s="1">
        <x:f>IFERROR(__xludf.DUMMYFUNCTION("""COMPUTED_VALUE"""),"2005")</x:f>
      </x:c>
    </x:row>
    <x:row r="4575" spans="1:10">
      <x:c r="A4575" s="1" t="s">
        <x:v>4584</x:v>
      </x:c>
      <x:c r="B4575" s="1">
        <x:f>IFERROR(__xludf.DUMMYFUNCTION("""COMPUTED_VALUE"""),"Les Perseides")</x:f>
      </x:c>
      <x:c r="C4575" s="1">
        <x:f>IFERROR(__xludf.DUMMYFUNCTION("""COMPUTED_VALUE"""),"2019")</x:f>
      </x:c>
    </x:row>
    <x:row r="4576" spans="1:10">
      <x:c r="A4576" s="1" t="s">
        <x:v>4585</x:v>
      </x:c>
      <x:c r="B4576" s="1">
        <x:f>IFERROR(__xludf.DUMMYFUNCTION("""COMPUTED_VALUE"""),"Les petites victòries")</x:f>
      </x:c>
      <x:c r="C4576" s="1">
        <x:f>IFERROR(__xludf.DUMMYFUNCTION("""COMPUTED_VALUE"""),"2023")</x:f>
      </x:c>
    </x:row>
    <x:row r="4577" spans="1:10">
      <x:c r="A4577" s="1" t="s">
        <x:v>4586</x:v>
      </x:c>
      <x:c r="B4577" s="1">
        <x:f>IFERROR(__xludf.DUMMYFUNCTION("""COMPUTED_VALUE"""),"Les pistoles dels set magnífics")</x:f>
      </x:c>
      <x:c r="C4577" s="1">
        <x:f>IFERROR(__xludf.DUMMYFUNCTION("""COMPUTED_VALUE"""),"1969")</x:f>
      </x:c>
    </x:row>
    <x:row r="4578" spans="1:10">
      <x:c r="A4578" s="1" t="s">
        <x:v>4587</x:v>
      </x:c>
      <x:c r="B4578" s="1">
        <x:f>IFERROR(__xludf.DUMMYFUNCTION("""COMPUTED_VALUE"""),"Les postres de l'alegria")</x:f>
      </x:c>
      <x:c r="C4578" s="1">
        <x:f>IFERROR(__xludf.DUMMYFUNCTION("""COMPUTED_VALUE"""),"2012")</x:f>
      </x:c>
    </x:row>
    <x:row r="4579" spans="1:10">
      <x:c r="A4579" s="1" t="s">
        <x:v>4588</x:v>
      </x:c>
      <x:c r="B4579" s="1">
        <x:f>IFERROR(__xludf.DUMMYFUNCTION("""COMPUTED_VALUE"""),"Les quatre plomes")</x:f>
      </x:c>
      <x:c r="C4579" s="1">
        <x:f>IFERROR(__xludf.DUMMYFUNCTION("""COMPUTED_VALUE"""),"1939")</x:f>
      </x:c>
    </x:row>
    <x:row r="4580" spans="1:10">
      <x:c r="A4580" s="1" t="s">
        <x:v>4589</x:v>
      </x:c>
      <x:c r="B4580" s="1">
        <x:f>IFERROR(__xludf.DUMMYFUNCTION("""COMPUTED_VALUE"""),"Les quatre plomes")</x:f>
      </x:c>
      <x:c r="C4580" s="1">
        <x:f>IFERROR(__xludf.DUMMYFUNCTION("""COMPUTED_VALUE"""),"2002")</x:f>
      </x:c>
    </x:row>
    <x:row r="4581" spans="1:10">
      <x:c r="A4581" s="1" t="s">
        <x:v>4590</x:v>
      </x:c>
      <x:c r="B4581" s="1">
        <x:f>IFERROR(__xludf.DUMMYFUNCTION("""COMPUTED_VALUE"""),"Les Rachels")</x:f>
      </x:c>
      <x:c r="C4581" s="1">
        <x:f>IFERROR(__xludf.DUMMYFUNCTION("""COMPUTED_VALUE"""),"2017")</x:f>
      </x:c>
    </x:row>
    <x:row r="4582" spans="1:10">
      <x:c r="A4582" s="1" t="s">
        <x:v>4591</x:v>
      </x:c>
      <x:c r="B4582" s="1">
        <x:f>IFERROR(__xludf.DUMMYFUNCTION("""COMPUTED_VALUE"""),"Les sandàlies del pescador")</x:f>
      </x:c>
      <x:c r="C4582" s="1">
        <x:f>IFERROR(__xludf.DUMMYFUNCTION("""COMPUTED_VALUE"""),"1968")</x:f>
      </x:c>
    </x:row>
    <x:row r="4583" spans="1:10">
      <x:c r="A4583" s="1" t="s">
        <x:v>4592</x:v>
      </x:c>
      <x:c r="B4583" s="1">
        <x:f>IFERROR(__xludf.DUMMYFUNCTION("""COMPUTED_VALUE"""),"Les set boles de cristall")</x:f>
      </x:c>
      <x:c r="C4583" s="1">
        <x:f>IFERROR(__xludf.DUMMYFUNCTION("""COMPUTED_VALUE"""),"1991")</x:f>
      </x:c>
    </x:row>
    <x:row r="4584" spans="1:10">
      <x:c r="A4584" s="1" t="s">
        <x:v>4593</x:v>
      </x:c>
      <x:c r="B4584" s="1">
        <x:f>IFERROR(__xludf.DUMMYFUNCTION("""COMPUTED_VALUE"""),"Les set vides del Perich")</x:f>
      </x:c>
      <x:c r="C4584" s="1">
        <x:f>IFERROR(__xludf.DUMMYFUNCTION("""COMPUTED_VALUE"""),"2020")</x:f>
      </x:c>
    </x:row>
    <x:row r="4585" spans="1:10">
      <x:c r="A4585" s="1" t="s">
        <x:v>4594</x:v>
      </x:c>
      <x:c r="B4585" s="1">
        <x:f>IFERROR(__xludf.DUMMYFUNCTION("""COMPUTED_VALUE"""),"Les supernenes")</x:f>
      </x:c>
      <x:c r="C4585" s="1">
        <x:f>IFERROR(__xludf.DUMMYFUNCTION("""COMPUTED_VALUE"""),"2002")</x:f>
      </x:c>
    </x:row>
    <x:row r="4586" spans="1:10">
      <x:c r="A4586" s="1" t="s">
        <x:v>4595</x:v>
      </x:c>
      <x:c r="B4586" s="1">
        <x:f>IFERROR(__xludf.DUMMYFUNCTION("""COMPUTED_VALUE"""),"Les Tres Bessones i Gaudí")</x:f>
      </x:c>
      <x:c r="C4586" s="1">
        <x:f>IFERROR(__xludf.DUMMYFUNCTION("""COMPUTED_VALUE"""),"2002")</x:f>
      </x:c>
    </x:row>
    <x:row r="4587" spans="1:10">
      <x:c r="A4587" s="1" t="s">
        <x:v>4596</x:v>
      </x:c>
      <x:c r="B4587" s="1">
        <x:f>IFERROR(__xludf.DUMMYFUNCTION("""COMPUTED_VALUE"""),"Les Tres Bessones i l'enigma del Quixot")</x:f>
      </x:c>
      <x:c r="C4587" s="1">
        <x:f>IFERROR(__xludf.DUMMYFUNCTION("""COMPUTED_VALUE"""),"2005")</x:f>
      </x:c>
    </x:row>
    <x:row r="4588" spans="1:10">
      <x:c r="A4588" s="1" t="s">
        <x:v>4597</x:v>
      </x:c>
      <x:c r="B4588" s="1">
        <x:f>IFERROR(__xludf.DUMMYFUNCTION("""COMPUTED_VALUE"""),"Les tres bessones karaoke")</x:f>
      </x:c>
      <x:c r="C4588" s="1">
        <x:f>IFERROR(__xludf.DUMMYFUNCTION("""COMPUTED_VALUE"""),"2003")</x:f>
      </x:c>
    </x:row>
    <x:row r="4589" spans="1:10">
      <x:c r="A4589" s="1" t="s">
        <x:v>4598</x:v>
      </x:c>
      <x:c r="B4589" s="1">
        <x:f>IFERROR(__xludf.DUMMYFUNCTION("""COMPUTED_VALUE"""),"Les tres edats")</x:f>
      </x:c>
      <x:c r="C4589" s="1">
        <x:f>IFERROR(__xludf.DUMMYFUNCTION("""COMPUTED_VALUE"""),"1923")</x:f>
      </x:c>
    </x:row>
    <x:row r="4590" spans="1:10">
      <x:c r="A4590" s="1" t="s">
        <x:v>4599</x:v>
      </x:c>
      <x:c r="B4590" s="1">
        <x:f>IFERROR(__xludf.DUMMYFUNCTION("""COMPUTED_VALUE"""),"Les tretze roses")</x:f>
      </x:c>
      <x:c r="C4590" s="1">
        <x:f>IFERROR(__xludf.DUMMYFUNCTION("""COMPUTED_VALUE"""),"2007")</x:f>
      </x:c>
    </x:row>
    <x:row r="4591" spans="1:10">
      <x:c r="A4591" s="1" t="s">
        <x:v>4600</x:v>
      </x:c>
      <x:c r="B4591" s="1">
        <x:f>IFERROR(__xludf.DUMMYFUNCTION("""COMPUTED_VALUE"""),"Les últimes batalles del papa Francesc")</x:f>
      </x:c>
      <x:c r="C4591" s="1">
        <x:f>IFERROR(__xludf.DUMMYFUNCTION("""COMPUTED_VALUE"""),"2021")</x:f>
      </x:c>
    </x:row>
    <x:row r="4592" spans="1:10">
      <x:c r="A4592" s="1" t="s">
        <x:v>4601</x:v>
      </x:c>
      <x:c r="B4592" s="1">
        <x:f>IFERROR(__xludf.DUMMYFUNCTION("""COMPUTED_VALUE"""),"Les vides de Cèlia")</x:f>
      </x:c>
      <x:c r="C4592" s="1">
        <x:f>IFERROR(__xludf.DUMMYFUNCTION("""COMPUTED_VALUE"""),"2006")</x:f>
      </x:c>
    </x:row>
    <x:row r="4593" spans="1:10">
      <x:c r="A4593" s="1" t="s">
        <x:v>4602</x:v>
      </x:c>
      <x:c r="B4593" s="1">
        <x:f>IFERROR(__xludf.DUMMYFUNCTION("""COMPUTED_VALUE"""),"Les vides de la Grace")</x:f>
      </x:c>
      <x:c r="C4593" s="1">
        <x:f>IFERROR(__xludf.DUMMYFUNCTION("""COMPUTED_VALUE"""),"2013")</x:f>
      </x:c>
    </x:row>
    <x:row r="4594" spans="1:10">
      <x:c r="A4594" s="1" t="s">
        <x:v>4603</x:v>
      </x:c>
      <x:c r="B4594" s="1">
        <x:f>IFERROR(__xludf.DUMMYFUNCTION("""COMPUTED_VALUE"""),"Les vides de Marona")</x:f>
      </x:c>
      <x:c r="C4594" s="1">
        <x:f>IFERROR(__xludf.DUMMYFUNCTION("""COMPUTED_VALUE"""),"2019")</x:f>
      </x:c>
    </x:row>
    <x:row r="4595" spans="1:10">
      <x:c r="A4595" s="1" t="s">
        <x:v>4604</x:v>
      </x:c>
      <x:c r="B4595" s="1">
        <x:f>IFERROR(__xludf.DUMMYFUNCTION("""COMPUTED_VALUE"""),"Les vides privades de la Pippa Lee")</x:f>
      </x:c>
      <x:c r="C4595" s="1">
        <x:f>IFERROR(__xludf.DUMMYFUNCTION("""COMPUTED_VALUE"""),"2009")</x:f>
      </x:c>
    </x:row>
    <x:row r="4596" spans="1:10">
      <x:c r="A4596" s="1" t="s">
        <x:v>4605</x:v>
      </x:c>
      <x:c r="B4596" s="1">
        <x:f>IFERROR(__xludf.DUMMYFUNCTION("""COMPUTED_VALUE"""),"Les vuit muntanyes")</x:f>
      </x:c>
      <x:c r="C4596" s="1">
        <x:f>IFERROR(__xludf.DUMMYFUNCTION("""COMPUTED_VALUE"""),"2022")</x:f>
      </x:c>
    </x:row>
    <x:row r="4597" spans="1:10">
      <x:c r="A4597" s="1" t="s">
        <x:v>4606</x:v>
      </x:c>
      <x:c r="B4597" s="1">
        <x:f>IFERROR(__xludf.DUMMYFUNCTION("""COMPUTED_VALUE"""),"Leviatan")</x:f>
      </x:c>
      <x:c r="C4597" s="1">
        <x:f>IFERROR(__xludf.DUMMYFUNCTION("""COMPUTED_VALUE"""),"2014")</x:f>
      </x:c>
    </x:row>
    <x:row r="4598" spans="1:10">
      <x:c r="A4598" s="1" t="s">
        <x:v>4607</x:v>
      </x:c>
      <x:c r="B4598" s="1">
        <x:f>IFERROR(__xludf.DUMMYFUNCTION("""COMPUTED_VALUE"""),"Li deien Shin Chan")</x:f>
      </x:c>
      <x:c r="C4598" s="1">
        <x:f>IFERROR(__xludf.DUMMYFUNCTION("""COMPUTED_VALUE"""),"2004")</x:f>
      </x:c>
    </x:row>
    <x:row r="4599" spans="1:10">
      <x:c r="A4599" s="1" t="s">
        <x:v>4608</x:v>
      </x:c>
      <x:c r="B4599" s="1">
        <x:f>IFERROR(__xludf.DUMMYFUNCTION("""COMPUTED_VALUE"""),"Li deien Trinidad")</x:f>
      </x:c>
      <x:c r="C4599" s="1">
        <x:f>IFERROR(__xludf.DUMMYFUNCTION("""COMPUTED_VALUE"""),"1970")</x:f>
      </x:c>
    </x:row>
    <x:row r="4600" spans="1:10">
      <x:c r="A4600" s="1" t="s">
        <x:v>4609</x:v>
      </x:c>
      <x:c r="B4600" s="1">
        <x:f>IFERROR(__xludf.DUMMYFUNCTION("""COMPUTED_VALUE"""),"Li diuen Bodhi")</x:f>
      </x:c>
      <x:c r="C4600" s="1">
        <x:f>IFERROR(__xludf.DUMMYFUNCTION("""COMPUTED_VALUE"""),"1991")</x:f>
      </x:c>
    </x:row>
    <x:row r="4601" spans="1:10">
      <x:c r="A4601" s="1" t="s">
        <x:v>4610</x:v>
      </x:c>
      <x:c r="B4601" s="1">
        <x:f>IFERROR(__xludf.DUMMYFUNCTION("""COMPUTED_VALUE"""),"Libertad")</x:f>
      </x:c>
      <x:c r="C4601" s="1">
        <x:f>IFERROR(__xludf.DUMMYFUNCTION("""COMPUTED_VALUE"""),"2021")</x:f>
      </x:c>
    </x:row>
    <x:row r="4602" spans="1:10">
      <x:c r="A4602" s="1" t="s">
        <x:v>4611</x:v>
      </x:c>
      <x:c r="B4602" s="1">
        <x:f>IFERROR(__xludf.DUMMYFUNCTION("""COMPUTED_VALUE"""),"Liberté [VOSC]")</x:f>
      </x:c>
      <x:c r="C4602" s="1">
        <x:f>IFERROR(__xludf.DUMMYFUNCTION("""COMPUTED_VALUE"""),"2019")</x:f>
      </x:c>
    </x:row>
    <x:row r="4603" spans="1:10">
      <x:c r="A4603" s="1" t="s">
        <x:v>4612</x:v>
      </x:c>
      <x:c r="B4603" s="1">
        <x:f>IFERROR(__xludf.DUMMYFUNCTION("""COMPUTED_VALUE"""),"Lifi, una gallina tocada de l'ala")</x:f>
      </x:c>
      <x:c r="C4603" s="1">
        <x:f>IFERROR(__xludf.DUMMYFUNCTION("""COMPUTED_VALUE"""),"2011")</x:f>
      </x:c>
    </x:row>
    <x:row r="4604" spans="1:10">
      <x:c r="A4604" s="1" t="s">
        <x:v>4613</x:v>
      </x:c>
      <x:c r="B4604" s="1">
        <x:f>IFERROR(__xludf.DUMMYFUNCTION("""COMPUTED_VALUE"""),"Lightyear")</x:f>
      </x:c>
      <x:c r="C4604" s="1">
        <x:f>IFERROR(__xludf.DUMMYFUNCTION("""COMPUTED_VALUE"""),"2022")</x:f>
      </x:c>
    </x:row>
    <x:row r="4605" spans="1:10">
      <x:c r="A4605" s="1" t="s">
        <x:v>4614</x:v>
      </x:c>
      <x:c r="B4605" s="1">
        <x:f>IFERROR(__xludf.DUMMYFUNCTION("""COMPUTED_VALUE"""),"Lilly")</x:f>
      </x:c>
      <x:c r="C4605" s="1">
        <x:f>IFERROR(__xludf.DUMMYFUNCTION("""COMPUTED_VALUE"""),"2024")</x:f>
      </x:c>
    </x:row>
    <x:row r="4606" spans="1:10">
      <x:c r="A4606" s="1" t="s">
        <x:v>4615</x:v>
      </x:c>
      <x:c r="B4606" s="1">
        <x:f>IFERROR(__xludf.DUMMYFUNCTION("""COMPUTED_VALUE"""),"Lilo i Stitch")</x:f>
      </x:c>
      <x:c r="C4606" s="1">
        <x:f>IFERROR(__xludf.DUMMYFUNCTION("""COMPUTED_VALUE"""),"2002")</x:f>
      </x:c>
    </x:row>
    <x:row r="4607" spans="1:10">
      <x:c r="A4607" s="1" t="s">
        <x:v>4616</x:v>
      </x:c>
      <x:c r="B4607" s="1">
        <x:f>IFERROR(__xludf.DUMMYFUNCTION("""COMPUTED_VALUE"""),"Lily, la princesa fada")</x:f>
      </x:c>
      <x:c r="C4607" s="1">
        <x:f>IFERROR(__xludf.DUMMYFUNCTION("""COMPUTED_VALUE"""),"2009")</x:f>
      </x:c>
    </x:row>
    <x:row r="4608" spans="1:10">
      <x:c r="A4608" s="1" t="s">
        <x:v>4617</x:v>
      </x:c>
      <x:c r="B4608" s="1">
        <x:f>IFERROR(__xludf.DUMMYFUNCTION("""COMPUTED_VALUE"""),"Lily, la princesa fada i el petit unicorn")</x:f>
      </x:c>
      <x:c r="C4608" s="1">
        <x:f>IFERROR(__xludf.DUMMYFUNCTION("""COMPUTED_VALUE"""),"2011")</x:f>
      </x:c>
    </x:row>
    <x:row r="4609" spans="1:10">
      <x:c r="A4609" s="1" t="s">
        <x:v>4618</x:v>
      </x:c>
      <x:c r="B4609" s="1">
        <x:f>IFERROR(__xludf.DUMMYFUNCTION("""COMPUTED_VALUE"""),"Límit vertical")</x:f>
      </x:c>
      <x:c r="C4609" s="1">
        <x:f>IFERROR(__xludf.DUMMYFUNCTION("""COMPUTED_VALUE"""),"2000")</x:f>
      </x:c>
    </x:row>
    <x:row r="4610" spans="1:10">
      <x:c r="A4610" s="1" t="s">
        <x:v>4619</x:v>
      </x:c>
      <x:c r="B4610" s="1">
        <x:f>IFERROR(__xludf.DUMMYFUNCTION("""COMPUTED_VALUE"""),"Lincoln")</x:f>
      </x:c>
      <x:c r="C4610" s="1">
        <x:f>IFERROR(__xludf.DUMMYFUNCTION("""COMPUTED_VALUE"""),"2012")</x:f>
      </x:c>
    </x:row>
    <x:row r="4611" spans="1:10">
      <x:c r="A4611" s="1" t="s">
        <x:v>4620</x:v>
      </x:c>
      <x:c r="B4611" s="1">
        <x:f>IFERROR(__xludf.DUMMYFUNCTION("""COMPUTED_VALUE"""),"Línia mortal")</x:f>
      </x:c>
      <x:c r="C4611" s="1">
        <x:f>IFERROR(__xludf.DUMMYFUNCTION("""COMPUTED_VALUE"""),"1990")</x:f>
      </x:c>
    </x:row>
    <x:row r="4612" spans="1:10">
      <x:c r="A4612" s="1" t="s">
        <x:v>4621</x:v>
      </x:c>
      <x:c r="B4612" s="1">
        <x:f>IFERROR(__xludf.DUMMYFUNCTION("""COMPUTED_VALUE"""),"Lino")</x:f>
      </x:c>
      <x:c r="C4612" s="1">
        <x:f>IFERROR(__xludf.DUMMYFUNCTION("""COMPUTED_VALUE"""),"2017")</x:f>
      </x:c>
    </x:row>
    <x:row r="4613" spans="1:10">
      <x:c r="A4613" s="1" t="s">
        <x:v>4622</x:v>
      </x:c>
      <x:c r="B4613" s="1">
        <x:f>IFERROR(__xludf.DUMMYFUNCTION("""COMPUTED_VALUE"""),"Lion")</x:f>
      </x:c>
      <x:c r="C4613" s="1">
        <x:f>IFERROR(__xludf.DUMMYFUNCTION("""COMPUTED_VALUE"""),"2016")</x:f>
      </x:c>
    </x:row>
    <x:row r="4614" spans="1:10">
      <x:c r="A4614" s="1" t="s">
        <x:v>4623</x:v>
      </x:c>
      <x:c r="B4614" s="1">
        <x:f>IFERROR(__xludf.DUMMYFUNCTION("""COMPUTED_VALUE"""),"Lip Dub per la llengua")</x:f>
      </x:c>
      <x:c r="C4614" s="1">
        <x:f>IFERROR(__xludf.DUMMYFUNCTION("""COMPUTED_VALUE"""),"2011")</x:f>
      </x:c>
    </x:row>
    <x:row r="4615" spans="1:10">
      <x:c r="A4615" s="1" t="s">
        <x:v>4624</x:v>
      </x:c>
      <x:c r="B4615" s="1">
        <x:f>IFERROR(__xludf.DUMMYFUNCTION("""COMPUTED_VALUE"""),"LipDub per la Independència")</x:f>
      </x:c>
      <x:c r="C4615" s="1">
        <x:f>IFERROR(__xludf.DUMMYFUNCTION("""COMPUTED_VALUE"""),"2010")</x:f>
      </x:c>
    </x:row>
    <x:row r="4616" spans="1:10">
      <x:c r="A4616" s="1" t="s">
        <x:v>4625</x:v>
      </x:c>
      <x:c r="B4616" s="1">
        <x:f>IFERROR(__xludf.DUMMYFUNCTION("""COMPUTED_VALUE"""),"Lisistrata")</x:f>
      </x:c>
      <x:c r="C4616" s="1">
        <x:f>IFERROR(__xludf.DUMMYFUNCTION("""COMPUTED_VALUE"""),"2002")</x:f>
      </x:c>
    </x:row>
    <x:row r="4617" spans="1:10">
      <x:c r="A4617" s="1" t="s">
        <x:v>4626</x:v>
      </x:c>
      <x:c r="B4617" s="1">
        <x:f>IFERROR(__xludf.DUMMYFUNCTION("""COMPUTED_VALUE"""),"Live Aid Wembley")</x:f>
      </x:c>
      <x:c r="C4617" s="1">
        <x:f>IFERROR(__xludf.DUMMYFUNCTION("""COMPUTED_VALUE"""),"1985")</x:f>
      </x:c>
    </x:row>
    <x:row r="4618" spans="1:10">
      <x:c r="A4618" s="1" t="s">
        <x:v>4627</x:v>
      </x:c>
      <x:c r="B4618" s="1">
        <x:f>IFERROR(__xludf.DUMMYFUNCTION("""COMPUTED_VALUE"""),"Living")</x:f>
      </x:c>
      <x:c r="C4618" s="1">
        <x:f>IFERROR(__xludf.DUMMYFUNCTION("""COMPUTED_VALUE"""),"2022")</x:f>
      </x:c>
    </x:row>
    <x:row r="4619" spans="1:10">
      <x:c r="A4619" s="1" t="s">
        <x:v>4628</x:v>
      </x:c>
      <x:c r="B4619" s="1">
        <x:f>IFERROR(__xludf.DUMMYFUNCTION("""COMPUTED_VALUE"""),"Llach: la revolta permanent")</x:f>
      </x:c>
      <x:c r="C4619" s="1">
        <x:f>IFERROR(__xludf.DUMMYFUNCTION("""COMPUTED_VALUE"""),"2006")</x:f>
      </x:c>
    </x:row>
    <x:row r="4620" spans="1:10">
      <x:c r="A4620" s="1" t="s">
        <x:v>4629</x:v>
      </x:c>
      <x:c r="B4620" s="1">
        <x:f>IFERROR(__xludf.DUMMYFUNCTION("""COMPUTED_VALUE"""),"Llaços ardents")</x:f>
      </x:c>
      <x:c r="C4620" s="1">
        <x:f>IFERROR(__xludf.DUMMYFUNCTION("""COMPUTED_VALUE"""),"1996")</x:f>
      </x:c>
    </x:row>
    <x:row r="4621" spans="1:10">
      <x:c r="A4621" s="1" t="s">
        <x:v>4630</x:v>
      </x:c>
      <x:c r="B4621" s="1">
        <x:f>IFERROR(__xludf.DUMMYFUNCTION("""COMPUTED_VALUE"""),"Llaços de sang")</x:f>
      </x:c>
      <x:c r="C4621" s="1">
        <x:f>IFERROR(__xludf.DUMMYFUNCTION("""COMPUTED_VALUE"""),"2013")</x:f>
      </x:c>
    </x:row>
    <x:row r="4622" spans="1:10">
      <x:c r="A4622" s="1" t="s">
        <x:v>4631</x:v>
      </x:c>
      <x:c r="B4622" s="1">
        <x:f>IFERROR(__xludf.DUMMYFUNCTION("""COMPUTED_VALUE"""),"Lladres d'estar per casa")</x:f>
      </x:c>
      <x:c r="C4622" s="1">
        <x:f>IFERROR(__xludf.DUMMYFUNCTION("""COMPUTED_VALUE"""),"2000")</x:f>
      </x:c>
    </x:row>
    <x:row r="4623" spans="1:10">
      <x:c r="A4623" s="1" t="s">
        <x:v>4632</x:v>
      </x:c>
      <x:c r="B4623" s="1">
        <x:f>IFERROR(__xludf.DUMMYFUNCTION("""COMPUTED_VALUE"""),"Lladres de famosos")</x:f>
      </x:c>
      <x:c r="C4623" s="1">
        <x:f>IFERROR(__xludf.DUMMYFUNCTION("""COMPUTED_VALUE"""),"2013")</x:f>
      </x:c>
    </x:row>
    <x:row r="4624" spans="1:10">
      <x:c r="A4624" s="1" t="s">
        <x:v>4633</x:v>
      </x:c>
      <x:c r="B4624" s="1">
        <x:f>IFERROR(__xludf.DUMMYFUNCTION("""COMPUTED_VALUE"""),"Llàgrimes del sol")</x:f>
      </x:c>
      <x:c r="C4624" s="1">
        <x:f>IFERROR(__xludf.DUMMYFUNCTION("""COMPUTED_VALUE"""),"2003")</x:f>
      </x:c>
    </x:row>
    <x:row r="4625" spans="1:10">
      <x:c r="A4625" s="1" t="s">
        <x:v>4634</x:v>
      </x:c>
      <x:c r="B4625" s="1">
        <x:f>IFERROR(__xludf.DUMMYFUNCTION("""COMPUTED_VALUE"""),"Llança trencada")</x:f>
      </x:c>
      <x:c r="C4625" s="1">
        <x:f>IFERROR(__xludf.DUMMYFUNCTION("""COMPUTED_VALUE"""),"1954")</x:f>
      </x:c>
    </x:row>
    <x:row r="4626" spans="1:10">
      <x:c r="A4626" s="1" t="s">
        <x:v>4635</x:v>
      </x:c>
      <x:c r="B4626" s="1">
        <x:f>IFERROR(__xludf.DUMMYFUNCTION("""COMPUTED_VALUE"""),"Llanterna verda")</x:f>
      </x:c>
      <x:c r="C4626" s="1">
        <x:f>IFERROR(__xludf.DUMMYFUNCTION("""COMPUTED_VALUE"""),"2011")</x:f>
      </x:c>
    </x:row>
    <x:row r="4627" spans="1:10">
      <x:c r="A4627" s="1" t="s">
        <x:v>4636</x:v>
      </x:c>
      <x:c r="B4627" s="1">
        <x:f>IFERROR(__xludf.DUMMYFUNCTION("""COMPUTED_VALUE"""),"Llegendes de passió")</x:f>
      </x:c>
      <x:c r="C4627" s="1">
        <x:f>IFERROR(__xludf.DUMMYFUNCTION("""COMPUTED_VALUE"""),"1994")</x:f>
      </x:c>
    </x:row>
    <x:row r="4628" spans="1:10">
      <x:c r="A4628" s="1" t="s">
        <x:v>4637</x:v>
      </x:c>
      <x:c r="B4628" s="1">
        <x:f>IFERROR(__xludf.DUMMYFUNCTION("""COMPUTED_VALUE"""),"Lleons per xais")</x:f>
      </x:c>
      <x:c r="C4628" s="1">
        <x:f>IFERROR(__xludf.DUMMYFUNCTION("""COMPUTED_VALUE"""),"2007")</x:f>
      </x:c>
    </x:row>
    <x:row r="4629" spans="1:10">
      <x:c r="A4629" s="1" t="s">
        <x:v>4638</x:v>
      </x:c>
      <x:c r="B4629" s="1">
        <x:f>IFERROR(__xludf.DUMMYFUNCTION("""COMPUTED_VALUE"""),"Llibertàries")</x:f>
      </x:c>
      <x:c r="C4629" s="1">
        <x:f>IFERROR(__xludf.DUMMYFUNCTION("""COMPUTED_VALUE"""),"1996")</x:f>
      </x:c>
    </x:row>
    <x:row r="4630" spans="1:10">
      <x:c r="A4630" s="1" t="s">
        <x:v>4639</x:v>
      </x:c>
      <x:c r="B4630" s="1">
        <x:f>IFERROR(__xludf.DUMMYFUNCTION("""COMPUTED_VALUE"""),"Llibertats empresonades")</x:f>
      </x:c>
      <x:c r="C4630" s="1">
        <x:f>IFERROR(__xludf.DUMMYFUNCTION("""COMPUTED_VALUE"""),"2019")</x:f>
      </x:c>
    </x:row>
    <x:row r="4631" spans="1:10">
      <x:c r="A4631" s="1" t="s">
        <x:v>4640</x:v>
      </x:c>
      <x:c r="B4631" s="1">
        <x:f>IFERROR(__xludf.DUMMYFUNCTION("""COMPUTED_VALUE"""),"Llibre de família")</x:f>
      </x:c>
      <x:c r="C4631" s="1">
        <x:f>IFERROR(__xludf.DUMMYFUNCTION("""COMPUTED_VALUE"""),"2005")</x:f>
      </x:c>
    </x:row>
    <x:row r="4632" spans="1:10">
      <x:c r="A4632" s="1" t="s">
        <x:v>4641</x:v>
      </x:c>
      <x:c r="B4632" s="1">
        <x:f>IFERROR(__xludf.DUMMYFUNCTION("""COMPUTED_VALUE"""),"Llicència per casar")</x:f>
      </x:c>
      <x:c r="C4632" s="1">
        <x:f>IFERROR(__xludf.DUMMYFUNCTION("""COMPUTED_VALUE"""),"2007")</x:f>
      </x:c>
    </x:row>
    <x:row r="4633" spans="1:10">
      <x:c r="A4633" s="1" t="s">
        <x:v>4642</x:v>
      </x:c>
      <x:c r="B4633" s="1">
        <x:f>IFERROR(__xludf.DUMMYFUNCTION("""COMPUTED_VALUE"""),"Llicència per matar")</x:f>
      </x:c>
      <x:c r="C4633" s="1">
        <x:f>IFERROR(__xludf.DUMMYFUNCTION("""COMPUTED_VALUE"""),"1975")</x:f>
      </x:c>
    </x:row>
    <x:row r="4634" spans="1:10">
      <x:c r="A4634" s="1" t="s">
        <x:v>4643</x:v>
      </x:c>
      <x:c r="B4634" s="1">
        <x:f>IFERROR(__xludf.DUMMYFUNCTION("""COMPUTED_VALUE"""),"Lliçons d'amor")</x:f>
      </x:c>
      <x:c r="C4634" s="1">
        <x:f>IFERROR(__xludf.DUMMYFUNCTION("""COMPUTED_VALUE"""),"2013")</x:f>
      </x:c>
    </x:row>
    <x:row r="4635" spans="1:10">
      <x:c r="A4635" s="1" t="s">
        <x:v>4644</x:v>
      </x:c>
      <x:c r="B4635" s="1">
        <x:f>IFERROR(__xludf.DUMMYFUNCTION("""COMPUTED_VALUE"""),"Lliçons perilloses")</x:f>
      </x:c>
      <x:c r="C4635" s="1">
        <x:f>IFERROR(__xludf.DUMMYFUNCTION("""COMPUTED_VALUE"""),"2015")</x:f>
      </x:c>
    </x:row>
    <x:row r="4636" spans="1:10">
      <x:c r="A4636" s="1" t="s">
        <x:v>4645</x:v>
      </x:c>
      <x:c r="B4636" s="1">
        <x:f>IFERROR(__xludf.DUMMYFUNCTION("""COMPUTED_VALUE"""),"Llits")</x:f>
      </x:c>
      <x:c r="C4636" s="1">
        <x:f>IFERROR(__xludf.DUMMYFUNCTION("""COMPUTED_VALUE"""),"2010")</x:f>
      </x:c>
    </x:row>
    <x:row r="4637" spans="1:10">
      <x:c r="A4637" s="1" t="s">
        <x:v>4646</x:v>
      </x:c>
      <x:c r="B4637" s="1">
        <x:f>IFERROR(__xludf.DUMMYFUNCTION("""COMPUTED_VALUE"""),"Lliure també m'està bé")</x:f>
      </x:c>
      <x:c r="C4637" s="1">
        <x:f>IFERROR(__xludf.DUMMYFUNCTION("""COMPUTED_VALUE"""),"2006")</x:f>
      </x:c>
    </x:row>
    <x:row r="4638" spans="1:10">
      <x:c r="A4638" s="1" t="s">
        <x:v>4647</x:v>
      </x:c>
      <x:c r="B4638" s="1">
        <x:f>IFERROR(__xludf.DUMMYFUNCTION("""COMPUTED_VALUE"""),"Llobàs")</x:f>
      </x:c>
      <x:c r="C4638" s="1">
        <x:f>IFERROR(__xludf.DUMMYFUNCTION("""COMPUTED_VALUE"""),"2023")</x:f>
      </x:c>
    </x:row>
    <x:row r="4639" spans="1:10">
      <x:c r="A4639" s="1" t="s">
        <x:v>4648</x:v>
      </x:c>
      <x:c r="B4639" s="1">
        <x:f>IFERROR(__xludf.DUMMYFUNCTION("""COMPUTED_VALUE"""),"Llop")</x:f>
      </x:c>
      <x:c r="C4639" s="1">
        <x:f>IFERROR(__xludf.DUMMYFUNCTION("""COMPUTED_VALUE"""),"1994")</x:f>
      </x:c>
    </x:row>
    <x:row r="4640" spans="1:10">
      <x:c r="A4640" s="1" t="s">
        <x:v>4649</x:v>
      </x:c>
      <x:c r="B4640" s="1">
        <x:f>IFERROR(__xludf.DUMMYFUNCTION("""COMPUTED_VALUE"""),"Llops bruts")</x:f>
      </x:c>
      <x:c r="C4640" s="1">
        <x:f>IFERROR(__xludf.DUMMYFUNCTION("""COMPUTED_VALUE"""),"2015")</x:f>
      </x:c>
    </x:row>
    <x:row r="4641" spans="1:10">
      <x:c r="A4641" s="1" t="s">
        <x:v>4650</x:v>
      </x:c>
      <x:c r="B4641" s="1">
        <x:f>IFERROR(__xludf.DUMMYFUNCTION("""COMPUTED_VALUE"""),"Llops de guerra")</x:f>
      </x:c>
      <x:c r="C4641" s="1">
        <x:f>IFERROR(__xludf.DUMMYFUNCTION("""COMPUTED_VALUE"""),"2022")</x:f>
      </x:c>
    </x:row>
    <x:row r="4642" spans="1:10">
      <x:c r="A4642" s="1" t="s">
        <x:v>4651</x:v>
      </x:c>
      <x:c r="B4642" s="1">
        <x:f>IFERROR(__xludf.DUMMYFUNCTION("""COMPUTED_VALUE"""),"Lluernes al jardí")</x:f>
      </x:c>
      <x:c r="C4642" s="1">
        <x:f>IFERROR(__xludf.DUMMYFUNCTION("""COMPUTED_VALUE"""),"2008")</x:f>
      </x:c>
    </x:row>
    <x:row r="4643" spans="1:10">
      <x:c r="A4643" s="1" t="s">
        <x:v>4652</x:v>
      </x:c>
      <x:c r="B4643" s="1">
        <x:f>IFERROR(__xludf.DUMMYFUNCTION("""COMPUTED_VALUE"""),"Lluís Companys. 80 anys de l’assassinat d’un president")</x:f>
      </x:c>
      <x:c r="C4643" s="1">
        <x:f>IFERROR(__xludf.DUMMYFUNCTION("""COMPUTED_VALUE"""),"2020")</x:f>
      </x:c>
    </x:row>
    <x:row r="4644" spans="1:10">
      <x:c r="A4644" s="1" t="s">
        <x:v>4653</x:v>
      </x:c>
      <x:c r="B4644" s="1">
        <x:f>IFERROR(__xludf.DUMMYFUNCTION("""COMPUTED_VALUE"""),"Lluís Llach - Pla seqüència - Making of")</x:f>
      </x:c>
      <x:c r="C4644" s="1">
        <x:f>IFERROR(__xludf.DUMMYFUNCTION("""COMPUTED_VALUE"""),"2026")</x:f>
      </x:c>
    </x:row>
    <x:row r="4645" spans="1:10">
      <x:c r="A4645" s="1" t="s">
        <x:v>4654</x:v>
      </x:c>
      <x:c r="B4645" s="1">
        <x:f>IFERROR(__xludf.DUMMYFUNCTION("""COMPUTED_VALUE"""),"Lluís Llach - Pla seqüència")</x:f>
      </x:c>
      <x:c r="C4645" s="1">
        <x:f>IFERROR(__xludf.DUMMYFUNCTION("""COMPUTED_VALUE"""),"2026")</x:f>
      </x:c>
    </x:row>
    <x:row r="4646" spans="1:10">
      <x:c r="A4646" s="1" t="s">
        <x:v>4655</x:v>
      </x:c>
      <x:c r="B4646" s="1">
        <x:f>IFERROR(__xludf.DUMMYFUNCTION("""COMPUTED_VALUE"""),"Lluís Llach, 25 anys: aprendre. El plaer de la descoberta")</x:f>
      </x:c>
      <x:c r="C4646" s="1">
        <x:f>IFERROR(__xludf.DUMMYFUNCTION("""COMPUTED_VALUE"""),"1992")</x:f>
      </x:c>
    </x:row>
    <x:row r="4647" spans="1:10">
      <x:c r="A4647" s="1" t="s">
        <x:v>4656</x:v>
      </x:c>
      <x:c r="B4647" s="1">
        <x:f>IFERROR(__xludf.DUMMYFUNCTION("""COMPUTED_VALUE"""),"Lluita de titans")</x:f>
      </x:c>
      <x:c r="C4647" s="1">
        <x:f>IFERROR(__xludf.DUMMYFUNCTION("""COMPUTED_VALUE"""),"2010")</x:f>
      </x:c>
    </x:row>
    <x:row r="4648" spans="1:10">
      <x:c r="A4648" s="1" t="s">
        <x:v>4657</x:v>
      </x:c>
      <x:c r="B4648" s="1">
        <x:f>IFERROR(__xludf.DUMMYFUNCTION("""COMPUTED_VALUE"""),"Lluita per la pau")</x:f>
      </x:c>
      <x:c r="C4648" s="1">
        <x:f>IFERROR(__xludf.DUMMYFUNCTION("""COMPUTED_VALUE"""),"2023")</x:f>
      </x:c>
    </x:row>
    <x:row r="4649" spans="1:10">
      <x:c r="A4649" s="1" t="s">
        <x:v>4658</x:v>
      </x:c>
      <x:c r="B4649" s="1">
        <x:f>IFERROR(__xludf.DUMMYFUNCTION("""COMPUTED_VALUE"""),"Llum de dia")</x:f>
      </x:c>
      <x:c r="C4649" s="1">
        <x:f>IFERROR(__xludf.DUMMYFUNCTION("""COMPUTED_VALUE"""),"2013")</x:f>
      </x:c>
    </x:row>
    <x:row r="4650" spans="1:10">
      <x:c r="A4650" s="1" t="s">
        <x:v>4659</x:v>
      </x:c>
      <x:c r="B4650" s="1">
        <x:f>IFERROR(__xludf.DUMMYFUNCTION("""COMPUTED_VALUE"""),"Llum de dona")</x:f>
      </x:c>
      <x:c r="C4650" s="1">
        <x:f>IFERROR(__xludf.DUMMYFUNCTION("""COMPUTED_VALUE"""),"1979")</x:f>
      </x:c>
    </x:row>
    <x:row r="4651" spans="1:10">
      <x:c r="A4651" s="1" t="s">
        <x:v>4660</x:v>
      </x:c>
      <x:c r="B4651" s="1">
        <x:f>IFERROR(__xludf.DUMMYFUNCTION("""COMPUTED_VALUE"""),"Llums vermells")</x:f>
      </x:c>
      <x:c r="C4651" s="1">
        <x:f>IFERROR(__xludf.DUMMYFUNCTION("""COMPUTED_VALUE"""),"2012")</x:f>
      </x:c>
    </x:row>
    <x:row r="4652" spans="1:10">
      <x:c r="A4652" s="1" t="s">
        <x:v>4661</x:v>
      </x:c>
      <x:c r="B4652" s="1">
        <x:f>IFERROR(__xludf.DUMMYFUNCTION("""COMPUTED_VALUE"""),"Lluna al Brasil")</x:f>
      </x:c>
      <x:c r="C4652" s="1">
        <x:f>IFERROR(__xludf.DUMMYFUNCTION("""COMPUTED_VALUE"""),"2013")</x:f>
      </x:c>
    </x:row>
    <x:row r="4653" spans="1:10">
      <x:c r="A4653" s="1" t="s">
        <x:v>4662</x:v>
      </x:c>
      <x:c r="B4653" s="1">
        <x:f>IFERROR(__xludf.DUMMYFUNCTION("""COMPUTED_VALUE"""),"LLuna calenta")</x:f>
      </x:c>
      <x:c r="C4653" s="1">
        <x:f>IFERROR(__xludf.DUMMYFUNCTION("""COMPUTED_VALUE"""),"2009")</x:f>
      </x:c>
    </x:row>
    <x:row r="4654" spans="1:10">
      <x:c r="A4654" s="1" t="s">
        <x:v>4663</x:v>
      </x:c>
      <x:c r="B4654" s="1">
        <x:f>IFERROR(__xludf.DUMMYFUNCTION("""COMPUTED_VALUE"""),"Lluna de mel mortal")</x:f>
      </x:c>
      <x:c r="C4654" s="1">
        <x:f>IFERROR(__xludf.DUMMYFUNCTION("""COMPUTED_VALUE"""),"2010")</x:f>
      </x:c>
    </x:row>
    <x:row r="4655" spans="1:10">
      <x:c r="A4655" s="1" t="s">
        <x:v>4664</x:v>
      </x:c>
      <x:c r="B4655" s="1">
        <x:f>IFERROR(__xludf.DUMMYFUNCTION("""COMPUTED_VALUE"""),"Lluna nova")</x:f>
      </x:c>
      <x:c r="C4655" s="1">
        <x:f>IFERROR(__xludf.DUMMYFUNCTION("""COMPUTED_VALUE"""),"2009")</x:f>
      </x:c>
    </x:row>
    <x:row r="4656" spans="1:10">
      <x:c r="A4656" s="1" t="s">
        <x:v>4665</x:v>
      </x:c>
      <x:c r="B4656" s="1">
        <x:f>IFERROR(__xludf.DUMMYFUNCTION("""COMPUTED_VALUE"""),"Lluna nova [VOSC]")</x:f>
      </x:c>
      <x:c r="C4656" s="1">
        <x:f>IFERROR(__xludf.DUMMYFUNCTION("""COMPUTED_VALUE"""),"1940")</x:f>
      </x:c>
    </x:row>
    <x:row r="4657" spans="1:10">
      <x:c r="A4657" s="1" t="s">
        <x:v>4666</x:v>
      </x:c>
      <x:c r="B4657" s="1">
        <x:f>IFERROR(__xludf.DUMMYFUNCTION("""COMPUTED_VALUE"""),"Lluna plena")</x:f>
      </x:c>
      <x:c r="C4657" s="1">
        <x:f>IFERROR(__xludf.DUMMYFUNCTION("""COMPUTED_VALUE"""),"2011")</x:f>
      </x:c>
    </x:row>
    <x:row r="4658" spans="1:10">
      <x:c r="A4658" s="1" t="s">
        <x:v>4667</x:v>
      </x:c>
      <x:c r="B4658" s="1">
        <x:f>IFERROR(__xludf.DUMMYFUNCTION("""COMPUTED_VALUE"""),"Llunàtics")</x:f>
      </x:c>
      <x:c r="C4658" s="1">
        <x:f>IFERROR(__xludf.DUMMYFUNCTION("""COMPUTED_VALUE"""),"2021")</x:f>
      </x:c>
    </x:row>
    <x:row r="4659" spans="1:10">
      <x:c r="A4659" s="1" t="s">
        <x:v>4668</x:v>
      </x:c>
      <x:c r="B4659" s="1">
        <x:f>IFERROR(__xludf.DUMMYFUNCTION("""COMPUTED_VALUE"""),"Lluny d'ella")</x:f>
      </x:c>
      <x:c r="C4659" s="1">
        <x:f>IFERROR(__xludf.DUMMYFUNCTION("""COMPUTED_VALUE"""),"2006")</x:f>
      </x:c>
    </x:row>
    <x:row r="4660" spans="1:10">
      <x:c r="A4660" s="1" t="s">
        <x:v>4669</x:v>
      </x:c>
      <x:c r="B4660" s="1">
        <x:f>IFERROR(__xludf.DUMMYFUNCTION("""COMPUTED_VALUE"""),"Lluny de la terra cremada")</x:f>
      </x:c>
      <x:c r="C4660" s="1">
        <x:f>IFERROR(__xludf.DUMMYFUNCTION("""COMPUTED_VALUE"""),"2008")</x:f>
      </x:c>
    </x:row>
    <x:row r="4661" spans="1:10">
      <x:c r="A4661" s="1" t="s">
        <x:v>4670</x:v>
      </x:c>
      <x:c r="B4661" s="1">
        <x:f>IFERROR(__xludf.DUMMYFUNCTION("""COMPUTED_VALUE"""),"LMN's (llargmetratge)")</x:f>
      </x:c>
      <x:c r="C4661" s="1">
        <x:f>IFERROR(__xludf.DUMMYFUNCTION("""COMPUTED_VALUE"""),"2006")</x:f>
      </x:c>
    </x:row>
    <x:row r="4662" spans="1:10">
      <x:c r="A4662" s="1" t="s">
        <x:v>4671</x:v>
      </x:c>
      <x:c r="B4662" s="1">
        <x:f>IFERROR(__xludf.DUMMYFUNCTION("""COMPUTED_VALUE"""),"Lobster soup [VOSC]")</x:f>
      </x:c>
      <x:c r="C4662" s="1">
        <x:f>IFERROR(__xludf.DUMMYFUNCTION("""COMPUTED_VALUE"""),"2020")</x:f>
      </x:c>
    </x:row>
    <x:row r="4663" spans="1:10">
      <x:c r="A4663" s="1" t="s">
        <x:v>4672</x:v>
      </x:c>
      <x:c r="B4663" s="1">
        <x:f>IFERROR(__xludf.DUMMYFUNCTION("""COMPUTED_VALUE"""),"Lockdown [VOSC]")</x:f>
      </x:c>
      <x:c r="C4663" s="1">
        <x:f>IFERROR(__xludf.DUMMYFUNCTION("""COMPUTED_VALUE"""),"2021")</x:f>
      </x:c>
    </x:row>
    <x:row r="4664" spans="1:10">
      <x:c r="A4664" s="1" t="s">
        <x:v>4673</x:v>
      </x:c>
      <x:c r="B4664" s="1">
        <x:f>IFERROR(__xludf.DUMMYFUNCTION("""COMPUTED_VALUE"""),"LOL")</x:f>
      </x:c>
      <x:c r="C4664" s="1">
        <x:f>IFERROR(__xludf.DUMMYFUNCTION("""COMPUTED_VALUE"""),"2008")</x:f>
      </x:c>
    </x:row>
    <x:row r="4665" spans="1:10">
      <x:c r="A4665" s="1" t="s">
        <x:v>4674</x:v>
      </x:c>
      <x:c r="B4665" s="1">
        <x:f>IFERROR(__xludf.DUMMYFUNCTION("""COMPUTED_VALUE"""),"LOL")</x:f>
      </x:c>
      <x:c r="C4665" s="1">
        <x:f>IFERROR(__xludf.DUMMYFUNCTION("""COMPUTED_VALUE"""),"2012")</x:f>
      </x:c>
    </x:row>
    <x:row r="4666" spans="1:10">
      <x:c r="A4666" s="1" t="s">
        <x:v>4675</x:v>
      </x:c>
      <x:c r="B4666" s="1">
        <x:f>IFERROR(__xludf.DUMMYFUNCTION("""COMPUTED_VALUE"""),"Lola i els seus germans")</x:f>
      </x:c>
      <x:c r="C4666" s="1">
        <x:f>IFERROR(__xludf.DUMMYFUNCTION("""COMPUTED_VALUE"""),"2018")</x:f>
      </x:c>
    </x:row>
    <x:row r="4667" spans="1:10">
      <x:c r="A4667" s="1" t="s">
        <x:v>4676</x:v>
      </x:c>
      <x:c r="B4667" s="1">
        <x:f>IFERROR(__xludf.DUMMYFUNCTION("""COMPUTED_VALUE"""),"Loli Tormenta")</x:f>
      </x:c>
      <x:c r="C4667" s="1">
        <x:f>IFERROR(__xludf.DUMMYFUNCTION("""COMPUTED_VALUE"""),"2023")</x:f>
      </x:c>
    </x:row>
    <x:row r="4668" spans="1:10">
      <x:c r="A4668" s="1" t="s">
        <x:v>4677</x:v>
      </x:c>
      <x:c r="B4668" s="1">
        <x:f>IFERROR(__xludf.DUMMYFUNCTION("""COMPUTED_VALUE"""),"Lolita")</x:f>
      </x:c>
      <x:c r="C4668" s="1">
        <x:f>IFERROR(__xludf.DUMMYFUNCTION("""COMPUTED_VALUE"""),"1962")</x:f>
      </x:c>
    </x:row>
    <x:row r="4669" spans="1:10">
      <x:c r="A4669" s="1" t="s">
        <x:v>4678</x:v>
      </x:c>
      <x:c r="B4669" s="1">
        <x:f>IFERROR(__xludf.DUMMYFUNCTION("""COMPUTED_VALUE"""),"London Boulevard")</x:f>
      </x:c>
      <x:c r="C4669" s="1">
        <x:f>IFERROR(__xludf.DUMMYFUNCTION("""COMPUTED_VALUE"""),"2010")</x:f>
      </x:c>
    </x:row>
    <x:row r="4670" spans="1:10">
      <x:c r="A4670" s="1" t="s">
        <x:v>4679</x:v>
      </x:c>
      <x:c r="B4670" s="1">
        <x:f>IFERROR(__xludf.DUMMYFUNCTION("""COMPUTED_VALUE"""),"London River")</x:f>
      </x:c>
      <x:c r="C4670" s="1">
        <x:f>IFERROR(__xludf.DUMMYFUNCTION("""COMPUTED_VALUE"""),"2009")</x:f>
      </x:c>
    </x:row>
    <x:row r="4671" spans="1:10">
      <x:c r="A4671" s="1" t="s">
        <x:v>4680</x:v>
      </x:c>
      <x:c r="B4671" s="1">
        <x:f>IFERROR(__xludf.DUMMYFUNCTION("""COMPUTED_VALUE"""),"Looking for Rohmer [VOSC]")</x:f>
      </x:c>
      <x:c r="C4671" s="1">
        <x:f>IFERROR(__xludf.DUMMYFUNCTION("""COMPUTED_VALUE"""),"2018")</x:f>
      </x:c>
    </x:row>
    <x:row r="4672" spans="1:10">
      <x:c r="A4672" s="1" t="s">
        <x:v>4681</x:v>
      </x:c>
      <x:c r="B4672" s="1">
        <x:f>IFERROR(__xludf.DUMMYFUNCTION("""COMPUTED_VALUE"""),"Looney Tunes, De nou en acció")</x:f>
      </x:c>
      <x:c r="C4672" s="1">
        <x:f>IFERROR(__xludf.DUMMYFUNCTION("""COMPUTED_VALUE"""),"2003")</x:f>
      </x:c>
    </x:row>
    <x:row r="4673" spans="1:10">
      <x:c r="A4673" s="1" t="s">
        <x:v>4682</x:v>
      </x:c>
      <x:c r="B4673" s="1">
        <x:f>IFERROR(__xludf.DUMMYFUNCTION("""COMPUTED_VALUE"""),"Looper")</x:f>
      </x:c>
      <x:c r="C4673" s="1">
        <x:f>IFERROR(__xludf.DUMMYFUNCTION("""COMPUTED_VALUE"""),"2012")</x:f>
      </x:c>
    </x:row>
    <x:row r="4674" spans="1:10">
      <x:c r="A4674" s="1" t="s">
        <x:v>4683</x:v>
      </x:c>
      <x:c r="B4674" s="1">
        <x:f>IFERROR(__xludf.DUMMYFUNCTION("""COMPUTED_VALUE"""),"Lorax, a la recerca de la trúfula perduda")</x:f>
      </x:c>
      <x:c r="C4674" s="1">
        <x:f>IFERROR(__xludf.DUMMYFUNCTION("""COMPUTED_VALUE"""),"2012")</x:f>
      </x:c>
    </x:row>
    <x:row r="4675" spans="1:10">
      <x:c r="A4675" s="1" t="s">
        <x:v>4684</x:v>
      </x:c>
      <x:c r="B4675" s="1">
        <x:f>IFERROR(__xludf.DUMMYFUNCTION("""COMPUTED_VALUE"""),"Lore")</x:f>
      </x:c>
      <x:c r="C4675" s="1">
        <x:f>IFERROR(__xludf.DUMMYFUNCTION("""COMPUTED_VALUE"""),"2012")</x:f>
      </x:c>
    </x:row>
    <x:row r="4676" spans="1:10">
      <x:c r="A4676" s="1" t="s">
        <x:v>4685</x:v>
      </x:c>
      <x:c r="B4676" s="1">
        <x:f>IFERROR(__xludf.DUMMYFUNCTION("""COMPUTED_VALUE"""),"Lourdes")</x:f>
      </x:c>
      <x:c r="C4676" s="1">
        <x:f>IFERROR(__xludf.DUMMYFUNCTION("""COMPUTED_VALUE"""),"2009")</x:f>
      </x:c>
    </x:row>
    <x:row r="4677" spans="1:10">
      <x:c r="A4677" s="1" t="s">
        <x:v>4686</x:v>
      </x:c>
      <x:c r="B4677" s="1">
        <x:f>IFERROR(__xludf.DUMMYFUNCTION("""COMPUTED_VALUE"""),"Love &amp; Mercy")</x:f>
      </x:c>
      <x:c r="C4677" s="1">
        <x:f>IFERROR(__xludf.DUMMYFUNCTION("""COMPUTED_VALUE"""),"2014")</x:f>
      </x:c>
    </x:row>
    <x:row r="4678" spans="1:10">
      <x:c r="A4678" s="1" t="s">
        <x:v>4687</x:v>
      </x:c>
      <x:c r="B4678" s="1">
        <x:f>IFERROR(__xludf.DUMMYFUNCTION("""COMPUTED_VALUE"""),"Love Actually")</x:f>
      </x:c>
      <x:c r="C4678" s="1">
        <x:f>IFERROR(__xludf.DUMMYFUNCTION("""COMPUTED_VALUE"""),"2003")</x:f>
      </x:c>
    </x:row>
    <x:row r="4679" spans="1:10">
      <x:c r="A4679" s="1" t="s">
        <x:v>4688</x:v>
      </x:c>
      <x:c r="B4679" s="1">
        <x:f>IFERROR(__xludf.DUMMYFUNCTION("""COMPUTED_VALUE"""),"Love Happens")</x:f>
      </x:c>
      <x:c r="C4679" s="1">
        <x:f>IFERROR(__xludf.DUMMYFUNCTION("""COMPUTED_VALUE"""),"2009")</x:f>
      </x:c>
    </x:row>
    <x:row r="4680" spans="1:10">
      <x:c r="A4680" s="1" t="s">
        <x:v>4689</x:v>
      </x:c>
      <x:c r="B4680" s="1">
        <x:f>IFERROR(__xludf.DUMMYFUNCTION("""COMPUTED_VALUE"""),"Love Life")</x:f>
      </x:c>
      <x:c r="C4680" s="1">
        <x:f>IFERROR(__xludf.DUMMYFUNCTION("""COMPUTED_VALUE"""),"2022")</x:f>
      </x:c>
    </x:row>
    <x:row r="4681" spans="1:10">
      <x:c r="A4681" s="1" t="s">
        <x:v>4690</x:v>
      </x:c>
      <x:c r="B4681" s="1">
        <x:f>IFERROR(__xludf.DUMMYFUNCTION("""COMPUTED_VALUE"""),"Love Me Not")</x:f>
      </x:c>
      <x:c r="C4681" s="1">
        <x:f>IFERROR(__xludf.DUMMYFUNCTION("""COMPUTED_VALUE"""),"2019")</x:f>
      </x:c>
    </x:row>
    <x:row r="4682" spans="1:10">
      <x:c r="A4682" s="1" t="s">
        <x:v>4691</x:v>
      </x:c>
      <x:c r="B4682" s="1">
        <x:f>IFERROR(__xludf.DUMMYFUNCTION("""COMPUTED_VALUE"""),"Love Sick")</x:f>
      </x:c>
      <x:c r="C4682" s="1">
        <x:f>IFERROR(__xludf.DUMMYFUNCTION("""COMPUTED_VALUE"""),"2006")</x:f>
      </x:c>
    </x:row>
    <x:row r="4683" spans="1:10">
      <x:c r="A4683" s="1" t="s">
        <x:v>4692</x:v>
      </x:c>
      <x:c r="B4683" s="1">
        <x:f>IFERROR(__xludf.DUMMYFUNCTION("""COMPUTED_VALUE"""),"Love Story")</x:f>
      </x:c>
      <x:c r="C4683" s="1">
        <x:f>IFERROR(__xludf.DUMMYFUNCTION("""COMPUTED_VALUE"""),"1970")</x:f>
      </x:c>
    </x:row>
    <x:row r="4684" spans="1:10">
      <x:c r="A4684" s="1" t="s">
        <x:v>4693</x:v>
      </x:c>
      <x:c r="B4684" s="1">
        <x:f>IFERROR(__xludf.DUMMYFUNCTION("""COMPUTED_VALUE"""),"Love Wrecked")</x:f>
      </x:c>
      <x:c r="C4684" s="1">
        <x:f>IFERROR(__xludf.DUMMYFUNCTION("""COMPUTED_VALUE"""),"2005")</x:f>
      </x:c>
    </x:row>
    <x:row r="4685" spans="1:10">
      <x:c r="A4685" s="1" t="s">
        <x:v>4694</x:v>
      </x:c>
      <x:c r="B4685" s="1">
        <x:f>IFERROR(__xludf.DUMMYFUNCTION("""COMPUTED_VALUE"""),"Loving Vincent")</x:f>
      </x:c>
      <x:c r="C4685" s="1">
        <x:f>IFERROR(__xludf.DUMMYFUNCTION("""COMPUTED_VALUE"""),"2017")</x:f>
      </x:c>
    </x:row>
    <x:row r="4686" spans="1:10">
      <x:c r="A4686" s="1" t="s">
        <x:v>4695</x:v>
      </x:c>
      <x:c r="B4686" s="1">
        <x:f>IFERROR(__xludf.DUMMYFUNCTION("""COMPUTED_VALUE"""),"Lucky Luke - La balada dels Dalton")</x:f>
      </x:c>
      <x:c r="C4686" s="1">
        <x:f>IFERROR(__xludf.DUMMYFUNCTION("""COMPUTED_VALUE"""),"1978")</x:f>
      </x:c>
    </x:row>
    <x:row r="4687" spans="1:10">
      <x:c r="A4687" s="1" t="s">
        <x:v>4696</x:v>
      </x:c>
      <x:c r="B4687" s="1">
        <x:f>IFERROR(__xludf.DUMMYFUNCTION("""COMPUTED_VALUE"""),"Lucky Luke - Tots cap a l'Oest")</x:f>
      </x:c>
      <x:c r="C4687" s="1">
        <x:f>IFERROR(__xludf.DUMMYFUNCTION("""COMPUTED_VALUE"""),"2007")</x:f>
      </x:c>
    </x:row>
    <x:row r="4688" spans="1:10">
      <x:c r="A4688" s="1" t="s">
        <x:v>4697</x:v>
      </x:c>
      <x:c r="B4688" s="1">
        <x:f>IFERROR(__xludf.DUMMYFUNCTION("""COMPUTED_VALUE"""),"Lucky Luke, l'intrèpid")</x:f>
      </x:c>
      <x:c r="C4688" s="1">
        <x:f>IFERROR(__xludf.DUMMYFUNCTION("""COMPUTED_VALUE"""),"1971")</x:f>
      </x:c>
    </x:row>
    <x:row r="4689" spans="1:10">
      <x:c r="A4689" s="1" t="s">
        <x:v>4698</x:v>
      </x:c>
      <x:c r="B4689" s="1">
        <x:f>IFERROR(__xludf.DUMMYFUNCTION("""COMPUTED_VALUE"""),"Lucky Luke: Els Dalton en llibertat")</x:f>
      </x:c>
      <x:c r="C4689" s="1">
        <x:f>IFERROR(__xludf.DUMMYFUNCTION("""COMPUTED_VALUE"""),"1983")</x:f>
      </x:c>
    </x:row>
    <x:row r="4690" spans="1:10">
      <x:c r="A4690" s="1" t="s">
        <x:v>4699</x:v>
      </x:c>
      <x:c r="B4690" s="1">
        <x:f>IFERROR(__xludf.DUMMYFUNCTION("""COMPUTED_VALUE"""),"Luis Enrique, Lucho, Luis")</x:f>
      </x:c>
      <x:c r="C4690" s="1">
        <x:f>IFERROR(__xludf.DUMMYFUNCTION("""COMPUTED_VALUE"""),"2017")</x:f>
      </x:c>
    </x:row>
    <x:row r="4691" spans="1:10">
      <x:c r="A4691" s="1" t="s">
        <x:v>4700</x:v>
      </x:c>
      <x:c r="B4691" s="1">
        <x:f>IFERROR(__xludf.DUMMYFUNCTION("""COMPUTED_VALUE"""),"Luis i els extraterrestres")</x:f>
      </x:c>
      <x:c r="C4691" s="1">
        <x:f>IFERROR(__xludf.DUMMYFUNCTION("""COMPUTED_VALUE"""),"2018")</x:f>
      </x:c>
    </x:row>
    <x:row r="4692" spans="1:10">
      <x:c r="A4692" s="1" t="s">
        <x:v>4701</x:v>
      </x:c>
      <x:c r="B4692" s="1">
        <x:f>IFERROR(__xludf.DUMMYFUNCTION("""COMPUTED_VALUE"""),"Lunana, un iac a l'escola")</x:f>
      </x:c>
      <x:c r="C4692" s="1">
        <x:f>IFERROR(__xludf.DUMMYFUNCTION("""COMPUTED_VALUE"""),"2019")</x:f>
      </x:c>
    </x:row>
    <x:row r="4693" spans="1:10">
      <x:c r="A4693" s="1" t="s">
        <x:v>4702</x:v>
      </x:c>
      <x:c r="B4693" s="1">
        <x:f>IFERROR(__xludf.DUMMYFUNCTION("""COMPUTED_VALUE"""),"Lupin III: The First")</x:f>
      </x:c>
      <x:c r="C4693" s="1">
        <x:f>IFERROR(__xludf.DUMMYFUNCTION("""COMPUTED_VALUE"""),"2019")</x:f>
      </x:c>
    </x:row>
    <x:row r="4694" spans="1:10">
      <x:c r="A4694" s="1" t="s">
        <x:v>4703</x:v>
      </x:c>
      <x:c r="B4694" s="1">
        <x:f>IFERROR(__xludf.DUMMYFUNCTION("""COMPUTED_VALUE"""),"M'he casat amb una bruixa")</x:f>
      </x:c>
      <x:c r="C4694" s="1">
        <x:f>IFERROR(__xludf.DUMMYFUNCTION("""COMPUTED_VALUE"""),"1942")</x:f>
      </x:c>
    </x:row>
    <x:row r="4695" spans="1:10">
      <x:c r="A4695" s="1" t="s">
        <x:v>4704</x:v>
      </x:c>
      <x:c r="B4695" s="1">
        <x:f>IFERROR(__xludf.DUMMYFUNCTION("""COMPUTED_VALUE"""),"M'he empassat un extraterrestre")</x:f>
      </x:c>
      <x:c r="C4695" s="1">
        <x:f>IFERROR(__xludf.DUMMYFUNCTION("""COMPUTED_VALUE"""),"2023")</x:f>
      </x:c>
    </x:row>
    <x:row r="4696" spans="1:10">
      <x:c r="A4696" s="1" t="s">
        <x:v>4705</x:v>
      </x:c>
      <x:c r="B4696" s="1">
        <x:f>IFERROR(__xludf.DUMMYFUNCTION("""COMPUTED_VALUE"""),"M'ho vas prometre")</x:f>
      </x:c>
      <x:c r="C4696" s="1">
        <x:f>IFERROR(__xludf.DUMMYFUNCTION("""COMPUTED_VALUE"""),"2012")</x:f>
      </x:c>
    </x:row>
    <x:row r="4697" spans="1:10">
      <x:c r="A4697" s="1" t="s">
        <x:v>4706</x:v>
      </x:c>
      <x:c r="B4697" s="1">
        <x:f>IFERROR(__xludf.DUMMYFUNCTION("""COMPUTED_VALUE"""),"Macbeth")</x:f>
      </x:c>
      <x:c r="C4697" s="1">
        <x:f>IFERROR(__xludf.DUMMYFUNCTION("""COMPUTED_VALUE"""),"1948")</x:f>
      </x:c>
    </x:row>
    <x:row r="4698" spans="1:10">
      <x:c r="A4698" s="1" t="s">
        <x:v>4707</x:v>
      </x:c>
      <x:c r="B4698" s="1">
        <x:f>IFERROR(__xludf.DUMMYFUNCTION("""COMPUTED_VALUE"""),"Macbeth")</x:f>
      </x:c>
      <x:c r="C4698" s="1">
        <x:f>IFERROR(__xludf.DUMMYFUNCTION("""COMPUTED_VALUE"""),"2015")</x:f>
      </x:c>
    </x:row>
    <x:row r="4699" spans="1:10">
      <x:c r="A4699" s="1" t="s">
        <x:v>4708</x:v>
      </x:c>
      <x:c r="B4699" s="1">
        <x:f>IFERROR(__xludf.DUMMYFUNCTION("""COMPUTED_VALUE"""),"Machete")</x:f>
      </x:c>
      <x:c r="C4699" s="1">
        <x:f>IFERROR(__xludf.DUMMYFUNCTION("""COMPUTED_VALUE"""),"2010")</x:f>
      </x:c>
    </x:row>
    <x:row r="4700" spans="1:10">
      <x:c r="A4700" s="1" t="s">
        <x:v>4709</x:v>
      </x:c>
      <x:c r="B4700" s="1">
        <x:f>IFERROR(__xludf.DUMMYFUNCTION("""COMPUTED_VALUE"""),"Macià contra Companys; les claus del 14 d'abril")</x:f>
      </x:c>
      <x:c r="C4700" s="1">
        <x:f>IFERROR(__xludf.DUMMYFUNCTION("""COMPUTED_VALUE"""),"2011")</x:f>
      </x:c>
    </x:row>
    <x:row r="4701" spans="1:10">
      <x:c r="A4701" s="1" t="s">
        <x:v>4710</x:v>
      </x:c>
      <x:c r="B4701" s="1">
        <x:f>IFERROR(__xludf.DUMMYFUNCTION("""COMPUTED_VALUE"""),"Mad Max I")</x:f>
      </x:c>
      <x:c r="C4701" s="1">
        <x:f>IFERROR(__xludf.DUMMYFUNCTION("""COMPUTED_VALUE"""),"1979")</x:f>
      </x:c>
    </x:row>
    <x:row r="4702" spans="1:10">
      <x:c r="A4702" s="1" t="s">
        <x:v>4711</x:v>
      </x:c>
      <x:c r="B4702" s="1">
        <x:f>IFERROR(__xludf.DUMMYFUNCTION("""COMPUTED_VALUE"""),"Mad Max II EI guerrer de la carretera")</x:f>
      </x:c>
      <x:c r="C4702" s="1">
        <x:f>IFERROR(__xludf.DUMMYFUNCTION("""COMPUTED_VALUE"""),"1981")</x:f>
      </x:c>
    </x:row>
    <x:row r="4703" spans="1:10">
      <x:c r="A4703" s="1" t="s">
        <x:v>4712</x:v>
      </x:c>
      <x:c r="B4703" s="1">
        <x:f>IFERROR(__xludf.DUMMYFUNCTION("""COMPUTED_VALUE"""),"Mad Max III Més enllà de la cúpula del tro")</x:f>
      </x:c>
      <x:c r="C4703" s="1">
        <x:f>IFERROR(__xludf.DUMMYFUNCTION("""COMPUTED_VALUE"""),"1985")</x:f>
      </x:c>
    </x:row>
    <x:row r="4704" spans="1:10">
      <x:c r="A4704" s="1" t="s">
        <x:v>4713</x:v>
      </x:c>
      <x:c r="B4704" s="1">
        <x:f>IFERROR(__xludf.DUMMYFUNCTION("""COMPUTED_VALUE"""),"Mad Max: Fúria a la carretera")</x:f>
      </x:c>
      <x:c r="C4704" s="1">
        <x:f>IFERROR(__xludf.DUMMYFUNCTION("""COMPUTED_VALUE"""),"2015")</x:f>
      </x:c>
    </x:row>
    <x:row r="4705" spans="1:10">
      <x:c r="A4705" s="1" t="s">
        <x:v>4714</x:v>
      </x:c>
      <x:c r="B4705" s="1">
        <x:f>IFERROR(__xludf.DUMMYFUNCTION("""COMPUTED_VALUE"""),"Madagascar")</x:f>
      </x:c>
      <x:c r="C4705" s="1">
        <x:f>IFERROR(__xludf.DUMMYFUNCTION("""COMPUTED_VALUE"""),"2005")</x:f>
      </x:c>
    </x:row>
    <x:row r="4706" spans="1:10">
      <x:c r="A4706" s="1" t="s">
        <x:v>4715</x:v>
      </x:c>
      <x:c r="B4706" s="1">
        <x:f>IFERROR(__xludf.DUMMYFUNCTION("""COMPUTED_VALUE"""),"Madagascar 2")</x:f>
      </x:c>
      <x:c r="C4706" s="1">
        <x:f>IFERROR(__xludf.DUMMYFUNCTION("""COMPUTED_VALUE"""),"2008")</x:f>
      </x:c>
    </x:row>
    <x:row r="4707" spans="1:10">
      <x:c r="A4707" s="1" t="s">
        <x:v>4716</x:v>
      </x:c>
      <x:c r="B4707" s="1">
        <x:f>IFERROR(__xludf.DUMMYFUNCTION("""COMPUTED_VALUE"""),"Madagascar 3: de marxa per Europa")</x:f>
      </x:c>
      <x:c r="C4707" s="1">
        <x:f>IFERROR(__xludf.DUMMYFUNCTION("""COMPUTED_VALUE"""),"2012")</x:f>
      </x:c>
    </x:row>
    <x:row r="4708" spans="1:10">
      <x:c r="A4708" s="1" t="s">
        <x:v>4717</x:v>
      </x:c>
      <x:c r="B4708" s="1">
        <x:f>IFERROR(__xludf.DUMMYFUNCTION("""COMPUTED_VALUE"""),"Madame")</x:f>
      </x:c>
      <x:c r="C4708" s="1">
        <x:f>IFERROR(__xludf.DUMMYFUNCTION("""COMPUTED_VALUE"""),"2017")</x:f>
      </x:c>
    </x:row>
    <x:row r="4709" spans="1:10">
      <x:c r="A4709" s="1" t="s">
        <x:v>4718</x:v>
      </x:c>
      <x:c r="B4709" s="1">
        <x:f>IFERROR(__xludf.DUMMYFUNCTION("""COMPUTED_VALUE"""),"Madame Curie")</x:f>
      </x:c>
      <x:c r="C4709" s="1">
        <x:f>IFERROR(__xludf.DUMMYFUNCTION("""COMPUTED_VALUE"""),"2019")</x:f>
      </x:c>
    </x:row>
    <x:row r="4710" spans="1:10">
      <x:c r="A4710" s="1" t="s">
        <x:v>4719</x:v>
      </x:c>
      <x:c r="B4710" s="1">
        <x:f>IFERROR(__xludf.DUMMYFUNCTION("""COMPUTED_VALUE"""),"Madame Tussaud, una llegenda de cera")</x:f>
      </x:c>
      <x:c r="C4710" s="1">
        <x:f>IFERROR(__xludf.DUMMYFUNCTION("""COMPUTED_VALUE"""),"2016")</x:f>
      </x:c>
    </x:row>
    <x:row r="4711" spans="1:10">
      <x:c r="A4711" s="1" t="s">
        <x:v>4720</x:v>
      </x:c>
      <x:c r="B4711" s="1">
        <x:f>IFERROR(__xludf.DUMMYFUNCTION("""COMPUTED_VALUE"""),"Maddy Etcheban")</x:f>
      </x:c>
      <x:c r="C4711" s="1">
        <x:f>IFERROR(__xludf.DUMMYFUNCTION("""COMPUTED_VALUE"""),"2020")</x:f>
      </x:c>
    </x:row>
    <x:row r="4712" spans="1:10">
      <x:c r="A4712" s="1" t="s">
        <x:v>4721</x:v>
      </x:c>
      <x:c r="B4712" s="1">
        <x:f>IFERROR(__xludf.DUMMYFUNCTION("""COMPUTED_VALUE"""),"Madeinusa")</x:f>
      </x:c>
      <x:c r="C4712" s="1">
        <x:f>IFERROR(__xludf.DUMMYFUNCTION("""COMPUTED_VALUE"""),"2006")</x:f>
      </x:c>
    </x:row>
    <x:row r="4713" spans="1:10">
      <x:c r="A4713" s="1" t="s">
        <x:v>4722</x:v>
      </x:c>
      <x:c r="B4713" s="1">
        <x:f>IFERROR(__xludf.DUMMYFUNCTION("""COMPUTED_VALUE"""),"Madeleine Collins")</x:f>
      </x:c>
      <x:c r="C4713" s="1">
        <x:f>IFERROR(__xludf.DUMMYFUNCTION("""COMPUTED_VALUE"""),"2021")</x:f>
      </x:c>
    </x:row>
    <x:row r="4714" spans="1:10">
      <x:c r="A4714" s="1" t="s">
        <x:v>4723</x:v>
      </x:c>
      <x:c r="B4714" s="1">
        <x:f>IFERROR(__xludf.DUMMYFUNCTION("""COMPUTED_VALUE"""),"Mademoiselle Chambon")</x:f>
      </x:c>
      <x:c r="C4714" s="1">
        <x:f>IFERROR(__xludf.DUMMYFUNCTION("""COMPUTED_VALUE"""),"2009")</x:f>
      </x:c>
    </x:row>
    <x:row r="4715" spans="1:10">
      <x:c r="A4715" s="1" t="s">
        <x:v>4724</x:v>
      </x:c>
      <x:c r="B4715" s="1">
        <x:f>IFERROR(__xludf.DUMMYFUNCTION("""COMPUTED_VALUE"""),"Madonna - Ciao Italia: Live from Italy")</x:f>
      </x:c>
      <x:c r="C4715" s="1">
        <x:f>IFERROR(__xludf.DUMMYFUNCTION("""COMPUTED_VALUE"""),"1988")</x:f>
      </x:c>
    </x:row>
    <x:row r="4716" spans="1:10">
      <x:c r="A4716" s="1" t="s">
        <x:v>4725</x:v>
      </x:c>
      <x:c r="B4716" s="1">
        <x:f>IFERROR(__xludf.DUMMYFUNCTION("""COMPUTED_VALUE"""),"Madonna - Drowned World Tour - Live from Detroit")</x:f>
      </x:c>
      <x:c r="C4716" s="1">
        <x:f>IFERROR(__xludf.DUMMYFUNCTION("""COMPUTED_VALUE"""),"2001")</x:f>
      </x:c>
    </x:row>
    <x:row r="4717" spans="1:10">
      <x:c r="A4717" s="1" t="s">
        <x:v>4726</x:v>
      </x:c>
      <x:c r="B4717" s="1">
        <x:f>IFERROR(__xludf.DUMMYFUNCTION("""COMPUTED_VALUE"""),"Madonna - The Confessions Tour - Live from London")</x:f>
      </x:c>
      <x:c r="C4717" s="1">
        <x:f>IFERROR(__xludf.DUMMYFUNCTION("""COMPUTED_VALUE"""),"2007")</x:f>
      </x:c>
    </x:row>
    <x:row r="4718" spans="1:10">
      <x:c r="A4718" s="1" t="s">
        <x:v>4727</x:v>
      </x:c>
      <x:c r="B4718" s="1">
        <x:f>IFERROR(__xludf.DUMMYFUNCTION("""COMPUTED_VALUE"""),"Maduro, dels socialisme a la dictadura")</x:f>
      </x:c>
      <x:c r="C4718" s="1">
        <x:f>IFERROR(__xludf.DUMMYFUNCTION("""COMPUTED_VALUE"""),"2024")</x:f>
      </x:c>
    </x:row>
    <x:row r="4719" spans="1:10">
      <x:c r="A4719" s="1" t="s">
        <x:v>4728</x:v>
      </x:c>
      <x:c r="B4719" s="1">
        <x:f>IFERROR(__xludf.DUMMYFUNCTION("""COMPUTED_VALUE"""),"Mãe vol dir mare")</x:f>
      </x:c>
      <x:c r="C4719" s="1">
        <x:f>IFERROR(__xludf.DUMMYFUNCTION("""COMPUTED_VALUE"""),"2025")</x:f>
      </x:c>
    </x:row>
    <x:row r="4720" spans="1:10">
      <x:c r="A4720" s="1" t="s">
        <x:v>4729</x:v>
      </x:c>
      <x:c r="B4720" s="1">
        <x:f>IFERROR(__xludf.DUMMYFUNCTION("""COMPUTED_VALUE"""),"Maestro(s)")</x:f>
      </x:c>
      <x:c r="C4720" s="1">
        <x:f>IFERROR(__xludf.DUMMYFUNCTION("""COMPUTED_VALUE"""),"2022")</x:f>
      </x:c>
    </x:row>
    <x:row r="4721" spans="1:10">
      <x:c r="A4721" s="1" t="s">
        <x:v>4730</x:v>
      </x:c>
      <x:c r="B4721" s="1">
        <x:f>IFERROR(__xludf.DUMMYFUNCTION("""COMPUTED_VALUE"""),"Maggie")</x:f>
      </x:c>
      <x:c r="C4721" s="1">
        <x:f>IFERROR(__xludf.DUMMYFUNCTION("""COMPUTED_VALUE"""),"2015")</x:f>
      </x:c>
    </x:row>
    <x:row r="4722" spans="1:10">
      <x:c r="A4722" s="1" t="s">
        <x:v>4731</x:v>
      </x:c>
      <x:c r="B4722" s="1">
        <x:f>IFERROR(__xludf.DUMMYFUNCTION("""COMPUTED_VALUE"""),"Magia a l'aigua")</x:f>
      </x:c>
      <x:c r="C4722" s="1">
        <x:f>IFERROR(__xludf.DUMMYFUNCTION("""COMPUTED_VALUE"""),"1995")</x:f>
      </x:c>
    </x:row>
    <x:row r="4723" spans="1:10">
      <x:c r="A4723" s="1" t="s">
        <x:v>4732</x:v>
      </x:c>
      <x:c r="B4723" s="1">
        <x:f>IFERROR(__xludf.DUMMYFUNCTION("""COMPUTED_VALUE"""),"Màgia a la llum de la lluna")</x:f>
      </x:c>
      <x:c r="C4723" s="1">
        <x:f>IFERROR(__xludf.DUMMYFUNCTION("""COMPUTED_VALUE"""),"2014")</x:f>
      </x:c>
    </x:row>
    <x:row r="4724" spans="1:10">
      <x:c r="A4724" s="1" t="s">
        <x:v>4733</x:v>
      </x:c>
      <x:c r="B4724" s="1">
        <x:f>IFERROR(__xludf.DUMMYFUNCTION("""COMPUTED_VALUE"""),"Magic Wonderland")</x:f>
      </x:c>
      <x:c r="C4724" s="1">
        <x:f>IFERROR(__xludf.DUMMYFUNCTION("""COMPUTED_VALUE"""),"2014")</x:f>
      </x:c>
    </x:row>
    <x:row r="4725" spans="1:10">
      <x:c r="A4725" s="1" t="s">
        <x:v>4734</x:v>
      </x:c>
      <x:c r="B4725" s="1">
        <x:f>IFERROR(__xludf.DUMMYFUNCTION("""COMPUTED_VALUE"""),"Magnòlies d'acer")</x:f>
      </x:c>
      <x:c r="C4725" s="1">
        <x:f>IFERROR(__xludf.DUMMYFUNCTION("""COMPUTED_VALUE"""),"1989")</x:f>
      </x:c>
    </x:row>
    <x:row r="4726" spans="1:10">
      <x:c r="A4726" s="1" t="s">
        <x:v>4735</x:v>
      </x:c>
      <x:c r="B4726" s="1">
        <x:f>IFERROR(__xludf.DUMMYFUNCTION("""COMPUTED_VALUE"""),"Mai diguis mai més")</x:f>
      </x:c>
      <x:c r="C4726" s="1">
        <x:f>IFERROR(__xludf.DUMMYFUNCTION("""COMPUTED_VALUE"""),"1983")</x:f>
      </x:c>
    </x:row>
    <x:row r="4727" spans="1:10">
      <x:c r="A4727" s="1" t="s">
        <x:v>4736</x:v>
      </x:c>
      <x:c r="B4727" s="1">
        <x:f>IFERROR(__xludf.DUMMYFUNCTION("""COMPUTED_VALUE"""),"Mai és massa tard")</x:f>
      </x:c>
      <x:c r="C4727" s="1">
        <x:f>IFERROR(__xludf.DUMMYFUNCTION("""COMPUTED_VALUE"""),"2013")</x:f>
      </x:c>
    </x:row>
    <x:row r="4728" spans="1:10">
      <x:c r="A4728" s="1" t="s">
        <x:v>4737</x:v>
      </x:c>
      <x:c r="B4728" s="1">
        <x:f>IFERROR(__xludf.DUMMYFUNCTION("""COMPUTED_VALUE"""),"Mai és tard")</x:f>
      </x:c>
      <x:c r="C4728" s="1">
        <x:f>IFERROR(__xludf.DUMMYFUNCTION("""COMPUTED_VALUE"""),"2015")</x:f>
      </x:c>
    </x:row>
    <x:row r="4729" spans="1:10">
      <x:c r="A4729" s="1" t="s">
        <x:v>4738</x:v>
      </x:c>
      <x:c r="B4729" s="1">
        <x:f>IFERROR(__xludf.DUMMYFUNCTION("""COMPUTED_VALUE"""),"Mai és tard per enamorar-se")</x:f>
      </x:c>
      <x:c r="C4729" s="1">
        <x:f>IFERROR(__xludf.DUMMYFUNCTION("""COMPUTED_VALUE"""),"2008")</x:f>
      </x:c>
    </x:row>
    <x:row r="4730" spans="1:10">
      <x:c r="A4730" s="1" t="s">
        <x:v>4739</x:v>
      </x:c>
      <x:c r="B4730" s="1">
        <x:f>IFERROR(__xludf.DUMMYFUNCTION("""COMPUTED_VALUE"""),"Mai Khoi i els Dissidents")</x:f>
      </x:c>
      <x:c r="C4730" s="1">
        <x:f>IFERROR(__xludf.DUMMYFUNCTION("""COMPUTED_VALUE"""),"2019")</x:f>
      </x:c>
    </x:row>
    <x:row r="4731" spans="1:10">
      <x:c r="A4731" s="1" t="s">
        <x:v>4740</x:v>
      </x:c>
      <x:c r="B4731" s="1">
        <x:f>IFERROR(__xludf.DUMMYFUNCTION("""COMPUTED_VALUE"""),"Major Dundee")</x:f>
      </x:c>
      <x:c r="C4731" s="1">
        <x:f>IFERROR(__xludf.DUMMYFUNCTION("""COMPUTED_VALUE"""),"1965")</x:f>
      </x:c>
    </x:row>
    <x:row r="4732" spans="1:10">
      <x:c r="A4732" s="1" t="s">
        <x:v>4741</x:v>
      </x:c>
      <x:c r="B4732" s="1">
        <x:f>IFERROR(__xludf.DUMMYFUNCTION("""COMPUTED_VALUE"""),"Majoria absoluta")</x:f>
      </x:c>
      <x:c r="C4732" s="1">
        <x:f>IFERROR(__xludf.DUMMYFUNCTION("""COMPUTED_VALUE"""),"2002")</x:f>
      </x:c>
    </x:row>
    <x:row r="4733" spans="1:10">
      <x:c r="A4733" s="1" t="s">
        <x:v>4742</x:v>
      </x:c>
      <x:c r="B4733" s="1">
        <x:f>IFERROR(__xludf.DUMMYFUNCTION("""COMPUTED_VALUE"""),"Making of... Nit de Sant Joan, Dagoll Dagom")</x:f>
      </x:c>
      <x:c r="C4733" s="1">
        <x:f>IFERROR(__xludf.DUMMYFUNCTION("""COMPUTED_VALUE"""),"2010")</x:f>
      </x:c>
    </x:row>
    <x:row r="4734" spans="1:10">
      <x:c r="A4734" s="1" t="s">
        <x:v>4743</x:v>
      </x:c>
      <x:c r="B4734" s="1">
        <x:f>IFERROR(__xludf.DUMMYFUNCTION("""COMPUTED_VALUE"""),"Mal geni")</x:f>
      </x:c>
      <x:c r="C4734" s="1">
        <x:f>IFERROR(__xludf.DUMMYFUNCTION("""COMPUTED_VALUE"""),"2017")</x:f>
      </x:c>
    </x:row>
    <x:row r="4735" spans="1:10">
      <x:c r="A4735" s="1" t="s">
        <x:v>4744</x:v>
      </x:c>
      <x:c r="B4735" s="1">
        <x:f>IFERROR(__xludf.DUMMYFUNCTION("""COMPUTED_VALUE"""),"Mal gest")</x:f>
      </x:c>
      <x:c r="C4735" s="1">
        <x:f>IFERROR(__xludf.DUMMYFUNCTION("""COMPUTED_VALUE"""),"2006")</x:f>
      </x:c>
    </x:row>
    <x:row r="4736" spans="1:10">
      <x:c r="A4736" s="1" t="s">
        <x:v>4745</x:v>
      </x:c>
      <x:c r="B4736" s="1">
        <x:f>IFERROR(__xludf.DUMMYFUNCTION("""COMPUTED_VALUE"""),"Mala uva")</x:f>
      </x:c>
      <x:c r="C4736" s="1">
        <x:f>IFERROR(__xludf.DUMMYFUNCTION("""COMPUTED_VALUE"""),"2004")</x:f>
      </x:c>
    </x:row>
    <x:row r="4737" spans="1:10">
      <x:c r="A4737" s="1" t="s">
        <x:v>4746</x:v>
      </x:c>
      <x:c r="B4737" s="1">
        <x:f>IFERROR(__xludf.DUMMYFUNCTION("""COMPUTED_VALUE"""),"Malavita")</x:f>
      </x:c>
      <x:c r="C4737" s="1">
        <x:f>IFERROR(__xludf.DUMMYFUNCTION("""COMPUTED_VALUE"""),"2013")</x:f>
      </x:c>
    </x:row>
    <x:row r="4738" spans="1:10">
      <x:c r="A4738" s="1" t="s">
        <x:v>4747</x:v>
      </x:c>
      <x:c r="B4738" s="1">
        <x:f>IFERROR(__xludf.DUMMYFUNCTION("""COMPUTED_VALUE"""),"Malefici")</x:f>
      </x:c>
      <x:c r="C4738" s="1">
        <x:f>IFERROR(__xludf.DUMMYFUNCTION("""COMPUTED_VALUE"""),"2005")</x:f>
      </x:c>
    </x:row>
    <x:row r="4739" spans="1:10">
      <x:c r="A4739" s="1" t="s">
        <x:v>4748</x:v>
      </x:c>
      <x:c r="B4739" s="1">
        <x:f>IFERROR(__xludf.DUMMYFUNCTION("""COMPUTED_VALUE"""),"Maleïda 1882")</x:f>
      </x:c>
      <x:c r="C4739" s="1">
        <x:f>IFERROR(__xludf.DUMMYFUNCTION("""COMPUTED_VALUE"""),"2019")</x:f>
      </x:c>
    </x:row>
    <x:row r="4740" spans="1:10">
      <x:c r="A4740" s="1" t="s">
        <x:v>4749</x:v>
      </x:c>
      <x:c r="B4740" s="1">
        <x:f>IFERROR(__xludf.DUMMYFUNCTION("""COMPUTED_VALUE"""),"Maleïda mare")</x:f>
      </x:c>
      <x:c r="C4740" s="1">
        <x:f>IFERROR(__xludf.DUMMYFUNCTION("""COMPUTED_VALUE"""),"1970")</x:f>
      </x:c>
    </x:row>
    <x:row r="4741" spans="1:10">
      <x:c r="A4741" s="1" t="s">
        <x:v>4750</x:v>
      </x:c>
      <x:c r="B4741" s="1">
        <x:f>IFERROR(__xludf.DUMMYFUNCTION("""COMPUTED_VALUE"""),"Maleïts malparits")</x:f>
      </x:c>
      <x:c r="C4741" s="1">
        <x:f>IFERROR(__xludf.DUMMYFUNCTION("""COMPUTED_VALUE"""),"2009")</x:f>
      </x:c>
    </x:row>
    <x:row r="4742" spans="1:10">
      <x:c r="A4742" s="1" t="s">
        <x:v>4751</x:v>
      </x:c>
      <x:c r="B4742" s="1">
        <x:f>IFERROR(__xludf.DUMMYFUNCTION("""COMPUTED_VALUE"""),"Malenconia")</x:f>
      </x:c>
      <x:c r="C4742" s="1">
        <x:f>IFERROR(__xludf.DUMMYFUNCTION("""COMPUTED_VALUE"""),"2011")</x:f>
      </x:c>
    </x:row>
    <x:row r="4743" spans="1:10">
      <x:c r="A4743" s="1" t="s">
        <x:v>4752</x:v>
      </x:c>
      <x:c r="B4743" s="1">
        <x:f>IFERROR(__xludf.DUMMYFUNCTION("""COMPUTED_VALUE"""),"Males llavors")</x:f>
      </x:c>
      <x:c r="C4743" s="1">
        <x:f>IFERROR(__xludf.DUMMYFUNCTION("""COMPUTED_VALUE"""),"2021")</x:f>
      </x:c>
    </x:row>
    <x:row r="4744" spans="1:10">
      <x:c r="A4744" s="1" t="s">
        <x:v>4753</x:v>
      </x:c>
      <x:c r="B4744" s="1">
        <x:f>IFERROR(__xludf.DUMMYFUNCTION("""COMPUTED_VALUE"""),"Males mares")</x:f>
      </x:c>
      <x:c r="C4744" s="1">
        <x:f>IFERROR(__xludf.DUMMYFUNCTION("""COMPUTED_VALUE"""),"2016")</x:f>
      </x:c>
    </x:row>
    <x:row r="4745" spans="1:10">
      <x:c r="A4745" s="1" t="s">
        <x:v>4754</x:v>
      </x:c>
      <x:c r="B4745" s="1">
        <x:f>IFERROR(__xludf.DUMMYFUNCTION("""COMPUTED_VALUE"""),"Malícia")</x:f>
      </x:c>
      <x:c r="C4745" s="1">
        <x:f>IFERROR(__xludf.DUMMYFUNCTION("""COMPUTED_VALUE"""),"1993")</x:f>
      </x:c>
    </x:row>
    <x:row r="4746" spans="1:10">
      <x:c r="A4746" s="1" t="s">
        <x:v>4755</x:v>
      </x:c>
      <x:c r="B4746" s="1">
        <x:f>IFERROR(__xludf.DUMMYFUNCTION("""COMPUTED_VALUE"""),"Malson a Elm Street. L'orígen")</x:f>
      </x:c>
      <x:c r="C4746" s="1">
        <x:f>IFERROR(__xludf.DUMMYFUNCTION("""COMPUTED_VALUE"""),"2010")</x:f>
      </x:c>
    </x:row>
    <x:row r="4747" spans="1:10">
      <x:c r="A4747" s="1" t="s">
        <x:v>4756</x:v>
      </x:c>
      <x:c r="B4747" s="1">
        <x:f>IFERROR(__xludf.DUMMYFUNCTION("""COMPUTED_VALUE"""),"Malson abans de Nadal")</x:f>
      </x:c>
      <x:c r="C4747" s="1">
        <x:f>IFERROR(__xludf.DUMMYFUNCTION("""COMPUTED_VALUE"""),"1993")</x:f>
      </x:c>
    </x:row>
    <x:row r="4748" spans="1:10">
      <x:c r="A4748" s="1" t="s">
        <x:v>4757</x:v>
      </x:c>
      <x:c r="B4748" s="1">
        <x:f>IFERROR(__xludf.DUMMYFUNCTION("""COMPUTED_VALUE"""),"Mama")</x:f>
      </x:c>
      <x:c r="C4748" s="1">
        <x:f>IFERROR(__xludf.DUMMYFUNCTION("""COMPUTED_VALUE"""),"2013")</x:f>
      </x:c>
    </x:row>
    <x:row r="4749" spans="1:10">
      <x:c r="A4749" s="1" t="s">
        <x:v>4758</x:v>
      </x:c>
      <x:c r="B4749" s="1">
        <x:f>IFERROR(__xludf.DUMMYFUNCTION("""COMPUTED_VALUE"""),"Mama Maria")</x:f>
      </x:c>
      <x:c r="C4749" s="1">
        <x:f>IFERROR(__xludf.DUMMYFUNCTION("""COMPUTED_VALUE"""),"2020")</x:f>
      </x:c>
    </x:row>
    <x:row r="4750" spans="1:10">
      <x:c r="A4750" s="1" t="s">
        <x:v>4759</x:v>
      </x:c>
      <x:c r="B4750" s="1">
        <x:f>IFERROR(__xludf.DUMMYFUNCTION("""COMPUTED_VALUE"""),"Mamaaà!")</x:f>
      </x:c>
      <x:c r="C4750" s="1">
        <x:f>IFERROR(__xludf.DUMMYFUNCTION("""COMPUTED_VALUE"""),"2004")</x:f>
      </x:c>
    </x:row>
    <x:row r="4751" spans="1:10">
      <x:c r="A4751" s="1" t="s">
        <x:v>4760</x:v>
      </x:c>
      <x:c r="B4751" s="1">
        <x:f>IFERROR(__xludf.DUMMYFUNCTION("""COMPUTED_VALUE"""),"Mamífera")</x:f>
      </x:c>
      <x:c r="C4751" s="1">
        <x:f>IFERROR(__xludf.DUMMYFUNCTION("""COMPUTED_VALUE"""),"2024")</x:f>
      </x:c>
    </x:row>
    <x:row r="4752" spans="1:10">
      <x:c r="A4752" s="1" t="s">
        <x:v>4761</x:v>
      </x:c>
      <x:c r="B4752" s="1">
        <x:f>IFERROR(__xludf.DUMMYFUNCTION("""COMPUTED_VALUE"""),"Mamma mia, ja hi tornem a ser!")</x:f>
      </x:c>
      <x:c r="C4752" s="1">
        <x:f>IFERROR(__xludf.DUMMYFUNCTION("""COMPUTED_VALUE"""),"2018")</x:f>
      </x:c>
    </x:row>
    <x:row r="4753" spans="1:10">
      <x:c r="A4753" s="1" t="s">
        <x:v>4762</x:v>
      </x:c>
      <x:c r="B4753" s="1">
        <x:f>IFERROR(__xludf.DUMMYFUNCTION("""COMPUTED_VALUE"""),"Mamma mia!")</x:f>
      </x:c>
      <x:c r="C4753" s="1">
        <x:f>IFERROR(__xludf.DUMMYFUNCTION("""COMPUTED_VALUE"""),"2008")</x:f>
      </x:c>
    </x:row>
    <x:row r="4754" spans="1:10">
      <x:c r="A4754" s="1" t="s">
        <x:v>4763</x:v>
      </x:c>
      <x:c r="B4754" s="1">
        <x:f>IFERROR(__xludf.DUMMYFUNCTION("""COMPUTED_VALUE"""),"Mamut")</x:f>
      </x:c>
      <x:c r="C4754" s="1">
        <x:f>IFERROR(__xludf.DUMMYFUNCTION("""COMPUTED_VALUE"""),"2009")</x:f>
      </x:c>
    </x:row>
    <x:row r="4755" spans="1:10">
      <x:c r="A4755" s="1" t="s">
        <x:v>4764</x:v>
      </x:c>
      <x:c r="B4755" s="1">
        <x:f>IFERROR(__xludf.DUMMYFUNCTION("""COMPUTED_VALUE"""),"Man on Wire")</x:f>
      </x:c>
      <x:c r="C4755" s="1">
        <x:f>IFERROR(__xludf.DUMMYFUNCTION("""COMPUTED_VALUE"""),"2008")</x:f>
      </x:c>
    </x:row>
    <x:row r="4756" spans="1:10">
      <x:c r="A4756" s="1" t="s">
        <x:v>4765</x:v>
      </x:c>
      <x:c r="B4756" s="1">
        <x:f>IFERROR(__xludf.DUMMYFUNCTION("""COMPUTED_VALUE"""),"Man to Man")</x:f>
      </x:c>
      <x:c r="C4756" s="1">
        <x:f>IFERROR(__xludf.DUMMYFUNCTION("""COMPUTED_VALUE"""),"2005")</x:f>
      </x:c>
    </x:row>
    <x:row r="4757" spans="1:10">
      <x:c r="A4757" s="1" t="s">
        <x:v>4766</x:v>
      </x:c>
      <x:c r="B4757" s="1">
        <x:f>IFERROR(__xludf.DUMMYFUNCTION("""COMPUTED_VALUE"""),"Manchester by the Sea")</x:f>
      </x:c>
      <x:c r="C4757" s="1">
        <x:f>IFERROR(__xludf.DUMMYFUNCTION("""COMPUTED_VALUE"""),"2016")</x:f>
      </x:c>
    </x:row>
    <x:row r="4758" spans="1:10">
      <x:c r="A4758" s="1" t="s">
        <x:v>4767</x:v>
      </x:c>
      <x:c r="B4758" s="1">
        <x:f>IFERROR(__xludf.DUMMYFUNCTION("""COMPUTED_VALUE"""),"Mandela, el llarg camí a la llibertat")</x:f>
      </x:c>
      <x:c r="C4758" s="1">
        <x:f>IFERROR(__xludf.DUMMYFUNCTION("""COMPUTED_VALUE"""),"2013")</x:f>
      </x:c>
    </x:row>
    <x:row r="4759" spans="1:10">
      <x:c r="A4759" s="1" t="s">
        <x:v>4768</x:v>
      </x:c>
      <x:c r="B4759" s="1">
        <x:f>IFERROR(__xludf.DUMMYFUNCTION("""COMPUTED_VALUE"""),"Mandy")</x:f>
      </x:c>
      <x:c r="C4759" s="1">
        <x:f>IFERROR(__xludf.DUMMYFUNCTION("""COMPUTED_VALUE"""),"2018")</x:f>
      </x:c>
    </x:row>
    <x:row r="4760" spans="1:10">
      <x:c r="A4760" s="1" t="s">
        <x:v>4769</x:v>
      </x:c>
      <x:c r="B4760" s="1">
        <x:f>IFERROR(__xludf.DUMMYFUNCTION("""COMPUTED_VALUE"""),"Manel - Concert al Razzmatazz")</x:f>
      </x:c>
      <x:c r="C4760" s="1">
        <x:f>IFERROR(__xludf.DUMMYFUNCTION("""COMPUTED_VALUE"""),"2017")</x:f>
      </x:c>
    </x:row>
    <x:row r="4761" spans="1:10">
      <x:c r="A4761" s="1" t="s">
        <x:v>4770</x:v>
      </x:c>
      <x:c r="B4761" s="1">
        <x:f>IFERROR(__xludf.DUMMYFUNCTION("""COMPUTED_VALUE"""),"Manel - Concert privat Joy Eslava")</x:f>
      </x:c>
      <x:c r="C4761" s="1">
        <x:f>IFERROR(__xludf.DUMMYFUNCTION("""COMPUTED_VALUE"""),"2011")</x:f>
      </x:c>
    </x:row>
    <x:row r="4762" spans="1:10">
      <x:c r="A4762" s="1" t="s">
        <x:v>4771</x:v>
      </x:c>
      <x:c r="B4762" s="1">
        <x:f>IFERROR(__xludf.DUMMYFUNCTION("""COMPUTED_VALUE"""),"Manel a la sala Apolo de Barcelona")</x:f>
      </x:c>
      <x:c r="C4762" s="1">
        <x:f>IFERROR(__xludf.DUMMYFUNCTION("""COMPUTED_VALUE"""),"2009")</x:f>
      </x:c>
    </x:row>
    <x:row r="4763" spans="1:10">
      <x:c r="A4763" s="1" t="s">
        <x:v>4772</x:v>
      </x:c>
      <x:c r="B4763" s="1">
        <x:f>IFERROR(__xludf.DUMMYFUNCTION("""COMPUTED_VALUE"""),"MANEL al Palau de la Música")</x:f>
      </x:c>
      <x:c r="C4763" s="1">
        <x:f>IFERROR(__xludf.DUMMYFUNCTION("""COMPUTED_VALUE"""),"2010")</x:f>
      </x:c>
    </x:row>
    <x:row r="4764" spans="1:10">
      <x:c r="A4764" s="1" t="s">
        <x:v>4773</x:v>
      </x:c>
      <x:c r="B4764" s="1">
        <x:f>IFERROR(__xludf.DUMMYFUNCTION("""COMPUTED_VALUE"""),"Manhattan")</x:f>
      </x:c>
      <x:c r="C4764" s="1">
        <x:f>IFERROR(__xludf.DUMMYFUNCTION("""COMPUTED_VALUE"""),"1979")</x:f>
      </x:c>
    </x:row>
    <x:row r="4765" spans="1:10">
      <x:c r="A4765" s="1" t="s">
        <x:v>4774</x:v>
      </x:c>
      <x:c r="B4765" s="1">
        <x:f>IFERROR(__xludf.DUMMYFUNCTION("""COMPUTED_VALUE"""),"Maniac")</x:f>
      </x:c>
      <x:c r="C4765" s="1">
        <x:f>IFERROR(__xludf.DUMMYFUNCTION("""COMPUTED_VALUE"""),"2012")</x:f>
      </x:c>
    </x:row>
    <x:row r="4766" spans="1:10">
      <x:c r="A4766" s="1" t="s">
        <x:v>4775</x:v>
      </x:c>
      <x:c r="B4766" s="1">
        <x:f>IFERROR(__xludf.DUMMYFUNCTION("""COMPUTED_VALUE"""),"Manicòmic")</x:f>
      </x:c>
      <x:c r="C4766" s="1">
        <x:f>IFERROR(__xludf.DUMMYFUNCTION("""COMPUTED_VALUE"""),"1987")</x:f>
      </x:c>
    </x:row>
    <x:row r="4767" spans="1:10">
      <x:c r="A4767" s="1" t="s">
        <x:v>4776</x:v>
      </x:c>
      <x:c r="B4767" s="1">
        <x:f>IFERROR(__xludf.DUMMYFUNCTION("""COMPUTED_VALUE"""),"Mansió de les tenebres")</x:f>
      </x:c>
      <x:c r="C4767" s="1">
        <x:f>IFERROR(__xludf.DUMMYFUNCTION("""COMPUTED_VALUE"""),"1999")</x:f>
      </x:c>
    </x:row>
    <x:row r="4768" spans="1:10">
      <x:c r="A4768" s="1" t="s">
        <x:v>4777</x:v>
      </x:c>
      <x:c r="B4768" s="1">
        <x:f>IFERROR(__xludf.DUMMYFUNCTION("""COMPUTED_VALUE"""),"Manual d'amor")</x:f>
      </x:c>
      <x:c r="C4768" s="1">
        <x:f>IFERROR(__xludf.DUMMYFUNCTION("""COMPUTED_VALUE"""),"2005")</x:f>
      </x:c>
    </x:row>
    <x:row r="4769" spans="1:10">
      <x:c r="A4769" s="1" t="s">
        <x:v>4778</x:v>
      </x:c>
      <x:c r="B4769" s="1">
        <x:f>IFERROR(__xludf.DUMMYFUNCTION("""COMPUTED_VALUE"""),"Manual d'amor 2")</x:f>
      </x:c>
      <x:c r="C4769" s="1">
        <x:f>IFERROR(__xludf.DUMMYFUNCTION("""COMPUTED_VALUE"""),"2007")</x:f>
      </x:c>
    </x:row>
    <x:row r="4770" spans="1:10">
      <x:c r="A4770" s="1" t="s">
        <x:v>4779</x:v>
      </x:c>
      <x:c r="B4770" s="1">
        <x:f>IFERROR(__xludf.DUMMYFUNCTION("""COMPUTED_VALUE"""),"Manual d'amor 3")</x:f>
      </x:c>
      <x:c r="C4770" s="1">
        <x:f>IFERROR(__xludf.DUMMYFUNCTION("""COMPUTED_VALUE"""),"2011")</x:f>
      </x:c>
    </x:row>
    <x:row r="4771" spans="1:10">
      <x:c r="A4771" s="1" t="s">
        <x:v>4780</x:v>
      </x:c>
      <x:c r="B4771" s="1">
        <x:f>IFERROR(__xludf.DUMMYFUNCTION("""COMPUTED_VALUE"""),"Manual d'un garrepa")</x:f>
      </x:c>
      <x:c r="C4771" s="1">
        <x:f>IFERROR(__xludf.DUMMYFUNCTION("""COMPUTED_VALUE"""),"2016")</x:f>
      </x:c>
    </x:row>
    <x:row r="4772" spans="1:10">
      <x:c r="A4772" s="1" t="s">
        <x:v>4781</x:v>
      </x:c>
      <x:c r="B4772" s="1">
        <x:f>IFERROR(__xludf.DUMMYFUNCTION("""COMPUTED_VALUE"""),"Manuel de Pedrolo: Trencant l'oblit")</x:f>
      </x:c>
      <x:c r="C4772" s="1">
        <x:f>IFERROR(__xludf.DUMMYFUNCTION("""COMPUTED_VALUE"""),"2015")</x:f>
      </x:c>
    </x:row>
    <x:row r="4773" spans="1:10">
      <x:c r="A4773" s="1" t="s">
        <x:v>4782</x:v>
      </x:c>
      <x:c r="B4773" s="1">
        <x:f>IFERROR(__xludf.DUMMYFUNCTION("""COMPUTED_VALUE"""),"Mapa de la ciutat de Feixes (Making of La teranyina)")</x:f>
      </x:c>
      <x:c r="C4773" s="1">
        <x:f>IFERROR(__xludf.DUMMYFUNCTION("""COMPUTED_VALUE"""),"2015")</x:f>
      </x:c>
    </x:row>
    <x:row r="4774" spans="1:10">
      <x:c r="A4774" s="1" t="s">
        <x:v>4783</x:v>
      </x:c>
      <x:c r="B4774" s="1">
        <x:f>IFERROR(__xludf.DUMMYFUNCTION("""COMPUTED_VALUE"""),"Mapa dels sons de Tòquio")</x:f>
      </x:c>
      <x:c r="C4774" s="1">
        <x:f>IFERROR(__xludf.DUMMYFUNCTION("""COMPUTED_VALUE"""),"2009")</x:f>
      </x:c>
    </x:row>
    <x:row r="4775" spans="1:10">
      <x:c r="A4775" s="1" t="s">
        <x:v>4784</x:v>
      </x:c>
      <x:c r="B4775" s="1">
        <x:f>IFERROR(__xludf.DUMMYFUNCTION("""COMPUTED_VALUE"""),"Mapes a les estrelles")</x:f>
      </x:c>
      <x:c r="C4775" s="1">
        <x:f>IFERROR(__xludf.DUMMYFUNCTION("""COMPUTED_VALUE"""),"2014")</x:f>
      </x:c>
    </x:row>
    <x:row r="4776" spans="1:10">
      <x:c r="A4776" s="1" t="s">
        <x:v>4785</x:v>
      </x:c>
      <x:c r="B4776" s="1">
        <x:f>IFERROR(__xludf.DUMMYFUNCTION("""COMPUTED_VALUE"""),"Màping Casa Batlló")</x:f>
      </x:c>
      <x:c r="C4776" s="1">
        <x:f>IFERROR(__xludf.DUMMYFUNCTION("""COMPUTED_VALUE"""),"2026")</x:f>
      </x:c>
    </x:row>
    <x:row r="4777" spans="1:10">
      <x:c r="A4777" s="1" t="s">
        <x:v>4786</x:v>
      </x:c>
      <x:c r="B4777" s="1">
        <x:f>IFERROR(__xludf.DUMMYFUNCTION("""COMPUTED_VALUE"""),"Mar de plàstic")</x:f>
      </x:c>
      <x:c r="C4777" s="1">
        <x:f>IFERROR(__xludf.DUMMYFUNCTION("""COMPUTED_VALUE"""),"2010")</x:f>
      </x:c>
    </x:row>
    <x:row r="4778" spans="1:10">
      <x:c r="A4778" s="1" t="s">
        <x:v>4787</x:v>
      </x:c>
      <x:c r="B4778" s="1">
        <x:f>IFERROR(__xludf.DUMMYFUNCTION("""COMPUTED_VALUE"""),"Mar i cel")</x:f>
      </x:c>
      <x:c r="C4778" s="1">
        <x:f>IFERROR(__xludf.DUMMYFUNCTION("""COMPUTED_VALUE"""),"1987")</x:f>
      </x:c>
    </x:row>
    <x:row r="4779" spans="1:10">
      <x:c r="A4779" s="1" t="s">
        <x:v>4788</x:v>
      </x:c>
      <x:c r="B4779" s="1">
        <x:f>IFERROR(__xludf.DUMMYFUNCTION("""COMPUTED_VALUE"""),"Mar i cel")</x:f>
      </x:c>
      <x:c r="C4779" s="1">
        <x:f>IFERROR(__xludf.DUMMYFUNCTION("""COMPUTED_VALUE"""),"1988")</x:f>
      </x:c>
    </x:row>
    <x:row r="4780" spans="1:10">
      <x:c r="A4780" s="1" t="s">
        <x:v>4789</x:v>
      </x:c>
      <x:c r="B4780" s="1">
        <x:f>IFERROR(__xludf.DUMMYFUNCTION("""COMPUTED_VALUE"""),"Mar i cel")</x:f>
      </x:c>
      <x:c r="C4780" s="1">
        <x:f>IFERROR(__xludf.DUMMYFUNCTION("""COMPUTED_VALUE"""),"2005")</x:f>
      </x:c>
    </x:row>
    <x:row r="4781" spans="1:10">
      <x:c r="A4781" s="1" t="s">
        <x:v>4790</x:v>
      </x:c>
      <x:c r="B4781" s="1">
        <x:f>IFERROR(__xludf.DUMMYFUNCTION("""COMPUTED_VALUE"""),"Mar i Cel")</x:f>
      </x:c>
      <x:c r="C4781" s="1">
        <x:f>IFERROR(__xludf.DUMMYFUNCTION("""COMPUTED_VALUE"""),"2014")</x:f>
      </x:c>
    </x:row>
    <x:row r="4782" spans="1:10">
      <x:c r="A4782" s="1" t="s">
        <x:v>4791</x:v>
      </x:c>
      <x:c r="B4782" s="1">
        <x:f>IFERROR(__xludf.DUMMYFUNCTION("""COMPUTED_VALUE"""),"Mar i Cel 1.111 La festa")</x:f>
      </x:c>
      <x:c r="C4782" s="1">
        <x:f>IFERROR(__xludf.DUMMYFUNCTION("""COMPUTED_VALUE"""),"2015")</x:f>
      </x:c>
    </x:row>
    <x:row r="4783" spans="1:10">
      <x:c r="A4783" s="1" t="s">
        <x:v>4792</x:v>
      </x:c>
      <x:c r="B4783" s="1">
        <x:f>IFERROR(__xludf.DUMMYFUNCTION("""COMPUTED_VALUE"""),"Mara i el senyor del foc")</x:f>
      </x:c>
      <x:c r="C4783" s="1">
        <x:f>IFERROR(__xludf.DUMMYFUNCTION("""COMPUTED_VALUE"""),"2015")</x:f>
      </x:c>
    </x:row>
    <x:row r="4784" spans="1:10">
      <x:c r="A4784" s="1" t="s">
        <x:v>4793</x:v>
      </x:c>
      <x:c r="B4784" s="1">
        <x:f>IFERROR(__xludf.DUMMYFUNCTION("""COMPUTED_VALUE"""),"Marcat a foc")</x:f>
      </x:c>
      <x:c r="C4784" s="1">
        <x:f>IFERROR(__xludf.DUMMYFUNCTION("""COMPUTED_VALUE"""),"1950")</x:f>
      </x:c>
    </x:row>
    <x:row r="4785" spans="1:10">
      <x:c r="A4785" s="1" t="s">
        <x:v>4794</x:v>
      </x:c>
      <x:c r="B4785" s="1">
        <x:f>IFERROR(__xludf.DUMMYFUNCTION("""COMPUTED_VALUE"""),"Marcats per l'1 d'octubre")</x:f>
      </x:c>
      <x:c r="C4785" s="1">
        <x:f>IFERROR(__xludf.DUMMYFUNCTION("""COMPUTED_VALUE"""),"2018")</x:f>
      </x:c>
    </x:row>
    <x:row r="4786" spans="1:10">
      <x:c r="A4786" s="1" t="s">
        <x:v>4795</x:v>
      </x:c>
      <x:c r="B4786" s="1">
        <x:f>IFERROR(__xludf.DUMMYFUNCTION("""COMPUTED_VALUE"""),"Marco")</x:f>
      </x:c>
      <x:c r="C4786" s="1">
        <x:f>IFERROR(__xludf.DUMMYFUNCTION("""COMPUTED_VALUE"""),"2024")</x:f>
      </x:c>
    </x:row>
    <x:row r="4787" spans="1:10">
      <x:c r="A4787" s="1" t="s">
        <x:v>4796</x:v>
      </x:c>
      <x:c r="B4787" s="1">
        <x:f>IFERROR(__xludf.DUMMYFUNCTION("""COMPUTED_VALUE"""),"Marco Macaco")</x:f>
      </x:c>
      <x:c r="C4787" s="1">
        <x:f>IFERROR(__xludf.DUMMYFUNCTION("""COMPUTED_VALUE"""),"2012")</x:f>
      </x:c>
    </x:row>
    <x:row r="4788" spans="1:10">
      <x:c r="A4788" s="1" t="s">
        <x:v>4797</x:v>
      </x:c>
      <x:c r="B4788" s="1">
        <x:f>IFERROR(__xludf.DUMMYFUNCTION("""COMPUTED_VALUE"""),"Mare")</x:f>
      </x:c>
      <x:c r="C4788" s="1">
        <x:f>IFERROR(__xludf.DUMMYFUNCTION("""COMPUTED_VALUE"""),"2009")</x:f>
      </x:c>
    </x:row>
    <x:row r="4789" spans="1:10">
      <x:c r="A4789" s="1" t="s">
        <x:v>4798</x:v>
      </x:c>
      <x:c r="B4789" s="1">
        <x:f>IFERROR(__xludf.DUMMYFUNCTION("""COMPUTED_VALUE"""),"Mare i filles")</x:f>
      </x:c>
      <x:c r="C4789" s="1">
        <x:f>IFERROR(__xludf.DUMMYFUNCTION("""COMPUTED_VALUE"""),"2013")</x:f>
      </x:c>
    </x:row>
    <x:row r="4790" spans="1:10">
      <x:c r="A4790" s="1" t="s">
        <x:v>4799</x:v>
      </x:c>
      <x:c r="B4790" s="1">
        <x:f>IFERROR(__xludf.DUMMYFUNCTION("""COMPUTED_VALUE"""),"Marea letal")</x:f>
      </x:c>
      <x:c r="C4790" s="1">
        <x:f>IFERROR(__xludf.DUMMYFUNCTION("""COMPUTED_VALUE"""),"2012")</x:f>
      </x:c>
    </x:row>
    <x:row r="4791" spans="1:10">
      <x:c r="A4791" s="1" t="s">
        <x:v>4800</x:v>
      </x:c>
      <x:c r="B4791" s="1">
        <x:f>IFERROR(__xludf.DUMMYFUNCTION("""COMPUTED_VALUE"""),"Marea nocturna")</x:f>
      </x:c>
      <x:c r="C4791" s="1">
        <x:f>IFERROR(__xludf.DUMMYFUNCTION("""COMPUTED_VALUE"""),"1961")</x:f>
      </x:c>
    </x:row>
    <x:row r="4792" spans="1:10">
      <x:c r="A4792" s="1" t="s">
        <x:v>4801</x:v>
      </x:c>
      <x:c r="B4792" s="1">
        <x:f>IFERROR(__xludf.DUMMYFUNCTION("""COMPUTED_VALUE"""),"Maremar")</x:f>
      </x:c>
      <x:c r="C4792" s="1">
        <x:f>IFERROR(__xludf.DUMMYFUNCTION("""COMPUTED_VALUE"""),"2018")</x:f>
      </x:c>
    </x:row>
    <x:row r="4793" spans="1:10">
      <x:c r="A4793" s="1" t="s">
        <x:v>4802</x:v>
      </x:c>
      <x:c r="B4793" s="1">
        <x:f>IFERROR(__xludf.DUMMYFUNCTION("""COMPUTED_VALUE"""),"Mares i filles")</x:f>
      </x:c>
      <x:c r="C4793" s="1">
        <x:f>IFERROR(__xludf.DUMMYFUNCTION("""COMPUTED_VALUE"""),"2009")</x:f>
      </x:c>
    </x:row>
    <x:row r="4794" spans="1:10">
      <x:c r="A4794" s="1" t="s">
        <x:v>4803</x:v>
      </x:c>
      <x:c r="B4794" s="1">
        <x:f>IFERROR(__xludf.DUMMYFUNCTION("""COMPUTED_VALUE"""),"Mares veritables")</x:f>
      </x:c>
      <x:c r="C4794" s="1">
        <x:f>IFERROR(__xludf.DUMMYFUNCTION("""COMPUTED_VALUE"""),"2020")</x:f>
      </x:c>
    </x:row>
    <x:row r="4795" spans="1:10">
      <x:c r="A4795" s="1" t="s">
        <x:v>4804</x:v>
      </x:c>
      <x:c r="B4795" s="1">
        <x:f>IFERROR(__xludf.DUMMYFUNCTION("""COMPUTED_VALUE"""),"Margin Call")</x:f>
      </x:c>
      <x:c r="C4795" s="1">
        <x:f>IFERROR(__xludf.DUMMYFUNCTION("""COMPUTED_VALUE"""),"2011")</x:f>
      </x:c>
    </x:row>
    <x:row r="4796" spans="1:10">
      <x:c r="A4796" s="1" t="s">
        <x:v>4805</x:v>
      </x:c>
      <x:c r="B4796" s="1">
        <x:f>IFERROR(__xludf.DUMMYFUNCTION("""COMPUTED_VALUE"""),"Marguerite Duras: París 1944")</x:f>
      </x:c>
      <x:c r="C4796" s="1">
        <x:f>IFERROR(__xludf.DUMMYFUNCTION("""COMPUTED_VALUE"""),"2017")</x:f>
      </x:c>
    </x:row>
    <x:row r="4797" spans="1:10">
      <x:c r="A4797" s="1" t="s">
        <x:v>4806</x:v>
      </x:c>
      <x:c r="B4797" s="1">
        <x:f>IFERROR(__xludf.DUMMYFUNCTION("""COMPUTED_VALUE"""),"Maria Antonieta")</x:f>
      </x:c>
      <x:c r="C4797" s="1">
        <x:f>IFERROR(__xludf.DUMMYFUNCTION("""COMPUTED_VALUE"""),"2006")</x:f>
      </x:c>
    </x:row>
    <x:row r="4798" spans="1:10">
      <x:c r="A4798" s="1" t="s">
        <x:v>4807</x:v>
      </x:c>
      <x:c r="B4798" s="1">
        <x:f>IFERROR(__xludf.DUMMYFUNCTION("""COMPUTED_VALUE"""),"Maria Aurèlia Capmany, 20 anys després")</x:f>
      </x:c>
      <x:c r="C4798" s="1">
        <x:f>IFERROR(__xludf.DUMMYFUNCTION("""COMPUTED_VALUE"""),"2011")</x:f>
      </x:c>
    </x:row>
    <x:row r="4799" spans="1:10">
      <x:c r="A4799" s="1" t="s">
        <x:v>4808</x:v>
      </x:c>
      <x:c r="B4799" s="1">
        <x:f>IFERROR(__xludf.DUMMYFUNCTION("""COMPUTED_VALUE"""),"Maria i jo")</x:f>
      </x:c>
      <x:c r="C4799" s="1">
        <x:f>IFERROR(__xludf.DUMMYFUNCTION("""COMPUTED_VALUE"""),"2010")</x:f>
      </x:c>
    </x:row>
    <x:row r="4800" spans="1:10">
      <x:c r="A4800" s="1" t="s">
        <x:v>4809</x:v>
      </x:c>
      <x:c r="B4800" s="1">
        <x:f>IFERROR(__xludf.DUMMYFUNCTION("""COMPUTED_VALUE"""),"Marihuana, entre el verí i el fàrmac")</x:f>
      </x:c>
      <x:c r="C4800" s="1">
        <x:f>IFERROR(__xludf.DUMMYFUNCTION("""COMPUTED_VALUE"""),"2016")</x:f>
      </x:c>
    </x:row>
    <x:row r="4801" spans="1:10">
      <x:c r="A4801" s="1" t="s">
        <x:v>4810</x:v>
      </x:c>
      <x:c r="B4801" s="1">
        <x:f>IFERROR(__xludf.DUMMYFUNCTION("""COMPUTED_VALUE"""),"Marina canta Moustaki")</x:f>
      </x:c>
      <x:c r="C4801" s="1">
        <x:f>IFERROR(__xludf.DUMMYFUNCTION("""COMPUTED_VALUE"""),"2012")</x:f>
      </x:c>
    </x:row>
    <x:row r="4802" spans="1:10">
      <x:c r="A4802" s="1" t="s">
        <x:v>4811</x:v>
      </x:c>
      <x:c r="B4802" s="1">
        <x:f>IFERROR(__xludf.DUMMYFUNCTION("""COMPUTED_VALUE"""),"Marit per sorpresa")</x:f>
      </x:c>
      <x:c r="C4802" s="1">
        <x:f>IFERROR(__xludf.DUMMYFUNCTION("""COMPUTED_VALUE"""),"2008")</x:f>
      </x:c>
    </x:row>
    <x:row r="4803" spans="1:10">
      <x:c r="A4803" s="1" t="s">
        <x:v>4812</x:v>
      </x:c>
      <x:c r="B4803" s="1">
        <x:f>IFERROR(__xludf.DUMMYFUNCTION("""COMPUTED_VALUE"""),"Marits i mullers")</x:f>
      </x:c>
      <x:c r="C4803" s="1">
        <x:f>IFERROR(__xludf.DUMMYFUNCTION("""COMPUTED_VALUE"""),"1992")</x:f>
      </x:c>
    </x:row>
    <x:row r="4804" spans="1:10">
      <x:c r="A4804" s="1" t="s">
        <x:v>4813</x:v>
      </x:c>
      <x:c r="B4804" s="1">
        <x:f>IFERROR(__xludf.DUMMYFUNCTION("""COMPUTED_VALUE"""),"Mark Felt, l'home que va fer caure la Casa Blanca")</x:f>
      </x:c>
      <x:c r="C4804" s="1">
        <x:f>IFERROR(__xludf.DUMMYFUNCTION("""COMPUTED_VALUE"""),"2017")</x:f>
      </x:c>
    </x:row>
    <x:row r="4805" spans="1:10">
      <x:c r="A4805" s="1" t="s">
        <x:v>4814</x:v>
      </x:c>
      <x:c r="B4805" s="1">
        <x:f>IFERROR(__xludf.DUMMYFUNCTION("""COMPUTED_VALUE"""),"Marlowe")</x:f>
      </x:c>
      <x:c r="C4805" s="1">
        <x:f>IFERROR(__xludf.DUMMYFUNCTION("""COMPUTED_VALUE"""),"2022")</x:f>
      </x:c>
    </x:row>
    <x:row r="4806" spans="1:10">
      <x:c r="A4806" s="1" t="s">
        <x:v>4815</x:v>
      </x:c>
      <x:c r="B4806" s="1">
        <x:f>IFERROR(__xludf.DUMMYFUNCTION("""COMPUTED_VALUE"""),"Marnie")</x:f>
      </x:c>
      <x:c r="C4806" s="1">
        <x:f>IFERROR(__xludf.DUMMYFUNCTION("""COMPUTED_VALUE"""),"1964")</x:f>
      </x:c>
    </x:row>
    <x:row r="4807" spans="1:10">
      <x:c r="A4807" s="1" t="s">
        <x:v>4816</x:v>
      </x:c>
      <x:c r="B4807" s="1">
        <x:f>IFERROR(__xludf.DUMMYFUNCTION("""COMPUTED_VALUE"""),"Mars Attacks!")</x:f>
      </x:c>
      <x:c r="C4807" s="1">
        <x:f>IFERROR(__xludf.DUMMYFUNCTION("""COMPUTED_VALUE"""),"1996")</x:f>
      </x:c>
    </x:row>
    <x:row r="4808" spans="1:10">
      <x:c r="A4808" s="1" t="s">
        <x:v>4817</x:v>
      </x:c>
      <x:c r="B4808" s="1">
        <x:f>IFERROR(__xludf.DUMMYFUNCTION("""COMPUTED_VALUE"""),"Martin Eden")</x:f>
      </x:c>
      <x:c r="C4808" s="1">
        <x:f>IFERROR(__xludf.DUMMYFUNCTION("""COMPUTED_VALUE"""),"2019")</x:f>
      </x:c>
    </x:row>
    <x:row r="4809" spans="1:10">
      <x:c r="A4809" s="1" t="s">
        <x:v>4818</x:v>
      </x:c>
      <x:c r="B4809" s="1">
        <x:f>IFERROR(__xludf.DUMMYFUNCTION("""COMPUTED_VALUE"""),"Martín el gautxo")</x:f>
      </x:c>
      <x:c r="C4809" s="1">
        <x:f>IFERROR(__xludf.DUMMYFUNCTION("""COMPUTED_VALUE"""),"1952")</x:f>
      </x:c>
    </x:row>
    <x:row r="4810" spans="1:10">
      <x:c r="A4810" s="1" t="s">
        <x:v>4819</x:v>
      </x:c>
      <x:c r="B4810" s="1">
        <x:f>IFERROR(__xludf.DUMMYFUNCTION("""COMPUTED_VALUE"""),"Mary Anning i la platja dels dinosaures")</x:f>
      </x:c>
      <x:c r="C4810" s="1">
        <x:f>IFERROR(__xludf.DUMMYFUNCTION("""COMPUTED_VALUE"""),"2025")</x:f>
      </x:c>
    </x:row>
    <x:row r="4811" spans="1:10">
      <x:c r="A4811" s="1" t="s">
        <x:v>4820</x:v>
      </x:c>
      <x:c r="B4811" s="1">
        <x:f>IFERROR(__xludf.DUMMYFUNCTION("""COMPUTED_VALUE"""),"Mary i la flor de la bruixa")</x:f>
      </x:c>
      <x:c r="C4811" s="1">
        <x:f>IFERROR(__xludf.DUMMYFUNCTION("""COMPUTED_VALUE"""),"2017")</x:f>
      </x:c>
    </x:row>
    <x:row r="4812" spans="1:10">
      <x:c r="A4812" s="1" t="s">
        <x:v>4821</x:v>
      </x:c>
      <x:c r="B4812" s="1">
        <x:f>IFERROR(__xludf.DUMMYFUNCTION("""COMPUTED_VALUE"""),"Mary Poppins")</x:f>
      </x:c>
      <x:c r="C4812" s="1">
        <x:f>IFERROR(__xludf.DUMMYFUNCTION("""COMPUTED_VALUE"""),"1964")</x:f>
      </x:c>
    </x:row>
    <x:row r="4813" spans="1:10">
      <x:c r="A4813" s="1" t="s">
        <x:v>4822</x:v>
      </x:c>
      <x:c r="B4813" s="1">
        <x:f>IFERROR(__xludf.DUMMYFUNCTION("""COMPUTED_VALUE"""),"Mary Shelley [VOSC]")</x:f>
      </x:c>
      <x:c r="C4813" s="1">
        <x:f>IFERROR(__xludf.DUMMYFUNCTION("""COMPUTED_VALUE"""),"2017")</x:f>
      </x:c>
    </x:row>
    <x:row r="4814" spans="1:10">
      <x:c r="A4814" s="1" t="s">
        <x:v>4823</x:v>
      </x:c>
      <x:c r="B4814" s="1">
        <x:f>IFERROR(__xludf.DUMMYFUNCTION("""COMPUTED_VALUE"""),"Màscares")</x:f>
      </x:c>
      <x:c r="C4814" s="1">
        <x:f>IFERROR(__xludf.DUMMYFUNCTION("""COMPUTED_VALUE"""),"2009")</x:f>
      </x:c>
    </x:row>
    <x:row r="4815" spans="1:10">
      <x:c r="A4815" s="1" t="s">
        <x:v>4824</x:v>
      </x:c>
      <x:c r="B4815" s="1">
        <x:f>IFERROR(__xludf.DUMMYFUNCTION("""COMPUTED_VALUE"""),"Mascotes I")</x:f>
      </x:c>
      <x:c r="C4815" s="1">
        <x:f>IFERROR(__xludf.DUMMYFUNCTION("""COMPUTED_VALUE"""),"2016")</x:f>
      </x:c>
    </x:row>
    <x:row r="4816" spans="1:10">
      <x:c r="A4816" s="1" t="s">
        <x:v>4825</x:v>
      </x:c>
      <x:c r="B4816" s="1">
        <x:f>IFERROR(__xludf.DUMMYFUNCTION("""COMPUTED_VALUE"""),"Mascotes II")</x:f>
      </x:c>
      <x:c r="C4816" s="1">
        <x:f>IFERROR(__xludf.DUMMYFUNCTION("""COMPUTED_VALUE"""),"2019")</x:f>
      </x:c>
    </x:row>
    <x:row r="4817" spans="1:10">
      <x:c r="A4817" s="1" t="s">
        <x:v>4826</x:v>
      </x:c>
      <x:c r="B4817" s="1">
        <x:f>IFERROR(__xludf.DUMMYFUNCTION("""COMPUTED_VALUE"""),"Masies, un llegat que s'ensorra")</x:f>
      </x:c>
      <x:c r="C4817" s="1">
        <x:f>IFERROR(__xludf.DUMMYFUNCTION("""COMPUTED_VALUE"""),"2025")</x:f>
      </x:c>
    </x:row>
    <x:row r="4818" spans="1:10">
      <x:c r="A4818" s="1" t="s">
        <x:v>4827</x:v>
      </x:c>
      <x:c r="B4818" s="1">
        <x:f>IFERROR(__xludf.DUMMYFUNCTION("""COMPUTED_VALUE"""),"Mass")</x:f>
      </x:c>
      <x:c r="C4818" s="1">
        <x:f>IFERROR(__xludf.DUMMYFUNCTION("""COMPUTED_VALUE"""),"2021")</x:f>
      </x:c>
    </x:row>
    <x:row r="4819" spans="1:10">
      <x:c r="A4819" s="1" t="s">
        <x:v>4828</x:v>
      </x:c>
      <x:c r="B4819" s="1">
        <x:f>IFERROR(__xludf.DUMMYFUNCTION("""COMPUTED_VALUE"""),"Master Xof")</x:f>
      </x:c>
      <x:c r="C4819" s="1">
        <x:f>IFERROR(__xludf.DUMMYFUNCTION("""COMPUTED_VALUE"""),"2023")</x:f>
      </x:c>
    </x:row>
    <x:row r="4820" spans="1:10">
      <x:c r="A4820" s="1" t="s">
        <x:v>4829</x:v>
      </x:c>
      <x:c r="B4820" s="1">
        <x:f>IFERROR(__xludf.DUMMYFUNCTION("""COMPUTED_VALUE"""),"Mata'ls suaument")</x:f>
      </x:c>
      <x:c r="C4820" s="1">
        <x:f>IFERROR(__xludf.DUMMYFUNCTION("""COMPUTED_VALUE"""),"2012")</x:f>
      </x:c>
    </x:row>
    <x:row r="4821" spans="1:10">
      <x:c r="A4821" s="1" t="s">
        <x:v>4830</x:v>
      </x:c>
      <x:c r="B4821" s="1">
        <x:f>IFERROR(__xludf.DUMMYFUNCTION("""COMPUTED_VALUE"""),"Matança americana")</x:f>
      </x:c>
      <x:c r="C4821" s="1">
        <x:f>IFERROR(__xludf.DUMMYFUNCTION("""COMPUTED_VALUE"""),"2022")</x:f>
      </x:c>
    </x:row>
    <x:row r="4822" spans="1:10">
      <x:c r="A4822" s="1" t="s">
        <x:v>4831</x:v>
      </x:c>
      <x:c r="B4822" s="1">
        <x:f>IFERROR(__xludf.DUMMYFUNCTION("""COMPUTED_VALUE"""),"Matar el missatger")</x:f>
      </x:c>
      <x:c r="C4822" s="1">
        <x:f>IFERROR(__xludf.DUMMYFUNCTION("""COMPUTED_VALUE"""),"2014")</x:f>
      </x:c>
    </x:row>
    <x:row r="4823" spans="1:10">
      <x:c r="A4823" s="1" t="s">
        <x:v>4832</x:v>
      </x:c>
      <x:c r="B4823" s="1">
        <x:f>IFERROR(__xludf.DUMMYFUNCTION("""COMPUTED_VALUE"""),"Matar un home")</x:f>
      </x:c>
      <x:c r="C4823" s="1">
        <x:f>IFERROR(__xludf.DUMMYFUNCTION("""COMPUTED_VALUE"""),"2016")</x:f>
      </x:c>
    </x:row>
    <x:row r="4824" spans="1:10">
      <x:c r="A4824" s="1" t="s">
        <x:v>4833</x:v>
      </x:c>
      <x:c r="B4824" s="1">
        <x:f>IFERROR(__xludf.DUMMYFUNCTION("""COMPUTED_VALUE"""),"Matar un rossinyol [VOSC]")</x:f>
      </x:c>
      <x:c r="C4824" s="1">
        <x:f>IFERROR(__xludf.DUMMYFUNCTION("""COMPUTED_VALUE"""),"1962")</x:f>
      </x:c>
    </x:row>
    <x:row r="4825" spans="1:10">
      <x:c r="A4825" s="1" t="s">
        <x:v>4834</x:v>
      </x:c>
      <x:c r="B4825" s="1">
        <x:f>IFERROR(__xludf.DUMMYFUNCTION("""COMPUTED_VALUE"""),"Match Point")</x:f>
      </x:c>
      <x:c r="C4825" s="1">
        <x:f>IFERROR(__xludf.DUMMYFUNCTION("""COMPUTED_VALUE"""),"2005")</x:f>
      </x:c>
    </x:row>
    <x:row r="4826" spans="1:10">
      <x:c r="A4826" s="1" t="s">
        <x:v>4835</x:v>
      </x:c>
      <x:c r="B4826" s="1">
        <x:f>IFERROR(__xludf.DUMMYFUNCTION("""COMPUTED_VALUE"""),"Matilda")</x:f>
      </x:c>
      <x:c r="C4826" s="1">
        <x:f>IFERROR(__xludf.DUMMYFUNCTION("""COMPUTED_VALUE"""),"1996")</x:f>
      </x:c>
    </x:row>
    <x:row r="4827" spans="1:10">
      <x:c r="A4827" s="1" t="s">
        <x:v>4836</x:v>
      </x:c>
      <x:c r="B4827" s="1">
        <x:f>IFERROR(__xludf.DUMMYFUNCTION("""COMPUTED_VALUE"""),"Matinée")</x:f>
      </x:c>
      <x:c r="C4827" s="1">
        <x:f>IFERROR(__xludf.DUMMYFUNCTION("""COMPUTED_VALUE"""),"1993")</x:f>
      </x:c>
    </x:row>
    <x:row r="4828" spans="1:10">
      <x:c r="A4828" s="1" t="s">
        <x:v>4837</x:v>
      </x:c>
      <x:c r="B4828" s="1">
        <x:f>IFERROR(__xludf.DUMMYFUNCTION("""COMPUTED_VALUE"""),"Matrix (Remasteritzada)")</x:f>
      </x:c>
      <x:c r="C4828" s="1">
        <x:f>IFERROR(__xludf.DUMMYFUNCTION("""COMPUTED_VALUE"""),"1999")</x:f>
      </x:c>
    </x:row>
    <x:row r="4829" spans="1:10">
      <x:c r="A4829" s="1" t="s">
        <x:v>4838</x:v>
      </x:c>
      <x:c r="B4829" s="1">
        <x:f>IFERROR(__xludf.DUMMYFUNCTION("""COMPUTED_VALUE"""),"Matrix Reloaded")</x:f>
      </x:c>
      <x:c r="C4829" s="1">
        <x:f>IFERROR(__xludf.DUMMYFUNCTION("""COMPUTED_VALUE"""),"2003")</x:f>
      </x:c>
    </x:row>
    <x:row r="4830" spans="1:10">
      <x:c r="A4830" s="1" t="s">
        <x:v>4839</x:v>
      </x:c>
      <x:c r="B4830" s="1">
        <x:f>IFERROR(__xludf.DUMMYFUNCTION("""COMPUTED_VALUE"""),"Matrix Revolutions")</x:f>
      </x:c>
      <x:c r="C4830" s="1">
        <x:f>IFERROR(__xludf.DUMMYFUNCTION("""COMPUTED_VALUE"""),"2003")</x:f>
      </x:c>
    </x:row>
    <x:row r="4831" spans="1:10">
      <x:c r="A4831" s="1" t="s">
        <x:v>4840</x:v>
      </x:c>
      <x:c r="B4831" s="1">
        <x:f>IFERROR(__xludf.DUMMYFUNCTION("""COMPUTED_VALUE"""),"Maudie")</x:f>
      </x:c>
      <x:c r="C4831" s="1">
        <x:f>IFERROR(__xludf.DUMMYFUNCTION("""COMPUTED_VALUE"""),"2016")</x:f>
      </x:c>
    </x:row>
    <x:row r="4832" spans="1:10">
      <x:c r="A4832" s="1" t="s">
        <x:v>4841</x:v>
      </x:c>
      <x:c r="B4832" s="1">
        <x:f>IFERROR(__xludf.DUMMYFUNCTION("""COMPUTED_VALUE"""),"Maverick")</x:f>
      </x:c>
      <x:c r="C4832" s="1">
        <x:f>IFERROR(__xludf.DUMMYFUNCTION("""COMPUTED_VALUE"""),"1994")</x:f>
      </x:c>
    </x:row>
    <x:row r="4833" spans="1:10">
      <x:c r="A4833" s="1" t="s">
        <x:v>4842</x:v>
      </x:c>
      <x:c r="B4833" s="1">
        <x:f>IFERROR(__xludf.DUMMYFUNCTION("""COMPUTED_VALUE"""),"Mavka. Guardiana del Bosc")</x:f>
      </x:c>
      <x:c r="C4833" s="1">
        <x:f>IFERROR(__xludf.DUMMYFUNCTION("""COMPUTED_VALUE"""),"2023")</x:f>
      </x:c>
    </x:row>
    <x:row r="4834" spans="1:10">
      <x:c r="A4834" s="1" t="s">
        <x:v>4843</x:v>
      </x:c>
      <x:c r="B4834" s="1">
        <x:f>IFERROR(__xludf.DUMMYFUNCTION("""COMPUTED_VALUE"""),"Maxim risc")</x:f>
      </x:c>
      <x:c r="C4834" s="1">
        <x:f>IFERROR(__xludf.DUMMYFUNCTION("""COMPUTED_VALUE"""),"1993")</x:f>
      </x:c>
    </x:row>
    <x:row r="4835" spans="1:10">
      <x:c r="A4835" s="1" t="s">
        <x:v>4844</x:v>
      </x:c>
      <x:c r="B4835" s="1">
        <x:f>IFERROR(__xludf.DUMMYFUNCTION("""COMPUTED_VALUE"""),"Mayerling")</x:f>
      </x:c>
      <x:c r="C4835" s="1">
        <x:f>IFERROR(__xludf.DUMMYFUNCTION("""COMPUTED_VALUE"""),"1968")</x:f>
      </x:c>
    </x:row>
    <x:row r="4836" spans="1:10">
      <x:c r="A4836" s="1" t="s">
        <x:v>4845</x:v>
      </x:c>
      <x:c r="B4836" s="1">
        <x:f>IFERROR(__xludf.DUMMYFUNCTION("""COMPUTED_VALUE"""),"Mazinger Z: Infinity")</x:f>
      </x:c>
      <x:c r="C4836" s="1">
        <x:f>IFERROR(__xludf.DUMMYFUNCTION("""COMPUTED_VALUE"""),"2017")</x:f>
      </x:c>
    </x:row>
    <x:row r="4837" spans="1:10">
      <x:c r="A4837" s="1" t="s">
        <x:v>4846</x:v>
      </x:c>
      <x:c r="B4837" s="1">
        <x:f>IFERROR(__xludf.DUMMYFUNCTION("""COMPUTED_VALUE"""),"McCabe i la senyora Miller")</x:f>
      </x:c>
      <x:c r="C4837" s="1">
        <x:f>IFERROR(__xludf.DUMMYFUNCTION("""COMPUTED_VALUE"""),"1971")</x:f>
      </x:c>
    </x:row>
    <x:row r="4838" spans="1:10">
      <x:c r="A4838" s="1" t="s">
        <x:v>4847</x:v>
      </x:c>
      <x:c r="B4838" s="1">
        <x:f>IFERROR(__xludf.DUMMYFUNCTION("""COMPUTED_VALUE"""),"Mea culpa")</x:f>
      </x:c>
      <x:c r="C4838" s="1">
        <x:f>IFERROR(__xludf.DUMMYFUNCTION("""COMPUTED_VALUE"""),"2014")</x:f>
      </x:c>
    </x:row>
    <x:row r="4839" spans="1:10">
      <x:c r="A4839" s="1" t="s">
        <x:v>4848</x:v>
      </x:c>
      <x:c r="B4839" s="1">
        <x:f>IFERROR(__xludf.DUMMYFUNCTION("""COMPUTED_VALUE"""),"Mediterrani")</x:f>
      </x:c>
      <x:c r="C4839" s="1">
        <x:f>IFERROR(__xludf.DUMMYFUNCTION("""COMPUTED_VALUE"""),"2021")</x:f>
      </x:c>
    </x:row>
    <x:row r="4840" spans="1:10">
      <x:c r="A4840" s="1" t="s">
        <x:v>4849</x:v>
      </x:c>
      <x:c r="B4840" s="1">
        <x:f>IFERROR(__xludf.DUMMYFUNCTION("""COMPUTED_VALUE"""),"Megan Leavey")</x:f>
      </x:c>
      <x:c r="C4840" s="1">
        <x:f>IFERROR(__xludf.DUMMYFUNCTION("""COMPUTED_VALUE"""),"2017")</x:f>
      </x:c>
    </x:row>
    <x:row r="4841" spans="1:10">
      <x:c r="A4841" s="1" t="s">
        <x:v>4850</x:v>
      </x:c>
      <x:c r="B4841" s="1">
        <x:f>IFERROR(__xludf.DUMMYFUNCTION("""COMPUTED_VALUE"""),"Mein Führer La veritat més autèntica sobre Adolf Hitler")</x:f>
      </x:c>
      <x:c r="C4841" s="1">
        <x:f>IFERROR(__xludf.DUMMYFUNCTION("""COMPUTED_VALUE"""),"2007")</x:f>
      </x:c>
    </x:row>
    <x:row r="4842" spans="1:10">
      <x:c r="A4842" s="1" t="s">
        <x:v>4851</x:v>
      </x:c>
      <x:c r="B4842" s="1">
        <x:f>IFERROR(__xludf.DUMMYFUNCTION("""COMPUTED_VALUE"""),"Mel")</x:f>
      </x:c>
      <x:c r="C4842" s="1">
        <x:f>IFERROR(__xludf.DUMMYFUNCTION("""COMPUTED_VALUE"""),"2010")</x:f>
      </x:c>
    </x:row>
    <x:row r="4843" spans="1:10">
      <x:c r="A4843" s="1" t="s">
        <x:v>4852</x:v>
      </x:c>
      <x:c r="B4843" s="1">
        <x:f>IFERROR(__xludf.DUMMYFUNCTION("""COMPUTED_VALUE"""),"Melinda i Melinda")</x:f>
      </x:c>
      <x:c r="C4843" s="1">
        <x:f>IFERROR(__xludf.DUMMYFUNCTION("""COMPUTED_VALUE"""),"2004")</x:f>
      </x:c>
    </x:row>
    <x:row r="4844" spans="1:10">
      <x:c r="A4844" s="1" t="s">
        <x:v>4853</x:v>
      </x:c>
      <x:c r="B4844" s="1">
        <x:f>IFERROR(__xludf.DUMMYFUNCTION("""COMPUTED_VALUE"""),"Melody")</x:f>
      </x:c>
      <x:c r="C4844" s="1">
        <x:f>IFERROR(__xludf.DUMMYFUNCTION("""COMPUTED_VALUE"""),"1971")</x:f>
      </x:c>
    </x:row>
    <x:row r="4845" spans="1:10">
      <x:c r="A4845" s="1" t="s">
        <x:v>4854</x:v>
      </x:c>
      <x:c r="B4845" s="1">
        <x:f>IFERROR(__xludf.DUMMYFUNCTION("""COMPUTED_VALUE"""),"Memento")</x:f>
      </x:c>
      <x:c r="C4845" s="1">
        <x:f>IFERROR(__xludf.DUMMYFUNCTION("""COMPUTED_VALUE"""),"2000")</x:f>
      </x:c>
    </x:row>
    <x:row r="4846" spans="1:10">
      <x:c r="A4846" s="1" t="s">
        <x:v>4855</x:v>
      </x:c>
      <x:c r="B4846" s="1">
        <x:f>IFERROR(__xludf.DUMMYFUNCTION("""COMPUTED_VALUE"""),"Memòria de l'heroïna")</x:f>
      </x:c>
      <x:c r="C4846" s="1">
        <x:f>IFERROR(__xludf.DUMMYFUNCTION("""COMPUTED_VALUE"""),"2025")</x:f>
      </x:c>
    </x:row>
    <x:row r="4847" spans="1:10">
      <x:c r="A4847" s="1" t="s">
        <x:v>4856</x:v>
      </x:c>
      <x:c r="B4847" s="1">
        <x:f>IFERROR(__xludf.DUMMYFUNCTION("""COMPUTED_VALUE"""),"Memòria de l'infern")</x:f>
      </x:c>
      <x:c r="C4847" s="1">
        <x:f>IFERROR(__xludf.DUMMYFUNCTION("""COMPUTED_VALUE"""),"2005")</x:f>
      </x:c>
    </x:row>
    <x:row r="4848" spans="1:10">
      <x:c r="A4848" s="1" t="s">
        <x:v>4857</x:v>
      </x:c>
      <x:c r="B4848" s="1">
        <x:f>IFERROR(__xludf.DUMMYFUNCTION("""COMPUTED_VALUE"""),"Memòries d'Àfrica")</x:f>
      </x:c>
      <x:c r="C4848" s="1">
        <x:f>IFERROR(__xludf.DUMMYFUNCTION("""COMPUTED_VALUE"""),"1985")</x:f>
      </x:c>
    </x:row>
    <x:row r="4849" spans="1:10">
      <x:c r="A4849" s="1" t="s">
        <x:v>4858</x:v>
      </x:c>
      <x:c r="B4849" s="1">
        <x:f>IFERROR(__xludf.DUMMYFUNCTION("""COMPUTED_VALUE"""),"Memòries d'un home en pijama")</x:f>
      </x:c>
      <x:c r="C4849" s="1">
        <x:f>IFERROR(__xludf.DUMMYFUNCTION("""COMPUTED_VALUE"""),"2018")</x:f>
      </x:c>
    </x:row>
    <x:row r="4850" spans="1:10">
      <x:c r="A4850" s="1" t="s">
        <x:v>4859</x:v>
      </x:c>
      <x:c r="B4850" s="1">
        <x:f>IFERROR(__xludf.DUMMYFUNCTION("""COMPUTED_VALUE"""),"Memòries d'un zombie adolescent")</x:f>
      </x:c>
      <x:c r="C4850" s="1">
        <x:f>IFERROR(__xludf.DUMMYFUNCTION("""COMPUTED_VALUE"""),"2013")</x:f>
      </x:c>
    </x:row>
    <x:row r="4851" spans="1:10">
      <x:c r="A4851" s="1" t="s">
        <x:v>4860</x:v>
      </x:c>
      <x:c r="B4851" s="1">
        <x:f>IFERROR(__xludf.DUMMYFUNCTION("""COMPUTED_VALUE"""),"Memòries d'una geisha")</x:f>
      </x:c>
      <x:c r="C4851" s="1">
        <x:f>IFERROR(__xludf.DUMMYFUNCTION("""COMPUTED_VALUE"""),"2005")</x:f>
      </x:c>
    </x:row>
    <x:row r="4852" spans="1:10">
      <x:c r="A4852" s="1" t="s">
        <x:v>4861</x:v>
      </x:c>
      <x:c r="B4852" s="1">
        <x:f>IFERROR(__xludf.DUMMYFUNCTION("""COMPUTED_VALUE"""),"Memòries de París")</x:f>
      </x:c>
      <x:c r="C4852" s="1">
        <x:f>IFERROR(__xludf.DUMMYFUNCTION("""COMPUTED_VALUE"""),"2022")</x:f>
      </x:c>
    </x:row>
    <x:row r="4853" spans="1:10">
      <x:c r="A4853" s="1" t="s">
        <x:v>4862</x:v>
      </x:c>
      <x:c r="B4853" s="1">
        <x:f>IFERROR(__xludf.DUMMYFUNCTION("""COMPUTED_VALUE"""),"Memòries de Queens")</x:f>
      </x:c>
      <x:c r="C4853" s="1">
        <x:f>IFERROR(__xludf.DUMMYFUNCTION("""COMPUTED_VALUE"""),"2006")</x:f>
      </x:c>
    </x:row>
    <x:row r="4854" spans="1:10">
      <x:c r="A4854" s="1" t="s">
        <x:v>4863</x:v>
      </x:c>
      <x:c r="B4854" s="1">
        <x:f>IFERROR(__xludf.DUMMYFUNCTION("""COMPUTED_VALUE"""),"Memòries gitanes. L'altre genocidi")</x:f>
      </x:c>
      <x:c r="C4854" s="1">
        <x:f>IFERROR(__xludf.DUMMYFUNCTION("""COMPUTED_VALUE"""),"2011")</x:f>
      </x:c>
    </x:row>
    <x:row r="4855" spans="1:10">
      <x:c r="A4855" s="1" t="s">
        <x:v>4864</x:v>
      </x:c>
      <x:c r="B4855" s="1">
        <x:f>IFERROR(__xludf.DUMMYFUNCTION("""COMPUTED_VALUE"""),"Memory")</x:f>
      </x:c>
      <x:c r="C4855" s="1">
        <x:f>IFERROR(__xludf.DUMMYFUNCTION("""COMPUTED_VALUE"""),"2023")</x:f>
      </x:c>
    </x:row>
    <x:row r="4856" spans="1:10">
      <x:c r="A4856" s="1" t="s">
        <x:v>4865</x:v>
      </x:c>
      <x:c r="B4856" s="1">
        <x:f>IFERROR(__xludf.DUMMYFUNCTION("""COMPUTED_VALUE"""),"Memphis Belle")</x:f>
      </x:c>
      <x:c r="C4856" s="1">
        <x:f>IFERROR(__xludf.DUMMYFUNCTION("""COMPUTED_VALUE"""),"1990")</x:f>
      </x:c>
    </x:row>
    <x:row r="4857" spans="1:10">
      <x:c r="A4857" s="1" t="s">
        <x:v>4866</x:v>
      </x:c>
      <x:c r="B4857" s="1">
        <x:f>IFERROR(__xludf.DUMMYFUNCTION("""COMPUTED_VALUE"""),"Men in black I")</x:f>
      </x:c>
      <x:c r="C4857" s="1">
        <x:f>IFERROR(__xludf.DUMMYFUNCTION("""COMPUTED_VALUE"""),"1997")</x:f>
      </x:c>
    </x:row>
    <x:row r="4858" spans="1:10">
      <x:c r="A4858" s="1" t="s">
        <x:v>4867</x:v>
      </x:c>
      <x:c r="B4858" s="1">
        <x:f>IFERROR(__xludf.DUMMYFUNCTION("""COMPUTED_VALUE"""),"Men in black II")</x:f>
      </x:c>
      <x:c r="C4858" s="1">
        <x:f>IFERROR(__xludf.DUMMYFUNCTION("""COMPUTED_VALUE"""),"2002")</x:f>
      </x:c>
    </x:row>
    <x:row r="4859" spans="1:10">
      <x:c r="A4859" s="1" t="s">
        <x:v>4868</x:v>
      </x:c>
      <x:c r="B4859" s="1">
        <x:f>IFERROR(__xludf.DUMMYFUNCTION("""COMPUTED_VALUE"""),"Men in black III")</x:f>
      </x:c>
      <x:c r="C4859" s="1">
        <x:f>IFERROR(__xludf.DUMMYFUNCTION("""COMPUTED_VALUE"""),"2012")</x:f>
      </x:c>
    </x:row>
    <x:row r="4860" spans="1:10">
      <x:c r="A4860" s="1" t="s">
        <x:v>4869</x:v>
      </x:c>
      <x:c r="B4860" s="1">
        <x:f>IFERROR(__xludf.DUMMYFUNCTION("""COMPUTED_VALUE"""),"Mendelssohn, els nazis i jo")</x:f>
      </x:c>
      <x:c r="C4860" s="1">
        <x:f>IFERROR(__xludf.DUMMYFUNCTION("""COMPUTED_VALUE"""),"2009")</x:f>
      </x:c>
    </x:row>
    <x:row r="4861" spans="1:10">
      <x:c r="A4861" s="1" t="s">
        <x:v>4870</x:v>
      </x:c>
      <x:c r="B4861" s="1">
        <x:f>IFERROR(__xludf.DUMMYFUNCTION("""COMPUTED_VALUE"""),"Menja d'amor")</x:f>
      </x:c>
      <x:c r="C4861" s="1">
        <x:f>IFERROR(__xludf.DUMMYFUNCTION("""COMPUTED_VALUE"""),"2002")</x:f>
      </x:c>
    </x:row>
    <x:row r="4862" spans="1:10">
      <x:c r="A4862" s="1" t="s">
        <x:v>4871</x:v>
      </x:c>
      <x:c r="B4862" s="1">
        <x:f>IFERROR(__xludf.DUMMYFUNCTION("""COMPUTED_VALUE"""),"Menja, resa, estima")</x:f>
      </x:c>
      <x:c r="C4862" s="1">
        <x:f>IFERROR(__xludf.DUMMYFUNCTION("""COMPUTED_VALUE"""),"2010")</x:f>
      </x:c>
    </x:row>
    <x:row r="4863" spans="1:10">
      <x:c r="A4863" s="1" t="s">
        <x:v>4872</x:v>
      </x:c>
      <x:c r="B4863" s="1">
        <x:f>IFERROR(__xludf.DUMMYFUNCTION("""COMPUTED_VALUE"""),"Menjar per a gats")</x:f>
      </x:c>
      <x:c r="C4863" s="1">
        <x:f>IFERROR(__xludf.DUMMYFUNCTION("""COMPUTED_VALUE"""),"2008")</x:f>
      </x:c>
    </x:row>
    <x:row r="4864" spans="1:10">
      <x:c r="A4864" s="1" t="s">
        <x:v>4873</x:v>
      </x:c>
      <x:c r="B4864" s="1">
        <x:f>IFERROR(__xludf.DUMMYFUNCTION("""COMPUTED_VALUE"""),"Menjar, jugar, estimar")</x:f>
      </x:c>
      <x:c r="C4864" s="1">
        <x:f>IFERROR(__xludf.DUMMYFUNCTION("""COMPUTED_VALUE"""),"2017")</x:f>
      </x:c>
    </x:row>
    <x:row r="4865" spans="1:10">
      <x:c r="A4865" s="1" t="s">
        <x:v>4874</x:v>
      </x:c>
      <x:c r="B4865" s="1">
        <x:f>IFERROR(__xludf.DUMMYFUNCTION("""COMPUTED_VALUE"""),"Mentider")</x:f>
      </x:c>
      <x:c r="C4865" s="1">
        <x:f>IFERROR(__xludf.DUMMYFUNCTION("""COMPUTED_VALUE"""),"2022")</x:f>
      </x:c>
    </x:row>
    <x:row r="4866" spans="1:10">
      <x:c r="A4866" s="1" t="s">
        <x:v>4875</x:v>
      </x:c>
      <x:c r="B4866" s="1">
        <x:f>IFERROR(__xludf.DUMMYFUNCTION("""COMPUTED_VALUE"""),"Mentiders")</x:f>
      </x:c>
      <x:c r="C4866" s="1">
        <x:f>IFERROR(__xludf.DUMMYFUNCTION("""COMPUTED_VALUE"""),"2012")</x:f>
      </x:c>
    </x:row>
    <x:row r="4867" spans="1:10">
      <x:c r="A4867" s="1" t="s">
        <x:v>4876</x:v>
      </x:c>
      <x:c r="B4867" s="1">
        <x:f>IFERROR(__xludf.DUMMYFUNCTION("""COMPUTED_VALUE"""),"Mentides que expliquem")</x:f>
      </x:c>
      <x:c r="C4867" s="1">
        <x:f>IFERROR(__xludf.DUMMYFUNCTION("""COMPUTED_VALUE"""),"2017")</x:f>
      </x:c>
    </x:row>
    <x:row r="4868" spans="1:10">
      <x:c r="A4868" s="1" t="s">
        <x:v>4877</x:v>
      </x:c>
      <x:c r="B4868" s="1">
        <x:f>IFERROR(__xludf.DUMMYFUNCTION("""COMPUTED_VALUE"""),"Mentre dorms")</x:f>
      </x:c>
      <x:c r="C4868" s="1">
        <x:f>IFERROR(__xludf.DUMMYFUNCTION("""COMPUTED_VALUE"""),"2011")</x:f>
      </x:c>
    </x:row>
    <x:row r="4869" spans="1:10">
      <x:c r="A4869" s="1" t="s">
        <x:v>4878</x:v>
      </x:c>
      <x:c r="B4869" s="1">
        <x:f>IFERROR(__xludf.DUMMYFUNCTION("""COMPUTED_VALUE"""),"Mentre hi hagi homes")</x:f>
      </x:c>
      <x:c r="C4869" s="1">
        <x:f>IFERROR(__xludf.DUMMYFUNCTION("""COMPUTED_VALUE"""),"2001")</x:f>
      </x:c>
    </x:row>
    <x:row r="4870" spans="1:10">
      <x:c r="A4870" s="1" t="s">
        <x:v>4879</x:v>
      </x:c>
      <x:c r="B4870" s="1">
        <x:f>IFERROR(__xludf.DUMMYFUNCTION("""COMPUTED_VALUE"""),"Mentre no hi ets")</x:f>
      </x:c>
      <x:c r="C4870" s="1">
        <x:f>IFERROR(__xludf.DUMMYFUNCTION("""COMPUTED_VALUE"""),"2014")</x:f>
      </x:c>
    </x:row>
    <x:row r="4871" spans="1:10">
      <x:c r="A4871" s="1" t="s">
        <x:v>4880</x:v>
      </x:c>
      <x:c r="B4871" s="1">
        <x:f>IFERROR(__xludf.DUMMYFUNCTION("""COMPUTED_VALUE"""),"Mentre Nova York dorm")</x:f>
      </x:c>
      <x:c r="C4871" s="1">
        <x:f>IFERROR(__xludf.DUMMYFUNCTION("""COMPUTED_VALUE"""),"1956")</x:f>
      </x:c>
    </x:row>
    <x:row r="4872" spans="1:10">
      <x:c r="A4872" s="1" t="s">
        <x:v>4881</x:v>
      </x:c>
      <x:c r="B4872" s="1">
        <x:f>IFERROR(__xludf.DUMMYFUNCTION("""COMPUTED_VALUE"""),"Mentre siguem joves")</x:f>
      </x:c>
      <x:c r="C4872" s="1">
        <x:f>IFERROR(__xludf.DUMMYFUNCTION("""COMPUTED_VALUE"""),"2014")</x:f>
      </x:c>
    </x:row>
    <x:row r="4873" spans="1:10">
      <x:c r="A4873" s="1" t="s">
        <x:v>4882</x:v>
      </x:c>
      <x:c r="B4873" s="1">
        <x:f>IFERROR(__xludf.DUMMYFUNCTION("""COMPUTED_VALUE"""),"Mentre siguis amb mi")</x:f>
      </x:c>
      <x:c r="C4873" s="1">
        <x:f>IFERROR(__xludf.DUMMYFUNCTION("""COMPUTED_VALUE"""),"2020")</x:f>
      </x:c>
    </x:row>
    <x:row r="4874" spans="1:10">
      <x:c r="A4874" s="1" t="s">
        <x:v>4883</x:v>
      </x:c>
      <x:c r="B4874" s="1">
        <x:f>IFERROR(__xludf.DUMMYFUNCTION("""COMPUTED_VALUE"""),"Ments brillants")</x:f>
      </x:c>
      <x:c r="C4874" s="1">
        <x:f>IFERROR(__xludf.DUMMYFUNCTION("""COMPUTED_VALUE"""),"2018")</x:f>
      </x:c>
    </x:row>
    <x:row r="4875" spans="1:10">
      <x:c r="A4875" s="1" t="s">
        <x:v>4884</x:v>
      </x:c>
      <x:c r="B4875" s="1">
        <x:f>IFERROR(__xludf.DUMMYFUNCTION("""COMPUTED_VALUE"""),"Menú degustació")</x:f>
      </x:c>
      <x:c r="C4875" s="1">
        <x:f>IFERROR(__xludf.DUMMYFUNCTION("""COMPUTED_VALUE"""),"2013")</x:f>
      </x:c>
    </x:row>
    <x:row r="4876" spans="1:10">
      <x:c r="A4876" s="1" t="s">
        <x:v>4885</x:v>
      </x:c>
      <x:c r="B4876" s="1">
        <x:f>IFERROR(__xludf.DUMMYFUNCTION("""COMPUTED_VALUE"""),"Meravellós desastre")</x:f>
      </x:c>
      <x:c r="C4876" s="1">
        <x:f>IFERROR(__xludf.DUMMYFUNCTION("""COMPUTED_VALUE"""),"2023")</x:f>
      </x:c>
    </x:row>
    <x:row r="4877" spans="1:10">
      <x:c r="A4877" s="1" t="s">
        <x:v>4886</x:v>
      </x:c>
      <x:c r="B4877" s="1">
        <x:f>IFERROR(__xludf.DUMMYFUNCTION("""COMPUTED_VALUE"""),"Mercenaris d'elit")</x:f>
      </x:c>
      <x:c r="C4877" s="1">
        <x:f>IFERROR(__xludf.DUMMYFUNCTION("""COMPUTED_VALUE"""),"2020")</x:f>
      </x:c>
    </x:row>
    <x:row r="4878" spans="1:10">
      <x:c r="A4878" s="1" t="s">
        <x:v>4887</x:v>
      </x:c>
      <x:c r="B4878" s="1">
        <x:f>IFERROR(__xludf.DUMMYFUNCTION("""COMPUTED_VALUE"""),"Merlí: el retorn")</x:f>
      </x:c>
      <x:c r="C4878" s="1">
        <x:f>IFERROR(__xludf.DUMMYFUNCTION("""COMPUTED_VALUE"""),"2000")</x:f>
      </x:c>
    </x:row>
    <x:row r="4879" spans="1:10">
      <x:c r="A4879" s="1" t="s">
        <x:v>4888</x:v>
      </x:c>
      <x:c r="B4879" s="1">
        <x:f>IFERROR(__xludf.DUMMYFUNCTION("""COMPUTED_VALUE"""),"Més enllà de l'ambició")</x:f>
      </x:c>
      <x:c r="C4879" s="1">
        <x:f>IFERROR(__xludf.DUMMYFUNCTION("""COMPUTED_VALUE"""),"1988")</x:f>
      </x:c>
    </x:row>
    <x:row r="4880" spans="1:10">
      <x:c r="A4880" s="1" t="s">
        <x:v>4889</x:v>
      </x:c>
      <x:c r="B4880" s="1">
        <x:f>IFERROR(__xludf.DUMMYFUNCTION("""COMPUTED_VALUE"""),"Més enllà de l'aventura del Posidó")</x:f>
      </x:c>
      <x:c r="C4880" s="1">
        <x:f>IFERROR(__xludf.DUMMYFUNCTION("""COMPUTED_VALUE"""),"1979")</x:f>
      </x:c>
    </x:row>
    <x:row r="4881" spans="1:10">
      <x:c r="A4881" s="1" t="s">
        <x:v>4890</x:v>
      </x:c>
      <x:c r="B4881" s="1">
        <x:f>IFERROR(__xludf.DUMMYFUNCTION("""COMPUTED_VALUE"""),"Més enllà de l'honor")</x:f>
      </x:c>
      <x:c r="C4881" s="1">
        <x:f>IFERROR(__xludf.DUMMYFUNCTION("""COMPUTED_VALUE"""),"1981")</x:f>
      </x:c>
    </x:row>
    <x:row r="4882" spans="1:10">
      <x:c r="A4882" s="1" t="s">
        <x:v>4891</x:v>
      </x:c>
      <x:c r="B4882" s="1">
        <x:f>IFERROR(__xludf.DUMMYFUNCTION("""COMPUTED_VALUE"""),"Més enllà de l'oblit")</x:f>
      </x:c>
      <x:c r="C4882" s="1">
        <x:f>IFERROR(__xludf.DUMMYFUNCTION("""COMPUTED_VALUE"""),"2017")</x:f>
      </x:c>
    </x:row>
    <x:row r="4883" spans="1:10">
      <x:c r="A4883" s="1" t="s">
        <x:v>4892</x:v>
      </x:c>
      <x:c r="B4883" s="1">
        <x:f>IFERROR(__xludf.DUMMYFUNCTION("""COMPUTED_VALUE"""),"Més enllà de l'odi")</x:f>
      </x:c>
      <x:c r="C4883" s="1">
        <x:f>IFERROR(__xludf.DUMMYFUNCTION("""COMPUTED_VALUE"""),"2005")</x:f>
      </x:c>
    </x:row>
    <x:row r="4884" spans="1:10">
      <x:c r="A4884" s="1" t="s">
        <x:v>4893</x:v>
      </x:c>
      <x:c r="B4884" s="1">
        <x:f>IFERROR(__xludf.DUMMYFUNCTION("""COMPUTED_VALUE"""),"Més enllà de La Cubana")</x:f>
      </x:c>
      <x:c r="C4884" s="1">
        <x:f>IFERROR(__xludf.DUMMYFUNCTION("""COMPUTED_VALUE"""),"2022")</x:f>
      </x:c>
    </x:row>
    <x:row r="4885" spans="1:10">
      <x:c r="A4885" s="1" t="s">
        <x:v>4894</x:v>
      </x:c>
      <x:c r="B4885" s="1">
        <x:f>IFERROR(__xludf.DUMMYFUNCTION("""COMPUTED_VALUE"""),"Més enllà de la vida")</x:f>
      </x:c>
      <x:c r="C4885" s="1">
        <x:f>IFERROR(__xludf.DUMMYFUNCTION("""COMPUTED_VALUE"""),"2010")</x:f>
      </x:c>
    </x:row>
    <x:row r="4886" spans="1:10">
      <x:c r="A4886" s="1" t="s">
        <x:v>4895</x:v>
      </x:c>
      <x:c r="B4886" s="1">
        <x:f>IFERROR(__xludf.DUMMYFUNCTION("""COMPUTED_VALUE"""),"Més enllà de les estrelles")</x:f>
      </x:c>
      <x:c r="C4886" s="1">
        <x:f>IFERROR(__xludf.DUMMYFUNCTION("""COMPUTED_VALUE"""),"2003")</x:f>
      </x:c>
    </x:row>
    <x:row r="4887" spans="1:10">
      <x:c r="A4887" s="1" t="s">
        <x:v>4896</x:v>
      </x:c>
      <x:c r="B4887" s="1">
        <x:f>IFERROR(__xludf.DUMMYFUNCTION("""COMPUTED_VALUE"""),"Més enllà de Mombasa")</x:f>
      </x:c>
      <x:c r="C4887" s="1">
        <x:f>IFERROR(__xludf.DUMMYFUNCTION("""COMPUTED_VALUE"""),"1956")</x:f>
      </x:c>
    </x:row>
    <x:row r="4888" spans="1:10">
      <x:c r="A4888" s="1" t="s">
        <x:v>4897</x:v>
      </x:c>
      <x:c r="B4888" s="1">
        <x:f>IFERROR(__xludf.DUMMYFUNCTION("""COMPUTED_VALUE"""),"Més enllà de Rio Grande")</x:f>
      </x:c>
      <x:c r="C4888" s="1">
        <x:f>IFERROR(__xludf.DUMMYFUNCTION("""COMPUTED_VALUE"""),"1959")</x:f>
      </x:c>
    </x:row>
    <x:row r="4889" spans="1:10">
      <x:c r="A4889" s="1" t="s">
        <x:v>4898</x:v>
      </x:c>
      <x:c r="B4889" s="1">
        <x:f>IFERROR(__xludf.DUMMYFUNCTION("""COMPUTED_VALUE"""),"Més enllà del dubte")</x:f>
      </x:c>
      <x:c r="C4889" s="1">
        <x:f>IFERROR(__xludf.DUMMYFUNCTION("""COMPUTED_VALUE"""),"2009")</x:f>
      </x:c>
    </x:row>
    <x:row r="4890" spans="1:10">
      <x:c r="A4890" s="1" t="s">
        <x:v>4899</x:v>
      </x:c>
      <x:c r="B4890" s="1">
        <x:f>IFERROR(__xludf.DUMMYFUNCTION("""COMPUTED_VALUE"""),"Més enllà dels dos minuts infinits")</x:f>
      </x:c>
      <x:c r="C4890" s="1">
        <x:f>IFERROR(__xludf.DUMMYFUNCTION("""COMPUTED_VALUE"""),"2020")</x:f>
      </x:c>
    </x:row>
    <x:row r="4891" spans="1:10">
      <x:c r="A4891" s="1" t="s">
        <x:v>4900</x:v>
      </x:c>
      <x:c r="B4891" s="1">
        <x:f>IFERROR(__xludf.DUMMYFUNCTION("""COMPUTED_VALUE"""),"Més enllà dels somnis")</x:f>
      </x:c>
      <x:c r="C4891" s="1">
        <x:f>IFERROR(__xludf.DUMMYFUNCTION("""COMPUTED_VALUE"""),"1998")</x:f>
      </x:c>
    </x:row>
    <x:row r="4892" spans="1:10">
      <x:c r="A4892" s="1" t="s">
        <x:v>4901</x:v>
      </x:c>
      <x:c r="B4892" s="1">
        <x:f>IFERROR(__xludf.DUMMYFUNCTION("""COMPUTED_VALUE"""),"Més fort que les paraules")</x:f>
      </x:c>
      <x:c r="C4892" s="1">
        <x:f>IFERROR(__xludf.DUMMYFUNCTION("""COMPUTED_VALUE"""),"2013")</x:f>
      </x:c>
    </x:row>
    <x:row r="4893" spans="1:10">
      <x:c r="A4893" s="1" t="s">
        <x:v>4902</x:v>
      </x:c>
      <x:c r="B4893" s="1">
        <x:f>IFERROR(__xludf.DUMMYFUNCTION("""COMPUTED_VALUE"""),"Més que idols")</x:f>
      </x:c>
      <x:c r="C4893" s="1">
        <x:f>IFERROR(__xludf.DUMMYFUNCTION("""COMPUTED_VALUE"""),"1986")</x:f>
      </x:c>
    </x:row>
    <x:row r="4894" spans="1:10">
      <x:c r="A4894" s="1" t="s">
        <x:v>4903</x:v>
      </x:c>
      <x:c r="B4894" s="1">
        <x:f>IFERROR(__xludf.DUMMYFUNCTION("""COMPUTED_VALUE"""),"Més que un somni - Ho sabia")</x:f>
      </x:c>
      <x:c r="C4894" s="1">
        <x:f>IFERROR(__xludf.DUMMYFUNCTION("""COMPUTED_VALUE"""),"2022")</x:f>
      </x:c>
    </x:row>
    <x:row r="4895" spans="1:10">
      <x:c r="A4895" s="1" t="s">
        <x:v>4904</x:v>
      </x:c>
      <x:c r="B4895" s="1">
        <x:f>IFERROR(__xludf.DUMMYFUNCTION("""COMPUTED_VALUE"""),"Més ràpid que el vent")</x:f>
      </x:c>
      <x:c r="C4895" s="1">
        <x:f>IFERROR(__xludf.DUMMYFUNCTION("""COMPUTED_VALUE"""),"1958")</x:f>
      </x:c>
    </x:row>
    <x:row r="4896" spans="1:10">
      <x:c r="A4896" s="1" t="s">
        <x:v>4905</x:v>
      </x:c>
      <x:c r="B4896" s="1">
        <x:f>IFERROR(__xludf.DUMMYFUNCTION("""COMPUTED_VALUE"""),"Més veloç que la mort")</x:f>
      </x:c>
      <x:c r="C4896" s="1">
        <x:f>IFERROR(__xludf.DUMMYFUNCTION("""COMPUTED_VALUE"""),"2018")</x:f>
      </x:c>
    </x:row>
    <x:row r="4897" spans="1:10">
      <x:c r="A4897" s="1" t="s">
        <x:v>4906</x:v>
      </x:c>
      <x:c r="B4897" s="1">
        <x:f>IFERROR(__xludf.DUMMYFUNCTION("""COMPUTED_VALUE"""),"Messi")</x:f>
      </x:c>
      <x:c r="C4897" s="1">
        <x:f>IFERROR(__xludf.DUMMYFUNCTION("""COMPUTED_VALUE"""),"2014")</x:f>
      </x:c>
    </x:row>
    <x:row r="4898" spans="1:10">
      <x:c r="A4898" s="1" t="s">
        <x:v>4907</x:v>
      </x:c>
      <x:c r="B4898" s="1">
        <x:f>IFERROR(__xludf.DUMMYFUNCTION("""COMPUTED_VALUE"""),"Messi, el desè art")</x:f>
      </x:c>
      <x:c r="C4898" s="1">
        <x:f>IFERROR(__xludf.DUMMYFUNCTION("""COMPUTED_VALUE"""),"2021")</x:f>
      </x:c>
    </x:row>
    <x:row r="4899" spans="1:10">
      <x:c r="A4899" s="1" t="s">
        <x:v>4908</x:v>
      </x:c>
      <x:c r="B4899" s="1">
        <x:f>IFERROR(__xludf.DUMMYFUNCTION("""COMPUTED_VALUE"""),"Messies participatiu")</x:f>
      </x:c>
      <x:c r="C4899" s="1">
        <x:f>IFERROR(__xludf.DUMMYFUNCTION("""COMPUTED_VALUE"""),"2024")</x:f>
      </x:c>
    </x:row>
    <x:row r="4900" spans="1:10">
      <x:c r="A4900" s="1" t="s">
        <x:v>4909</x:v>
      </x:c>
      <x:c r="B4900" s="1">
        <x:f>IFERROR(__xludf.DUMMYFUNCTION("""COMPUTED_VALUE"""),"Mesures extraordinàries")</x:f>
      </x:c>
      <x:c r="C4900" s="1">
        <x:f>IFERROR(__xludf.DUMMYFUNCTION("""COMPUTED_VALUE"""),"2009")</x:f>
      </x:c>
    </x:row>
    <x:row r="4901" spans="1:10">
      <x:c r="A4901" s="1" t="s">
        <x:v>4910</x:v>
      </x:c>
      <x:c r="B4901" s="1">
        <x:f>IFERROR(__xludf.DUMMYFUNCTION("""COMPUTED_VALUE"""),"Mesures extremes")</x:f>
      </x:c>
      <x:c r="C4901" s="1">
        <x:f>IFERROR(__xludf.DUMMYFUNCTION("""COMPUTED_VALUE"""),"2016")</x:f>
      </x:c>
    </x:row>
    <x:row r="4902" spans="1:10">
      <x:c r="A4902" s="1" t="s">
        <x:v>4911</x:v>
      </x:c>
      <x:c r="B4902" s="1">
        <x:f>IFERROR(__xludf.DUMMYFUNCTION("""COMPUTED_VALUE"""),"Metamorphosis, de les places als ajuntaments")</x:f>
      </x:c>
      <x:c r="C4902" s="1">
        <x:f>IFERROR(__xludf.DUMMYFUNCTION("""COMPUTED_VALUE"""),"2016")</x:f>
      </x:c>
    </x:row>
    <x:row r="4903" spans="1:10">
      <x:c r="A4903" s="1" t="s">
        <x:v>4912</x:v>
      </x:c>
      <x:c r="B4903" s="1">
        <x:f>IFERROR(__xludf.DUMMYFUNCTION("""COMPUTED_VALUE"""),"Meteorit")</x:f>
      </x:c>
      <x:c r="C4903" s="1">
        <x:f>IFERROR(__xludf.DUMMYFUNCTION("""COMPUTED_VALUE"""),"1979")</x:f>
      </x:c>
    </x:row>
    <x:row r="4904" spans="1:10">
      <x:c r="A4904" s="1" t="s">
        <x:v>4913</x:v>
      </x:c>
      <x:c r="B4904" s="1">
        <x:f>IFERROR(__xludf.DUMMYFUNCTION("""COMPUTED_VALUE"""),"Metropolis [VOSC]")</x:f>
      </x:c>
      <x:c r="C4904" s="1">
        <x:f>IFERROR(__xludf.DUMMYFUNCTION("""COMPUTED_VALUE"""),"1927")</x:f>
      </x:c>
    </x:row>
    <x:row r="4905" spans="1:10">
      <x:c r="A4905" s="1" t="s">
        <x:v>4914</x:v>
      </x:c>
      <x:c r="B4905" s="1">
        <x:f>IFERROR(__xludf.DUMMYFUNCTION("""COMPUTED_VALUE"""),"Meublé. La Casita Blanca")</x:f>
      </x:c>
      <x:c r="C4905" s="1">
        <x:f>IFERROR(__xludf.DUMMYFUNCTION("""COMPUTED_VALUE"""),"2011")</x:f>
      </x:c>
    </x:row>
    <x:row r="4906" spans="1:10">
      <x:c r="A4906" s="1" t="s">
        <x:v>4915</x:v>
      </x:c>
      <x:c r="B4906" s="1">
        <x:f>IFERROR(__xludf.DUMMYFUNCTION("""COMPUTED_VALUE"""),"Mi loco Erasmus")</x:f>
      </x:c>
      <x:c r="C4906" s="1">
        <x:f>IFERROR(__xludf.DUMMYFUNCTION("""COMPUTED_VALUE"""),"2012")</x:f>
      </x:c>
    </x:row>
    <x:row r="4907" spans="1:10">
      <x:c r="A4907" s="1" t="s">
        <x:v>4916</x:v>
      </x:c>
      <x:c r="B4907" s="1">
        <x:f>IFERROR(__xludf.DUMMYFUNCTION("""COMPUTED_VALUE"""),"Mia Sarah")</x:f>
      </x:c>
      <x:c r="C4907" s="1">
        <x:f>IFERROR(__xludf.DUMMYFUNCTION("""COMPUTED_VALUE"""),"2006")</x:f>
      </x:c>
    </x:row>
    <x:row r="4908" spans="1:10">
      <x:c r="A4908" s="1" t="s">
        <x:v>4917</x:v>
      </x:c>
      <x:c r="B4908" s="1">
        <x:f>IFERROR(__xludf.DUMMYFUNCTION("""COMPUTED_VALUE"""),"Michael Clayton")</x:f>
      </x:c>
      <x:c r="C4908" s="1">
        <x:f>IFERROR(__xludf.DUMMYFUNCTION("""COMPUTED_VALUE"""),"2007")</x:f>
      </x:c>
    </x:row>
    <x:row r="4909" spans="1:10">
      <x:c r="A4909" s="1" t="s">
        <x:v>4918</x:v>
      </x:c>
      <x:c r="B4909" s="1">
        <x:f>IFERROR(__xludf.DUMMYFUNCTION("""COMPUTED_VALUE"""),"Michael Collins")</x:f>
      </x:c>
      <x:c r="C4909" s="1">
        <x:f>IFERROR(__xludf.DUMMYFUNCTION("""COMPUTED_VALUE"""),"1996")</x:f>
      </x:c>
    </x:row>
    <x:row r="4910" spans="1:10">
      <x:c r="A4910" s="1" t="s">
        <x:v>4919</x:v>
      </x:c>
      <x:c r="B4910" s="1">
        <x:f>IFERROR(__xludf.DUMMYFUNCTION("""COMPUTED_VALUE"""),"Michael Jackson - History Tour Live in Munich")</x:f>
      </x:c>
      <x:c r="C4910" s="1">
        <x:f>IFERROR(__xludf.DUMMYFUNCTION("""COMPUTED_VALUE"""),"1997")</x:f>
      </x:c>
    </x:row>
    <x:row r="4911" spans="1:10">
      <x:c r="A4911" s="1" t="s">
        <x:v>4920</x:v>
      </x:c>
      <x:c r="B4911" s="1">
        <x:f>IFERROR(__xludf.DUMMYFUNCTION("""COMPUTED_VALUE"""),"Michelle i Barack")</x:f>
      </x:c>
      <x:c r="C4911" s="1">
        <x:f>IFERROR(__xludf.DUMMYFUNCTION("""COMPUTED_VALUE"""),"2016")</x:f>
      </x:c>
    </x:row>
    <x:row r="4912" spans="1:10">
      <x:c r="A4912" s="1" t="s">
        <x:v>4921</x:v>
      </x:c>
      <x:c r="B4912" s="1">
        <x:f>IFERROR(__xludf.DUMMYFUNCTION("""COMPUTED_VALUE"""),"Midnight in Paris")</x:f>
      </x:c>
      <x:c r="C4912" s="1">
        <x:f>IFERROR(__xludf.DUMMYFUNCTION("""COMPUTED_VALUE"""),"2011")</x:f>
      </x:c>
    </x:row>
    <x:row r="4913" spans="1:10">
      <x:c r="A4913" s="1" t="s">
        <x:v>4922</x:v>
      </x:c>
      <x:c r="B4913" s="1">
        <x:f>IFERROR(__xludf.DUMMYFUNCTION("""COMPUTED_VALUE"""),"Mil anys de pregàries")</x:f>
      </x:c>
      <x:c r="C4913" s="1">
        <x:f>IFERROR(__xludf.DUMMYFUNCTION("""COMPUTED_VALUE"""),"2007")</x:f>
      </x:c>
    </x:row>
    <x:row r="4914" spans="1:10">
      <x:c r="A4914" s="1" t="s">
        <x:v>4923</x:v>
      </x:c>
      <x:c r="B4914" s="1">
        <x:f>IFERROR(__xludf.DUMMYFUNCTION("""COMPUTED_VALUE"""),"Mil coses que faria per tu")</x:f>
      </x:c>
      <x:c r="C4914" s="1">
        <x:f>IFERROR(__xludf.DUMMYFUNCTION("""COMPUTED_VALUE"""),"2017")</x:f>
      </x:c>
    </x:row>
    <x:row r="4915" spans="1:10">
      <x:c r="A4915" s="1" t="s">
        <x:v>4924</x:v>
      </x:c>
      <x:c r="B4915" s="1">
        <x:f>IFERROR(__xludf.DUMMYFUNCTION("""COMPUTED_VALUE"""),"Mil cretins")</x:f>
      </x:c>
      <x:c r="C4915" s="1">
        <x:f>IFERROR(__xludf.DUMMYFUNCTION("""COMPUTED_VALUE"""),"2011")</x:f>
      </x:c>
    </x:row>
    <x:row r="4916" spans="1:10">
      <x:c r="A4916" s="1" t="s">
        <x:v>4925</x:v>
      </x:c>
      <x:c r="B4916" s="1">
        <x:f>IFERROR(__xludf.DUMMYFUNCTION("""COMPUTED_VALUE"""),"Mil vegades bona nit")</x:f>
      </x:c>
      <x:c r="C4916" s="1">
        <x:f>IFERROR(__xludf.DUMMYFUNCTION("""COMPUTED_VALUE"""),"2013")</x:f>
      </x:c>
    </x:row>
    <x:row r="4917" spans="1:10">
      <x:c r="A4917" s="1" t="s">
        <x:v>4926</x:v>
      </x:c>
      <x:c r="B4917" s="1">
        <x:f>IFERROR(__xludf.DUMMYFUNCTION("""COMPUTED_VALUE"""),"Milicianes")</x:f>
      </x:c>
      <x:c r="C4917" s="1">
        <x:f>IFERROR(__xludf.DUMMYFUNCTION("""COMPUTED_VALUE"""),"2018")</x:f>
      </x:c>
    </x:row>
    <x:row r="4918" spans="1:10">
      <x:c r="A4918" s="1" t="s">
        <x:v>4927</x:v>
      </x:c>
      <x:c r="B4918" s="1">
        <x:f>IFERROR(__xludf.DUMMYFUNCTION("""COMPUTED_VALUE"""),"Milions")</x:f>
      </x:c>
      <x:c r="C4918" s="1">
        <x:f>IFERROR(__xludf.DUMMYFUNCTION("""COMPUTED_VALUE"""),"2004")</x:f>
      </x:c>
    </x:row>
    <x:row r="4919" spans="1:10">
      <x:c r="A4919" s="1" t="s">
        <x:v>4928</x:v>
      </x:c>
      <x:c r="B4919" s="1">
        <x:f>IFERROR(__xludf.DUMMYFUNCTION("""COMPUTED_VALUE"""),"Millennium 1: Els homes que no estimaven les dones")</x:f>
      </x:c>
      <x:c r="C4919" s="1">
        <x:f>IFERROR(__xludf.DUMMYFUNCTION("""COMPUTED_VALUE"""),"2009")</x:f>
      </x:c>
    </x:row>
    <x:row r="4920" spans="1:10">
      <x:c r="A4920" s="1" t="s">
        <x:v>4929</x:v>
      </x:c>
      <x:c r="B4920" s="1">
        <x:f>IFERROR(__xludf.DUMMYFUNCTION("""COMPUTED_VALUE"""),"Millennium 2: La noia que somiava un llumí i un bidó de gasolina")</x:f>
      </x:c>
      <x:c r="C4920" s="1">
        <x:f>IFERROR(__xludf.DUMMYFUNCTION("""COMPUTED_VALUE"""),"2009")</x:f>
      </x:c>
    </x:row>
    <x:row r="4921" spans="1:10">
      <x:c r="A4921" s="1" t="s">
        <x:v>4930</x:v>
      </x:c>
      <x:c r="B4921" s="1">
        <x:f>IFERROR(__xludf.DUMMYFUNCTION("""COMPUTED_VALUE"""),"Millennium 3: La reina al palau dels corrents d'aire")</x:f>
      </x:c>
      <x:c r="C4921" s="1">
        <x:f>IFERROR(__xludf.DUMMYFUNCTION("""COMPUTED_VALUE"""),"2009")</x:f>
      </x:c>
    </x:row>
    <x:row r="4922" spans="1:10">
      <x:c r="A4922" s="1" t="s">
        <x:v>4931</x:v>
      </x:c>
      <x:c r="B4922" s="1">
        <x:f>IFERROR(__xludf.DUMMYFUNCTION("""COMPUTED_VALUE"""),"Millennium: Els homes que no estimaven les dones")</x:f>
      </x:c>
      <x:c r="C4922" s="1">
        <x:f>IFERROR(__xludf.DUMMYFUNCTION("""COMPUTED_VALUE"""),"2012")</x:f>
      </x:c>
    </x:row>
    <x:row r="4923" spans="1:10">
      <x:c r="A4923" s="1" t="s">
        <x:v>4932</x:v>
      </x:c>
      <x:c r="B4923" s="1">
        <x:f>IFERROR(__xludf.DUMMYFUNCTION("""COMPUTED_VALUE"""),"Million Dollar Baby")</x:f>
      </x:c>
      <x:c r="C4923" s="1">
        <x:f>IFERROR(__xludf.DUMMYFUNCTION("""COMPUTED_VALUE"""),"2004")</x:f>
      </x:c>
    </x:row>
    <x:row r="4924" spans="1:10">
      <x:c r="A4924" s="1" t="s">
        <x:v>4933</x:v>
      </x:c>
      <x:c r="B4924" s="1">
        <x:f>IFERROR(__xludf.DUMMYFUNCTION("""COMPUTED_VALUE"""),"Millor que mai")</x:f>
      </x:c>
      <x:c r="C4924" s="1">
        <x:f>IFERROR(__xludf.DUMMYFUNCTION("""COMPUTED_VALUE"""),"2019")</x:f>
      </x:c>
    </x:row>
    <x:row r="4925" spans="1:10">
      <x:c r="A4925" s="1" t="s">
        <x:v>4934</x:v>
      </x:c>
      <x:c r="B4925" s="1">
        <x:f>IFERROR(__xludf.DUMMYFUNCTION("""COMPUTED_VALUE"""),"Millor un altre dia")</x:f>
      </x:c>
      <x:c r="C4925" s="1">
        <x:f>IFERROR(__xludf.DUMMYFUNCTION("""COMPUTED_VALUE"""),"2014")</x:f>
      </x:c>
    </x:row>
    <x:row r="4926" spans="1:10">
      <x:c r="A4926" s="1" t="s">
        <x:v>4935</x:v>
      </x:c>
      <x:c r="B4926" s="1">
        <x:f>IFERROR(__xludf.DUMMYFUNCTION("""COMPUTED_VALUE"""),"Millor, impossible")</x:f>
      </x:c>
      <x:c r="C4926" s="1">
        <x:f>IFERROR(__xludf.DUMMYFUNCTION("""COMPUTED_VALUE"""),"1997")</x:f>
      </x:c>
    </x:row>
    <x:row r="4927" spans="1:10">
      <x:c r="A4927" s="1" t="s">
        <x:v>4936</x:v>
      </x:c>
      <x:c r="B4927" s="1">
        <x:f>IFERROR(__xludf.DUMMYFUNCTION("""COMPUTED_VALUE"""),"Mimic")</x:f>
      </x:c>
      <x:c r="C4927" s="1">
        <x:f>IFERROR(__xludf.DUMMYFUNCTION("""COMPUTED_VALUE"""),"1997")</x:f>
      </x:c>
    </x:row>
    <x:row r="4928" spans="1:10">
      <x:c r="A4928" s="1" t="s">
        <x:v>4937</x:v>
      </x:c>
      <x:c r="B4928" s="1">
        <x:f>IFERROR(__xludf.DUMMYFUNCTION("""COMPUTED_VALUE"""),"Mimzy, més enllà de la imaginació")</x:f>
      </x:c>
      <x:c r="C4928" s="1">
        <x:f>IFERROR(__xludf.DUMMYFUNCTION("""COMPUTED_VALUE"""),"2007")</x:f>
      </x:c>
    </x:row>
    <x:row r="4929" spans="1:10">
      <x:c r="A4929" s="1" t="s">
        <x:v>4938</x:v>
      </x:c>
      <x:c r="B4929" s="1">
        <x:f>IFERROR(__xludf.DUMMYFUNCTION("""COMPUTED_VALUE"""),"Mina i el món dels somnis")</x:f>
      </x:c>
      <x:c r="C4929" s="1">
        <x:f>IFERROR(__xludf.DUMMYFUNCTION("""COMPUTED_VALUE"""),"2020")</x:f>
      </x:c>
    </x:row>
    <x:row r="4930" spans="1:10">
      <x:c r="A4930" s="1" t="s">
        <x:v>4939</x:v>
      </x:c>
      <x:c r="B4930" s="1">
        <x:f>IFERROR(__xludf.DUMMYFUNCTION("""COMPUTED_VALUE"""),"Minari: Història de la meva família")</x:f>
      </x:c>
      <x:c r="C4930" s="1">
        <x:f>IFERROR(__xludf.DUMMYFUNCTION("""COMPUTED_VALUE"""),"2020")</x:f>
      </x:c>
    </x:row>
    <x:row r="4931" spans="1:10">
      <x:c r="A4931" s="1" t="s">
        <x:v>4940</x:v>
      </x:c>
      <x:c r="B4931" s="1">
        <x:f>IFERROR(__xludf.DUMMYFUNCTION("""COMPUTED_VALUE"""),"Mindscape")</x:f>
      </x:c>
      <x:c r="C4931" s="1">
        <x:f>IFERROR(__xludf.DUMMYFUNCTION("""COMPUTED_VALUE"""),"2013")</x:f>
      </x:c>
    </x:row>
    <x:row r="4932" spans="1:10">
      <x:c r="A4932" s="1" t="s">
        <x:v>4941</x:v>
      </x:c>
      <x:c r="B4932" s="1">
        <x:f>IFERROR(__xludf.DUMMYFUNCTION("""COMPUTED_VALUE"""),"Minions: L'origen de Gru")</x:f>
      </x:c>
      <x:c r="C4932" s="1">
        <x:f>IFERROR(__xludf.DUMMYFUNCTION("""COMPUTED_VALUE"""),"2022")</x:f>
      </x:c>
    </x:row>
    <x:row r="4933" spans="1:10">
      <x:c r="A4933" s="1" t="s">
        <x:v>4942</x:v>
      </x:c>
      <x:c r="B4933" s="1">
        <x:f>IFERROR(__xludf.DUMMYFUNCTION("""COMPUTED_VALUE"""),"Minuscule I La vallée des fourmis perdues")</x:f>
      </x:c>
      <x:c r="C4933" s="1">
        <x:f>IFERROR(__xludf.DUMMYFUNCTION("""COMPUTED_VALUE"""),"2013")</x:f>
      </x:c>
    </x:row>
    <x:row r="4934" spans="1:10">
      <x:c r="A4934" s="1" t="s">
        <x:v>4943</x:v>
      </x:c>
      <x:c r="B4934" s="1">
        <x:f>IFERROR(__xludf.DUMMYFUNCTION("""COMPUTED_VALUE"""),"Minuscule II Les mandibules du bout du monde")</x:f>
      </x:c>
      <x:c r="C4934" s="1">
        <x:f>IFERROR(__xludf.DUMMYFUNCTION("""COMPUTED_VALUE"""),"2018")</x:f>
      </x:c>
    </x:row>
    <x:row r="4935" spans="1:10">
      <x:c r="A4935" s="1" t="s">
        <x:v>4944</x:v>
      </x:c>
      <x:c r="B4935" s="1">
        <x:f>IFERROR(__xludf.DUMMYFUNCTION("""COMPUTED_VALUE"""),"Miquel Àngel: El pecat")</x:f>
      </x:c>
      <x:c r="C4935" s="1">
        <x:f>IFERROR(__xludf.DUMMYFUNCTION("""COMPUTED_VALUE"""),"2019")</x:f>
      </x:c>
    </x:row>
    <x:row r="4936" spans="1:10">
      <x:c r="A4936" s="1" t="s">
        <x:v>4945</x:v>
      </x:c>
      <x:c r="B4936" s="1">
        <x:f>IFERROR(__xludf.DUMMYFUNCTION("""COMPUTED_VALUE"""),"Miquel Bauçà, poeta invisible")</x:f>
      </x:c>
      <x:c r="C4936" s="1">
        <x:f>IFERROR(__xludf.DUMMYFUNCTION("""COMPUTED_VALUE"""),"2005")</x:f>
      </x:c>
    </x:row>
    <x:row r="4937" spans="1:10">
      <x:c r="A4937" s="1" t="s">
        <x:v>4946</x:v>
      </x:c>
      <x:c r="B4937" s="1">
        <x:f>IFERROR(__xludf.DUMMYFUNCTION("""COMPUTED_VALUE"""),"Mira per mi")</x:f>
      </x:c>
      <x:c r="C4937" s="1">
        <x:f>IFERROR(__xludf.DUMMYFUNCTION("""COMPUTED_VALUE"""),"2021")</x:f>
      </x:c>
    </x:row>
    <x:row r="4938" spans="1:10">
      <x:c r="A4938" s="1" t="s">
        <x:v>4947</x:v>
      </x:c>
      <x:c r="B4938" s="1">
        <x:f>IFERROR(__xludf.DUMMYFUNCTION("""COMPUTED_VALUE"""),"Mira qui parla")</x:f>
      </x:c>
      <x:c r="C4938" s="1">
        <x:f>IFERROR(__xludf.DUMMYFUNCTION("""COMPUTED_VALUE"""),"1989")</x:f>
      </x:c>
    </x:row>
    <x:row r="4939" spans="1:10">
      <x:c r="A4939" s="1" t="s">
        <x:v>4948</x:v>
      </x:c>
      <x:c r="B4939" s="1">
        <x:f>IFERROR(__xludf.DUMMYFUNCTION("""COMPUTED_VALUE"""),"Mira qui parla ara!")</x:f>
      </x:c>
      <x:c r="C4939" s="1">
        <x:f>IFERROR(__xludf.DUMMYFUNCTION("""COMPUTED_VALUE"""),"1993")</x:f>
      </x:c>
    </x:row>
    <x:row r="4940" spans="1:10">
      <x:c r="A4940" s="1" t="s">
        <x:v>4949</x:v>
      </x:c>
      <x:c r="B4940" s="1">
        <x:f>IFERROR(__xludf.DUMMYFUNCTION("""COMPUTED_VALUE"""),"Mira qui parla també")</x:f>
      </x:c>
      <x:c r="C4940" s="1">
        <x:f>IFERROR(__xludf.DUMMYFUNCTION("""COMPUTED_VALUE"""),"1990")</x:f>
      </x:c>
    </x:row>
    <x:row r="4941" spans="1:10">
      <x:c r="A4941" s="1" t="s">
        <x:v>4950</x:v>
      </x:c>
      <x:c r="B4941" s="1">
        <x:f>IFERROR(__xludf.DUMMYFUNCTION("""COMPUTED_VALUE"""),"Mirada d'àngel")</x:f>
      </x:c>
      <x:c r="C4941" s="1">
        <x:f>IFERROR(__xludf.DUMMYFUNCTION("""COMPUTED_VALUE"""),"2001")</x:f>
      </x:c>
    </x:row>
    <x:row r="4942" spans="1:10">
      <x:c r="A4942" s="1" t="s">
        <x:v>4951</x:v>
      </x:c>
      <x:c r="B4942" s="1">
        <x:f>IFERROR(__xludf.DUMMYFUNCTION("""COMPUTED_VALUE"""),"Mirall, mirall")</x:f>
      </x:c>
      <x:c r="C4942" s="1">
        <x:f>IFERROR(__xludf.DUMMYFUNCTION("""COMPUTED_VALUE"""),"2022")</x:f>
      </x:c>
    </x:row>
    <x:row r="4943" spans="1:10">
      <x:c r="A4943" s="1" t="s">
        <x:v>4952</x:v>
      </x:c>
      <x:c r="B4943" s="1">
        <x:f>IFERROR(__xludf.DUMMYFUNCTION("""COMPUTED_VALUE"""),"Miró")</x:f>
      </x:c>
      <x:c r="C4943" s="1">
        <x:f>IFERROR(__xludf.DUMMYFUNCTION("""COMPUTED_VALUE"""),"2023")</x:f>
      </x:c>
    </x:row>
    <x:row r="4944" spans="1:10">
      <x:c r="A4944" s="1" t="s">
        <x:v>4953</x:v>
      </x:c>
      <x:c r="B4944" s="1">
        <x:f>IFERROR(__xludf.DUMMYFUNCTION("""COMPUTED_VALUE"""),"Mishima, Una vida en quatre capítols [VOSC]")</x:f>
      </x:c>
      <x:c r="C4944" s="1">
        <x:f>IFERROR(__xludf.DUMMYFUNCTION("""COMPUTED_VALUE"""),"1985")</x:f>
      </x:c>
    </x:row>
    <x:row r="4945" spans="1:10">
      <x:c r="A4945" s="1" t="s">
        <x:v>4954</x:v>
      </x:c>
      <x:c r="B4945" s="1">
        <x:f>IFERROR(__xludf.DUMMYFUNCTION("""COMPUTED_VALUE"""),"Miss")</x:f>
      </x:c>
      <x:c r="C4945" s="1">
        <x:f>IFERROR(__xludf.DUMMYFUNCTION("""COMPUTED_VALUE"""),"2020")</x:f>
      </x:c>
    </x:row>
    <x:row r="4946" spans="1:10">
      <x:c r="A4946" s="1" t="s">
        <x:v>4955</x:v>
      </x:c>
      <x:c r="B4946" s="1">
        <x:f>IFERROR(__xludf.DUMMYFUNCTION("""COMPUTED_VALUE"""),"Miss agent especial I")</x:f>
      </x:c>
      <x:c r="C4946" s="1">
        <x:f>IFERROR(__xludf.DUMMYFUNCTION("""COMPUTED_VALUE"""),"2000")</x:f>
      </x:c>
    </x:row>
    <x:row r="4947" spans="1:10">
      <x:c r="A4947" s="1" t="s">
        <x:v>4956</x:v>
      </x:c>
      <x:c r="B4947" s="1">
        <x:f>IFERROR(__xludf.DUMMYFUNCTION("""COMPUTED_VALUE"""),"Miss agent especial II Armada i fabulosa")</x:f>
      </x:c>
      <x:c r="C4947" s="1">
        <x:f>IFERROR(__xludf.DUMMYFUNCTION("""COMPUTED_VALUE"""),"2005")</x:f>
      </x:c>
    </x:row>
    <x:row r="4948" spans="1:10">
      <x:c r="A4948" s="1" t="s">
        <x:v>4957</x:v>
      </x:c>
      <x:c r="B4948" s="1">
        <x:f>IFERROR(__xludf.DUMMYFUNCTION("""COMPUTED_VALUE"""),"Miss Dalí")</x:f>
      </x:c>
      <x:c r="C4948" s="1">
        <x:f>IFERROR(__xludf.DUMMYFUNCTION("""COMPUTED_VALUE"""),"2018")</x:f>
      </x:c>
    </x:row>
    <x:row r="4949" spans="1:10">
      <x:c r="A4949" s="1" t="s">
        <x:v>4958</x:v>
      </x:c>
      <x:c r="B4949" s="1">
        <x:f>IFERROR(__xludf.DUMMYFUNCTION("""COMPUTED_VALUE"""),"Miss Potter")</x:f>
      </x:c>
      <x:c r="C4949" s="1">
        <x:f>IFERROR(__xludf.DUMMYFUNCTION("""COMPUTED_VALUE"""),"2006")</x:f>
      </x:c>
    </x:row>
    <x:row r="4950" spans="1:10">
      <x:c r="A4950" s="1" t="s">
        <x:v>4959</x:v>
      </x:c>
      <x:c r="B4950" s="1">
        <x:f>IFERROR(__xludf.DUMMYFUNCTION("""COMPUTED_VALUE"""),"Missatge en una ampolla")</x:f>
      </x:c>
      <x:c r="C4950" s="1">
        <x:f>IFERROR(__xludf.DUMMYFUNCTION("""COMPUTED_VALUE"""),"1999")</x:f>
      </x:c>
    </x:row>
    <x:row r="4951" spans="1:10">
      <x:c r="A4951" s="1" t="s">
        <x:v>4960</x:v>
      </x:c>
      <x:c r="B4951" s="1">
        <x:f>IFERROR(__xludf.DUMMYFUNCTION("""COMPUTED_VALUE"""),"Missió a Mocland, una aventura superespacial")</x:f>
      </x:c>
      <x:c r="C4951" s="1">
        <x:f>IFERROR(__xludf.DUMMYFUNCTION("""COMPUTED_VALUE"""),"2008")</x:f>
      </x:c>
    </x:row>
    <x:row r="4952" spans="1:10">
      <x:c r="A4952" s="1" t="s">
        <x:v>4961</x:v>
      </x:c>
      <x:c r="B4952" s="1">
        <x:f>IFERROR(__xludf.DUMMYFUNCTION("""COMPUTED_VALUE"""),"Missió d'audaços")</x:f>
      </x:c>
      <x:c r="C4952" s="1">
        <x:f>IFERROR(__xludf.DUMMYFUNCTION("""COMPUTED_VALUE"""),"1959")</x:f>
      </x:c>
    </x:row>
    <x:row r="4953" spans="1:10">
      <x:c r="A4953" s="1" t="s">
        <x:v>4962</x:v>
      </x:c>
      <x:c r="B4953" s="1">
        <x:f>IFERROR(__xludf.DUMMYFUNCTION("""COMPUTED_VALUE"""),"Missió Impossible - Fallout")</x:f>
      </x:c>
      <x:c r="C4953" s="1">
        <x:f>IFERROR(__xludf.DUMMYFUNCTION("""COMPUTED_VALUE"""),"2018")</x:f>
      </x:c>
    </x:row>
    <x:row r="4954" spans="1:10">
      <x:c r="A4954" s="1" t="s">
        <x:v>4963</x:v>
      </x:c>
      <x:c r="B4954" s="1">
        <x:f>IFERROR(__xludf.DUMMYFUNCTION("""COMPUTED_VALUE"""),"Missió Impossible")</x:f>
      </x:c>
      <x:c r="C4954" s="1">
        <x:f>IFERROR(__xludf.DUMMYFUNCTION("""COMPUTED_VALUE"""),"1996")</x:f>
      </x:c>
    </x:row>
    <x:row r="4955" spans="1:10">
      <x:c r="A4955" s="1" t="s">
        <x:v>4964</x:v>
      </x:c>
      <x:c r="B4955" s="1">
        <x:f>IFERROR(__xludf.DUMMYFUNCTION("""COMPUTED_VALUE"""),"Missió Impossible II")</x:f>
      </x:c>
      <x:c r="C4955" s="1">
        <x:f>IFERROR(__xludf.DUMMYFUNCTION("""COMPUTED_VALUE"""),"2000")</x:f>
      </x:c>
    </x:row>
    <x:row r="4956" spans="1:10">
      <x:c r="A4956" s="1" t="s">
        <x:v>4965</x:v>
      </x:c>
      <x:c r="B4956" s="1">
        <x:f>IFERROR(__xludf.DUMMYFUNCTION("""COMPUTED_VALUE"""),"Missió Impossible III")</x:f>
      </x:c>
      <x:c r="C4956" s="1">
        <x:f>IFERROR(__xludf.DUMMYFUNCTION("""COMPUTED_VALUE"""),"2006")</x:f>
      </x:c>
    </x:row>
    <x:row r="4957" spans="1:10">
      <x:c r="A4957" s="1" t="s">
        <x:v>4966</x:v>
      </x:c>
      <x:c r="B4957" s="1">
        <x:f>IFERROR(__xludf.DUMMYFUNCTION("""COMPUTED_VALUE"""),"Missió panda a l'Àfrica")</x:f>
      </x:c>
      <x:c r="C4957" s="1">
        <x:f>IFERROR(__xludf.DUMMYFUNCTION("""COMPUTED_VALUE"""),"2024")</x:f>
      </x:c>
    </x:row>
    <x:row r="4958" spans="1:10">
      <x:c r="A4958" s="1" t="s">
        <x:v>4967</x:v>
      </x:c>
      <x:c r="B4958" s="1">
        <x:f>IFERROR(__xludf.DUMMYFUNCTION("""COMPUTED_VALUE"""),"Misteri al paradís")</x:f>
      </x:c>
      <x:c r="C4958" s="1">
        <x:f>IFERROR(__xludf.DUMMYFUNCTION("""COMPUTED_VALUE"""),"2016")</x:f>
      </x:c>
    </x:row>
    <x:row r="4959" spans="1:10">
      <x:c r="A4959" s="1" t="s">
        <x:v>4968</x:v>
      </x:c>
      <x:c r="B4959" s="1">
        <x:f>IFERROR(__xludf.DUMMYFUNCTION("""COMPUTED_VALUE"""),"Misteriós assassinat a Manhattan")</x:f>
      </x:c>
      <x:c r="C4959" s="1">
        <x:f>IFERROR(__xludf.DUMMYFUNCTION("""COMPUTED_VALUE"""),"1993")</x:f>
      </x:c>
    </x:row>
    <x:row r="4960" spans="1:10">
      <x:c r="A4960" s="1" t="s">
        <x:v>4969</x:v>
      </x:c>
      <x:c r="B4960" s="1">
        <x:f>IFERROR(__xludf.DUMMYFUNCTION("""COMPUTED_VALUE"""),"Mitgeres")</x:f>
      </x:c>
      <x:c r="C4960" s="1">
        <x:f>IFERROR(__xludf.DUMMYFUNCTION("""COMPUTED_VALUE"""),"2011")</x:f>
      </x:c>
    </x:row>
    <x:row r="4961" spans="1:10">
      <x:c r="A4961" s="1" t="s">
        <x:v>4970</x:v>
      </x:c>
      <x:c r="B4961" s="1">
        <x:f>IFERROR(__xludf.DUMMYFUNCTION("""COMPUTED_VALUE"""),"Mithya [VOSC]")</x:f>
      </x:c>
      <x:c r="C4961" s="1">
        <x:f>IFERROR(__xludf.DUMMYFUNCTION("""COMPUTED_VALUE"""),"2023")</x:f>
      </x:c>
    </x:row>
    <x:row r="4962" spans="1:10">
      <x:c r="A4962" s="1" t="s">
        <x:v>4971</x:v>
      </x:c>
      <x:c r="B4962" s="1">
        <x:f>IFERROR(__xludf.DUMMYFUNCTION("""COMPUTED_VALUE"""),"Modernisme, una història de destrucció")</x:f>
      </x:c>
      <x:c r="C4962" s="1">
        <x:f>IFERROR(__xludf.DUMMYFUNCTION("""COMPUTED_VALUE"""),"2012")</x:f>
      </x:c>
    </x:row>
    <x:row r="4963" spans="1:10">
      <x:c r="A4963" s="1" t="s">
        <x:v>4972</x:v>
      </x:c>
      <x:c r="B4963" s="1">
        <x:f>IFERROR(__xludf.DUMMYFUNCTION("""COMPUTED_VALUE"""),"Modesty Blaise")</x:f>
      </x:c>
      <x:c r="C4963" s="1">
        <x:f>IFERROR(__xludf.DUMMYFUNCTION("""COMPUTED_VALUE"""),"1966")</x:f>
      </x:c>
    </x:row>
    <x:row r="4964" spans="1:10">
      <x:c r="A4964" s="1" t="s">
        <x:v>4973</x:v>
      </x:c>
      <x:c r="B4964" s="1">
        <x:f>IFERROR(__xludf.DUMMYFUNCTION("""COMPUTED_VALUE"""),"Modigliani")</x:f>
      </x:c>
      <x:c r="C4964" s="1">
        <x:f>IFERROR(__xludf.DUMMYFUNCTION("""COMPUTED_VALUE"""),"2004")</x:f>
      </x:c>
    </x:row>
    <x:row r="4965" spans="1:10">
      <x:c r="A4965" s="1" t="s">
        <x:v>4974</x:v>
      </x:c>
      <x:c r="B4965" s="1">
        <x:f>IFERROR(__xludf.DUMMYFUNCTION("""COMPUTED_VALUE"""),"Mogambo")</x:f>
      </x:c>
      <x:c r="C4965" s="1">
        <x:f>IFERROR(__xludf.DUMMYFUNCTION("""COMPUTED_VALUE"""),"1953")</x:f>
      </x:c>
    </x:row>
    <x:row r="4966" spans="1:10">
      <x:c r="A4966" s="1" t="s">
        <x:v>4975</x:v>
      </x:c>
      <x:c r="B4966" s="1">
        <x:f>IFERROR(__xludf.DUMMYFUNCTION("""COMPUTED_VALUE"""),"Moguda sota el mar")</x:f>
      </x:c>
      <x:c r="C4966" s="1">
        <x:f>IFERROR(__xludf.DUMMYFUNCTION("""COMPUTED_VALUE"""),"2006")</x:f>
      </x:c>
    </x:row>
    <x:row r="4967" spans="1:10">
      <x:c r="A4967" s="1" t="s">
        <x:v>4976</x:v>
      </x:c>
      <x:c r="B4967" s="1">
        <x:f>IFERROR(__xludf.DUMMYFUNCTION("""COMPUTED_VALUE"""),"Molly's Game")</x:f>
      </x:c>
      <x:c r="C4967" s="1">
        <x:f>IFERROR(__xludf.DUMMYFUNCTION("""COMPUTED_VALUE"""),"2017")</x:f>
      </x:c>
    </x:row>
    <x:row r="4968" spans="1:10">
      <x:c r="A4968" s="1" t="s">
        <x:v>4977</x:v>
      </x:c>
      <x:c r="B4968" s="1">
        <x:f>IFERROR(__xludf.DUMMYFUNCTION("""COMPUTED_VALUE"""),"Molt de gust")</x:f>
      </x:c>
      <x:c r="C4968" s="1">
        <x:f>IFERROR(__xludf.DUMMYFUNCTION("""COMPUTED_VALUE"""),"2014")</x:f>
      </x:c>
    </x:row>
    <x:row r="4969" spans="1:10">
      <x:c r="A4969" s="1" t="s">
        <x:v>4978</x:v>
      </x:c>
      <x:c r="B4969" s="1">
        <x:f>IFERROR(__xludf.DUMMYFUNCTION("""COMPUTED_VALUE"""),"Molt soroll per a no res")</x:f>
      </x:c>
      <x:c r="C4969" s="1">
        <x:f>IFERROR(__xludf.DUMMYFUNCTION("""COMPUTED_VALUE"""),"1993")</x:f>
      </x:c>
    </x:row>
    <x:row r="4970" spans="1:10">
      <x:c r="A4970" s="1" t="s">
        <x:v>4979</x:v>
      </x:c>
      <x:c r="B4970" s="1">
        <x:f>IFERROR(__xludf.DUMMYFUNCTION("""COMPUTED_VALUE"""),"Momentum")</x:f>
      </x:c>
      <x:c r="C4970" s="1">
        <x:f>IFERROR(__xludf.DUMMYFUNCTION("""COMPUTED_VALUE"""),"2003")</x:f>
      </x:c>
    </x:row>
    <x:row r="4971" spans="1:10">
      <x:c r="A4971" s="1" t="s">
        <x:v>4980</x:v>
      </x:c>
      <x:c r="B4971" s="1">
        <x:f>IFERROR(__xludf.DUMMYFUNCTION("""COMPUTED_VALUE"""),"Mòmies")</x:f>
      </x:c>
      <x:c r="C4971" s="1">
        <x:f>IFERROR(__xludf.DUMMYFUNCTION("""COMPUTED_VALUE"""),"2023")</x:f>
      </x:c>
    </x:row>
    <x:row r="4972" spans="1:10">
      <x:c r="A4972" s="1" t="s">
        <x:v>4981</x:v>
      </x:c>
      <x:c r="B4972" s="1">
        <x:f>IFERROR(__xludf.DUMMYFUNCTION("""COMPUTED_VALUE"""),"Momo")</x:f>
      </x:c>
      <x:c r="C4972" s="1">
        <x:f>IFERROR(__xludf.DUMMYFUNCTION("""COMPUTED_VALUE"""),"2017")</x:f>
      </x:c>
    </x:row>
    <x:row r="4973" spans="1:10">
      <x:c r="A4973" s="1" t="s">
        <x:v>4982</x:v>
      </x:c>
      <x:c r="B4973" s="1">
        <x:f>IFERROR(__xludf.DUMMYFUNCTION("""COMPUTED_VALUE"""),"Momo: Una aventura a contra rellotge")</x:f>
      </x:c>
      <x:c r="C4973" s="1">
        <x:f>IFERROR(__xludf.DUMMYFUNCTION("""COMPUTED_VALUE"""),"2001")</x:f>
      </x:c>
    </x:row>
    <x:row r="4974" spans="1:10">
      <x:c r="A4974" s="1" t="s">
        <x:v>4983</x:v>
      </x:c>
      <x:c r="B4974" s="1">
        <x:f>IFERROR(__xludf.DUMMYFUNCTION("""COMPUTED_VALUE"""),"Món Cavall Fort")</x:f>
      </x:c>
      <x:c r="C4974" s="1">
        <x:f>IFERROR(__xludf.DUMMYFUNCTION("""COMPUTED_VALUE"""),"2012")</x:f>
      </x:c>
    </x:row>
    <x:row r="4975" spans="1:10">
      <x:c r="A4975" s="1" t="s">
        <x:v>4984</x:v>
      </x:c>
      <x:c r="B4975" s="1">
        <x:f>IFERROR(__xludf.DUMMYFUNCTION("""COMPUTED_VALUE"""),"Món petit")</x:f>
      </x:c>
      <x:c r="C4975" s="1">
        <x:f>IFERROR(__xludf.DUMMYFUNCTION("""COMPUTED_VALUE"""),"2012")</x:f>
      </x:c>
    </x:row>
    <x:row r="4976" spans="1:10">
      <x:c r="A4976" s="1" t="s">
        <x:v>4985</x:v>
      </x:c>
      <x:c r="B4976" s="1">
        <x:f>IFERROR(__xludf.DUMMYFUNCTION("""COMPUTED_VALUE"""),"Mona Lisa")</x:f>
      </x:c>
      <x:c r="C4976" s="1">
        <x:f>IFERROR(__xludf.DUMMYFUNCTION("""COMPUTED_VALUE"""),"1986")</x:f>
      </x:c>
    </x:row>
    <x:row r="4977" spans="1:10">
      <x:c r="A4977" s="1" t="s">
        <x:v>4986</x:v>
      </x:c>
      <x:c r="B4977" s="1">
        <x:f>IFERROR(__xludf.DUMMYFUNCTION("""COMPUTED_VALUE"""),"Monarquia o República")</x:f>
      </x:c>
      <x:c r="C4977" s="1">
        <x:f>IFERROR(__xludf.DUMMYFUNCTION("""COMPUTED_VALUE"""),"2012")</x:f>
      </x:c>
    </x:row>
    <x:row r="4978" spans="1:10">
      <x:c r="A4978" s="1" t="s">
        <x:v>4987</x:v>
      </x:c>
      <x:c r="B4978" s="1">
        <x:f>IFERROR(__xludf.DUMMYFUNCTION("""COMPUTED_VALUE"""),"Mones com la Becky")</x:f>
      </x:c>
      <x:c r="C4978" s="1">
        <x:f>IFERROR(__xludf.DUMMYFUNCTION("""COMPUTED_VALUE"""),"1999")</x:f>
      </x:c>
    </x:row>
    <x:row r="4979" spans="1:10">
      <x:c r="A4979" s="1" t="s">
        <x:v>4988</x:v>
      </x:c>
      <x:c r="B4979" s="1">
        <x:f>IFERROR(__xludf.DUMMYFUNCTION("""COMPUTED_VALUE"""),"Money Monster")</x:f>
      </x:c>
      <x:c r="C4979" s="1">
        <x:f>IFERROR(__xludf.DUMMYFUNCTION("""COMPUTED_VALUE"""),"2016")</x:f>
      </x:c>
    </x:row>
    <x:row r="4980" spans="1:10">
      <x:c r="A4980" s="1" t="s">
        <x:v>4989</x:v>
      </x:c>
      <x:c r="B4980" s="1">
        <x:f>IFERROR(__xludf.DUMMYFUNCTION("""COMPUTED_VALUE"""),"Moneyball")</x:f>
      </x:c>
      <x:c r="C4980" s="1">
        <x:f>IFERROR(__xludf.DUMMYFUNCTION("""COMPUTED_VALUE"""),"2011")</x:f>
      </x:c>
    </x:row>
    <x:row r="4981" spans="1:10">
      <x:c r="A4981" s="1" t="s">
        <x:v>4990</x:v>
      </x:c>
      <x:c r="B4981" s="1">
        <x:f>IFERROR(__xludf.DUMMYFUNCTION("""COMPUTED_VALUE"""),"Mongol")</x:f>
      </x:c>
      <x:c r="C4981" s="1">
        <x:f>IFERROR(__xludf.DUMMYFUNCTION("""COMPUTED_VALUE"""),"2007")</x:f>
      </x:c>
    </x:row>
    <x:row r="4982" spans="1:10">
      <x:c r="A4982" s="1" t="s">
        <x:v>4991</x:v>
      </x:c>
      <x:c r="B4982" s="1">
        <x:f>IFERROR(__xludf.DUMMYFUNCTION("""COMPUTED_VALUE"""),"Mongol")</x:f>
      </x:c>
      <x:c r="C4982" s="1">
        <x:f>IFERROR(__xludf.DUMMYFUNCTION("""COMPUTED_VALUE"""),"2024")</x:f>
      </x:c>
    </x:row>
    <x:row r="4983" spans="1:10">
      <x:c r="A4983" s="1" t="s">
        <x:v>4992</x:v>
      </x:c>
      <x:c r="B4983" s="1">
        <x:f>IFERROR(__xludf.DUMMYFUNCTION("""COMPUTED_VALUE"""),"Mónica")</x:f>
      </x:c>
      <x:c r="C4983" s="1">
        <x:f>IFERROR(__xludf.DUMMYFUNCTION("""COMPUTED_VALUE"""),"2003")</x:f>
      </x:c>
    </x:row>
    <x:row r="4984" spans="1:10">
      <x:c r="A4984" s="1" t="s">
        <x:v>4993</x:v>
      </x:c>
      <x:c r="B4984" s="1">
        <x:f>IFERROR(__xludf.DUMMYFUNCTION("""COMPUTED_VALUE"""),"Monky, un petit mico amb un gran secret")</x:f>
      </x:c>
      <x:c r="C4984" s="1">
        <x:f>IFERROR(__xludf.DUMMYFUNCTION("""COMPUTED_VALUE"""),"2017")</x:f>
      </x:c>
    </x:row>
    <x:row r="4985" spans="1:10">
      <x:c r="A4985" s="1" t="s">
        <x:v>4994</x:v>
      </x:c>
      <x:c r="B4985" s="1">
        <x:f>IFERROR(__xludf.DUMMYFUNCTION("""COMPUTED_VALUE"""),"Monsenyor")</x:f>
      </x:c>
      <x:c r="C4985" s="1">
        <x:f>IFERROR(__xludf.DUMMYFUNCTION("""COMPUTED_VALUE"""),"1982")</x:f>
      </x:c>
    </x:row>
    <x:row r="4986" spans="1:10">
      <x:c r="A4986" s="1" t="s">
        <x:v>4995</x:v>
      </x:c>
      <x:c r="B4986" s="1">
        <x:f>IFERROR(__xludf.DUMMYFUNCTION("""COMPUTED_VALUE"""),"Monsieur Chocolat")</x:f>
      </x:c>
      <x:c r="C4986" s="1">
        <x:f>IFERROR(__xludf.DUMMYFUNCTION("""COMPUTED_VALUE"""),"2016")</x:f>
      </x:c>
    </x:row>
    <x:row r="4987" spans="1:10">
      <x:c r="A4987" s="1" t="s">
        <x:v>4996</x:v>
      </x:c>
      <x:c r="B4987" s="1">
        <x:f>IFERROR(__xludf.DUMMYFUNCTION("""COMPUTED_VALUE"""),"Monster House")</x:f>
      </x:c>
      <x:c r="C4987" s="1">
        <x:f>IFERROR(__xludf.DUMMYFUNCTION("""COMPUTED_VALUE"""),"2006")</x:f>
      </x:c>
    </x:row>
    <x:row r="4988" spans="1:10">
      <x:c r="A4988" s="1" t="s">
        <x:v>4997</x:v>
      </x:c>
      <x:c r="B4988" s="1">
        <x:f>IFERROR(__xludf.DUMMYFUNCTION("""COMPUTED_VALUE"""),"Monstres contra alienígenes")</x:f>
      </x:c>
      <x:c r="C4988" s="1">
        <x:f>IFERROR(__xludf.DUMMYFUNCTION("""COMPUTED_VALUE"""),"2009")</x:f>
      </x:c>
    </x:row>
    <x:row r="4989" spans="1:10">
      <x:c r="A4989" s="1" t="s">
        <x:v>4998</x:v>
      </x:c>
      <x:c r="B4989" s="1">
        <x:f>IFERROR(__xludf.DUMMYFUNCTION("""COMPUTED_VALUE"""),"Montana")</x:f>
      </x:c>
      <x:c r="C4989" s="1">
        <x:f>IFERROR(__xludf.DUMMYFUNCTION("""COMPUTED_VALUE"""),"1950")</x:f>
      </x:c>
    </x:row>
    <x:row r="4990" spans="1:10">
      <x:c r="A4990" s="1" t="s">
        <x:v>4999</x:v>
      </x:c>
      <x:c r="B4990" s="1">
        <x:f>IFERROR(__xludf.DUMMYFUNCTION("""COMPUTED_VALUE"""),"Montana Belle")</x:f>
      </x:c>
      <x:c r="C4990" s="1">
        <x:f>IFERROR(__xludf.DUMMYFUNCTION("""COMPUTED_VALUE"""),"1952")</x:f>
      </x:c>
    </x:row>
    <x:row r="4991" spans="1:10">
      <x:c r="A4991" s="1" t="s">
        <x:v>5000</x:v>
      </x:c>
      <x:c r="B4991" s="1">
        <x:f>IFERROR(__xludf.DUMMYFUNCTION("""COMPUTED_VALUE"""),"Montserrat, Integral 107")</x:f>
      </x:c>
      <x:c r="C4991" s="1">
        <x:f>IFERROR(__xludf.DUMMYFUNCTION("""COMPUTED_VALUE"""),"2024")</x:f>
      </x:c>
    </x:row>
    <x:row r="4992" spans="1:10">
      <x:c r="A4992" s="1" t="s">
        <x:v>5001</x:v>
      </x:c>
      <x:c r="B4992" s="1">
        <x:f>IFERROR(__xludf.DUMMYFUNCTION("""COMPUTED_VALUE"""),"Monturiol, el senyor del mar")</x:f>
      </x:c>
      <x:c r="C4992" s="1">
        <x:f>IFERROR(__xludf.DUMMYFUNCTION("""COMPUTED_VALUE"""),"1993")</x:f>
      </x:c>
    </x:row>
    <x:row r="4993" spans="1:10">
      <x:c r="A4993" s="1" t="s">
        <x:v>5002</x:v>
      </x:c>
      <x:c r="B4993" s="1">
        <x:f>IFERROR(__xludf.DUMMYFUNCTION("""COMPUTED_VALUE"""),"Monuments Men")</x:f>
      </x:c>
      <x:c r="C4993" s="1">
        <x:f>IFERROR(__xludf.DUMMYFUNCTION("""COMPUTED_VALUE"""),"2014")</x:f>
      </x:c>
    </x:row>
    <x:row r="4994" spans="1:10">
      <x:c r="A4994" s="1" t="s">
        <x:v>5003</x:v>
      </x:c>
      <x:c r="B4994" s="1">
        <x:f>IFERROR(__xludf.DUMMYFUNCTION("""COMPUTED_VALUE"""),"Moon")</x:f>
      </x:c>
      <x:c r="C4994" s="1">
        <x:f>IFERROR(__xludf.DUMMYFUNCTION("""COMPUTED_VALUE"""),"2009")</x:f>
      </x:c>
    </x:row>
    <x:row r="4995" spans="1:10">
      <x:c r="A4995" s="1" t="s">
        <x:v>5004</x:v>
      </x:c>
      <x:c r="B4995" s="1">
        <x:f>IFERROR(__xludf.DUMMYFUNCTION("""COMPUTED_VALUE"""),"Moon, el meu amic panda")</x:f>
      </x:c>
      <x:c r="C4995" s="1">
        <x:f>IFERROR(__xludf.DUMMYFUNCTION("""COMPUTED_VALUE"""),"2025")</x:f>
      </x:c>
    </x:row>
    <x:row r="4996" spans="1:10">
      <x:c r="A4996" s="1" t="s">
        <x:v>5005</x:v>
      </x:c>
      <x:c r="B4996" s="1">
        <x:f>IFERROR(__xludf.DUMMYFUNCTION("""COMPUTED_VALUE"""),"Moonfall")</x:f>
      </x:c>
      <x:c r="C4996" s="1">
        <x:f>IFERROR(__xludf.DUMMYFUNCTION("""COMPUTED_VALUE"""),"2022")</x:f>
      </x:c>
    </x:row>
    <x:row r="4997" spans="1:10">
      <x:c r="A4997" s="1" t="s">
        <x:v>5006</x:v>
      </x:c>
      <x:c r="B4997" s="1">
        <x:f>IFERROR(__xludf.DUMMYFUNCTION("""COMPUTED_VALUE"""),"Moonlight")</x:f>
      </x:c>
      <x:c r="C4997" s="1">
        <x:f>IFERROR(__xludf.DUMMYFUNCTION("""COMPUTED_VALUE"""),"2016")</x:f>
      </x:c>
    </x:row>
    <x:row r="4998" spans="1:10">
      <x:c r="A4998" s="1" t="s">
        <x:v>5007</x:v>
      </x:c>
      <x:c r="B4998" s="1">
        <x:f>IFERROR(__xludf.DUMMYFUNCTION("""COMPUTED_VALUE"""),"Moonraker")</x:f>
      </x:c>
      <x:c r="C4998" s="1">
        <x:f>IFERROR(__xludf.DUMMYFUNCTION("""COMPUTED_VALUE"""),"1979")</x:f>
      </x:c>
    </x:row>
    <x:row r="4999" spans="1:10">
      <x:c r="A4999" s="1" t="s">
        <x:v>5008</x:v>
      </x:c>
      <x:c r="B4999" s="1">
        <x:f>IFERROR(__xludf.DUMMYFUNCTION("""COMPUTED_VALUE"""),"Moonrise Kingdom")</x:f>
      </x:c>
      <x:c r="C4999" s="1">
        <x:f>IFERROR(__xludf.DUMMYFUNCTION("""COMPUTED_VALUE"""),"2012")</x:f>
      </x:c>
    </x:row>
    <x:row r="5000" spans="1:10">
      <x:c r="A5000" s="1" t="s">
        <x:v>5009</x:v>
      </x:c>
      <x:c r="B5000" s="1">
        <x:f>IFERROR(__xludf.DUMMYFUNCTION("""COMPUTED_VALUE"""),"Moosa Lane [VOSC]")</x:f>
      </x:c>
      <x:c r="C5000" s="1">
        <x:f>IFERROR(__xludf.DUMMYFUNCTION("""COMPUTED_VALUE"""),"2022")</x:f>
      </x:c>
    </x:row>
    <x:row r="5001" spans="1:10">
      <x:c r="A5001" s="1" t="s">
        <x:v>5010</x:v>
      </x:c>
      <x:c r="B5001" s="1">
        <x:f>IFERROR(__xludf.DUMMYFUNCTION("""COMPUTED_VALUE"""),"Mor un altre dia")</x:f>
      </x:c>
      <x:c r="C5001" s="1">
        <x:f>IFERROR(__xludf.DUMMYFUNCTION("""COMPUTED_VALUE"""),"2002")</x:f>
      </x:c>
    </x:row>
    <x:row r="5002" spans="1:10">
      <x:c r="A5002" s="1" t="s">
        <x:v>5011</x:v>
      </x:c>
      <x:c r="B5002" s="1">
        <x:f>IFERROR(__xludf.DUMMYFUNCTION("""COMPUTED_VALUE"""),"Morir (o no)")</x:f>
      </x:c>
      <x:c r="C5002" s="1">
        <x:f>IFERROR(__xludf.DUMMYFUNCTION("""COMPUTED_VALUE"""),"2000")</x:f>
      </x:c>
    </x:row>
    <x:row r="5003" spans="1:10">
      <x:c r="A5003" s="1" t="s">
        <x:v>5012</x:v>
      </x:c>
      <x:c r="B5003" s="1">
        <x:f>IFERROR(__xludf.DUMMYFUNCTION("""COMPUTED_VALUE"""),"Morir a San Hilario")</x:f>
      </x:c>
      <x:c r="C5003" s="1">
        <x:f>IFERROR(__xludf.DUMMYFUNCTION("""COMPUTED_VALUE"""),"2005")</x:f>
      </x:c>
    </x:row>
    <x:row r="5004" spans="1:10">
      <x:c r="A5004" s="1" t="s">
        <x:v>5013</x:v>
      </x:c>
      <x:c r="B5004" s="1">
        <x:f>IFERROR(__xludf.DUMMYFUNCTION("""COMPUTED_VALUE"""),"Morir de dia")</x:f>
      </x:c>
      <x:c r="C5004" s="1">
        <x:f>IFERROR(__xludf.DUMMYFUNCTION("""COMPUTED_VALUE"""),"2010")</x:f>
      </x:c>
    </x:row>
    <x:row r="5005" spans="1:10">
      <x:c r="A5005" s="1" t="s">
        <x:v>5014</x:v>
      </x:c>
      <x:c r="B5005" s="1">
        <x:f>IFERROR(__xludf.DUMMYFUNCTION("""COMPUTED_VALUE"""),"Morir en 3 actes")</x:f>
      </x:c>
      <x:c r="C5005" s="1">
        <x:f>IFERROR(__xludf.DUMMYFUNCTION("""COMPUTED_VALUE"""),"2010")</x:f>
      </x:c>
    </x:row>
    <x:row r="5006" spans="1:10">
      <x:c r="A5006" s="1" t="s">
        <x:v>5015</x:v>
      </x:c>
      <x:c r="B5006" s="1">
        <x:f>IFERROR(__xludf.DUMMYFUNCTION("""COMPUTED_VALUE"""),"Moriràs en 3 dies")</x:f>
      </x:c>
      <x:c r="C5006" s="1">
        <x:f>IFERROR(__xludf.DUMMYFUNCTION("""COMPUTED_VALUE"""),"2006")</x:f>
      </x:c>
    </x:row>
    <x:row r="5007" spans="1:10">
      <x:c r="A5007" s="1" t="s">
        <x:v>5016</x:v>
      </x:c>
      <x:c r="B5007" s="1">
        <x:f>IFERROR(__xludf.DUMMYFUNCTION("""COMPUTED_VALUE"""),"Mort a la xarxa")</x:f>
      </x:c>
      <x:c r="C5007" s="1">
        <x:f>IFERROR(__xludf.DUMMYFUNCTION("""COMPUTED_VALUE"""),"1999")</x:f>
      </x:c>
    </x:row>
    <x:row r="5008" spans="1:10">
      <x:c r="A5008" s="1" t="s">
        <x:v>5017</x:v>
      </x:c>
      <x:c r="B5008" s="1">
        <x:f>IFERROR(__xludf.DUMMYFUNCTION("""COMPUTED_VALUE"""),"Mort al Nil")</x:f>
      </x:c>
      <x:c r="C5008" s="1">
        <x:f>IFERROR(__xludf.DUMMYFUNCTION("""COMPUTED_VALUE"""),"1978")</x:f>
      </x:c>
    </x:row>
    <x:row r="5009" spans="1:10">
      <x:c r="A5009" s="1" t="s">
        <x:v>5018</x:v>
      </x:c>
      <x:c r="B5009" s="1">
        <x:f>IFERROR(__xludf.DUMMYFUNCTION("""COMPUTED_VALUE"""),"Mort entre les flors")</x:f>
      </x:c>
      <x:c r="C5009" s="1">
        <x:f>IFERROR(__xludf.DUMMYFUNCTION("""COMPUTED_VALUE"""),"1990")</x:f>
      </x:c>
    </x:row>
    <x:row r="5010" spans="1:10">
      <x:c r="A5010" s="1" t="s">
        <x:v>5019</x:v>
      </x:c>
      <x:c r="B5010" s="1">
        <x:f>IFERROR(__xludf.DUMMYFUNCTION("""COMPUTED_VALUE"""),"Mort sota el sol")</x:f>
      </x:c>
      <x:c r="C5010" s="1">
        <x:f>IFERROR(__xludf.DUMMYFUNCTION("""COMPUTED_VALUE"""),"1982")</x:f>
      </x:c>
    </x:row>
    <x:row r="5011" spans="1:10">
      <x:c r="A5011" s="1" t="s">
        <x:v>5020</x:v>
      </x:c>
      <x:c r="B5011" s="1">
        <x:f>IFERROR(__xludf.DUMMYFUNCTION("""COMPUTED_VALUE"""),"Mortadel·lo i Filemó contra en Jimmy el Catxondo")</x:f>
      </x:c>
      <x:c r="C5011" s="1">
        <x:f>IFERROR(__xludf.DUMMYFUNCTION("""COMPUTED_VALUE"""),"2014")</x:f>
      </x:c>
    </x:row>
    <x:row r="5012" spans="1:10">
      <x:c r="A5012" s="1" t="s">
        <x:v>5021</x:v>
      </x:c>
      <x:c r="B5012" s="1">
        <x:f>IFERROR(__xludf.DUMMYFUNCTION("""COMPUTED_VALUE"""),"Mortadel·lo i Filemó. Missió: salvar la Terra")</x:f>
      </x:c>
      <x:c r="C5012" s="1">
        <x:f>IFERROR(__xludf.DUMMYFUNCTION("""COMPUTED_VALUE"""),"2008")</x:f>
      </x:c>
    </x:row>
    <x:row r="5013" spans="1:10">
      <x:c r="A5013" s="1" t="s">
        <x:v>5022</x:v>
      </x:c>
      <x:c r="B5013" s="1">
        <x:f>IFERROR(__xludf.DUMMYFUNCTION("""COMPUTED_VALUE"""),"Mortal")</x:f>
      </x:c>
      <x:c r="C5013" s="1">
        <x:f>IFERROR(__xludf.DUMMYFUNCTION("""COMPUTED_VALUE"""),"2020")</x:f>
      </x:c>
    </x:row>
    <x:row r="5014" spans="1:10">
      <x:c r="A5014" s="1" t="s">
        <x:v>5023</x:v>
      </x:c>
      <x:c r="B5014" s="1">
        <x:f>IFERROR(__xludf.DUMMYFUNCTION("""COMPUTED_VALUE"""),"Mortal kombat")</x:f>
      </x:c>
      <x:c r="C5014" s="1">
        <x:f>IFERROR(__xludf.DUMMYFUNCTION("""COMPUTED_VALUE"""),"1995")</x:f>
      </x:c>
    </x:row>
    <x:row r="5015" spans="1:10">
      <x:c r="A5015" s="1" t="s">
        <x:v>5024</x:v>
      </x:c>
      <x:c r="B5015" s="1">
        <x:f>IFERROR(__xludf.DUMMYFUNCTION("""COMPUTED_VALUE"""),"Mortdecai")</x:f>
      </x:c>
      <x:c r="C5015" s="1">
        <x:f>IFERROR(__xludf.DUMMYFUNCTION("""COMPUTED_VALUE"""),"2015")</x:f>
      </x:c>
    </x:row>
    <x:row r="5016" spans="1:10">
      <x:c r="A5016" s="1" t="s">
        <x:v>5025</x:v>
      </x:c>
      <x:c r="B5016" s="1">
        <x:f>IFERROR(__xludf.DUMMYFUNCTION("""COMPUTED_VALUE"""),"Morts a l'institut")</x:f>
      </x:c>
      <x:c r="C5016" s="1">
        <x:f>IFERROR(__xludf.DUMMYFUNCTION("""COMPUTED_VALUE"""),"2018")</x:f>
      </x:c>
    </x:row>
    <x:row r="5017" spans="1:10">
      <x:c r="A5017" s="1" t="s">
        <x:v>5026</x:v>
      </x:c>
      <x:c r="B5017" s="1">
        <x:f>IFERROR(__xludf.DUMMYFUNCTION("""COMPUTED_VALUE"""),"Morts i enterrats")</x:f>
      </x:c>
      <x:c r="C5017" s="1">
        <x:f>IFERROR(__xludf.DUMMYFUNCTION("""COMPUTED_VALUE"""),"1981")</x:f>
      </x:c>
    </x:row>
    <x:row r="5018" spans="1:10">
      <x:c r="A5018" s="1" t="s">
        <x:v>5027</x:v>
      </x:c>
      <x:c r="B5018" s="1">
        <x:f>IFERROR(__xludf.DUMMYFUNCTION("""COMPUTED_VALUE"""),"Morts o lliures. Deportats a Austràlia")</x:f>
      </x:c>
      <x:c r="C5018" s="1">
        <x:f>IFERROR(__xludf.DUMMYFUNCTION("""COMPUTED_VALUE"""),"2015")</x:f>
      </x:c>
    </x:row>
    <x:row r="5019" spans="1:10">
      <x:c r="A5019" s="1" t="s">
        <x:v>5028</x:v>
      </x:c>
      <x:c r="B5019" s="1">
        <x:f>IFERROR(__xludf.DUMMYFUNCTION("""COMPUTED_VALUE"""),"Moscou zero")</x:f>
      </x:c>
      <x:c r="C5019" s="1">
        <x:f>IFERROR(__xludf.DUMMYFUNCTION("""COMPUTED_VALUE"""),"2006")</x:f>
      </x:c>
    </x:row>
    <x:row r="5020" spans="1:10">
      <x:c r="A5020" s="1" t="s">
        <x:v>5029</x:v>
      </x:c>
      <x:c r="B5020" s="1">
        <x:f>IFERROR(__xludf.DUMMYFUNCTION("""COMPUTED_VALUE"""),"Mossega com puguis")</x:f>
      </x:c>
      <x:c r="C5020" s="1">
        <x:f>IFERROR(__xludf.DUMMYFUNCTION("""COMPUTED_VALUE"""),"1995")</x:f>
      </x:c>
    </x:row>
    <x:row r="5021" spans="1:10">
      <x:c r="A5021" s="1" t="s">
        <x:v>5030</x:v>
      </x:c>
      <x:c r="B5021" s="1">
        <x:f>IFERROR(__xludf.DUMMYFUNCTION("""COMPUTED_VALUE"""),"Mossega la bala")</x:f>
      </x:c>
      <x:c r="C5021" s="1">
        <x:f>IFERROR(__xludf.DUMMYFUNCTION("""COMPUTED_VALUE"""),"1975")</x:f>
      </x:c>
    </x:row>
    <x:row r="5022" spans="1:10">
      <x:c r="A5022" s="1" t="s">
        <x:v>5031</x:v>
      </x:c>
      <x:c r="B5022" s="1">
        <x:f>IFERROR(__xludf.DUMMYFUNCTION("""COMPUTED_VALUE"""),"Mossegades perilloses")</x:f>
      </x:c>
      <x:c r="C5022" s="1">
        <x:f>IFERROR(__xludf.DUMMYFUNCTION("""COMPUTED_VALUE"""),"1985")</x:f>
      </x:c>
    </x:row>
    <x:row r="5023" spans="1:10">
      <x:c r="A5023" s="1" t="s">
        <x:v>5032</x:v>
      </x:c>
      <x:c r="B5023" s="1">
        <x:f>IFERROR(__xludf.DUMMYFUNCTION("""COMPUTED_VALUE"""),"Mossos, llums i ombres")</x:f>
      </x:c>
      <x:c r="C5023" s="1">
        <x:f>IFERROR(__xludf.DUMMYFUNCTION("""COMPUTED_VALUE"""),"2020")</x:f>
      </x:c>
    </x:row>
    <x:row r="5024" spans="1:10">
      <x:c r="A5024" s="1" t="s">
        <x:v>5033</x:v>
      </x:c>
      <x:c r="B5024" s="1">
        <x:f>IFERROR(__xludf.DUMMYFUNCTION("""COMPUTED_VALUE"""),"Motherhood")</x:f>
      </x:c>
      <x:c r="C5024" s="1">
        <x:f>IFERROR(__xludf.DUMMYFUNCTION("""COMPUTED_VALUE"""),"2009")</x:f>
      </x:c>
    </x:row>
    <x:row r="5025" spans="1:10">
      <x:c r="A5025" s="1" t="s">
        <x:v>5034</x:v>
      </x:c>
      <x:c r="B5025" s="1">
        <x:f>IFERROR(__xludf.DUMMYFUNCTION("""COMPUTED_VALUE"""),"Motherless [VOSC]")</x:f>
      </x:c>
      <x:c r="C5025" s="1">
        <x:f>IFERROR(__xludf.DUMMYFUNCTION("""COMPUTED_VALUE"""),"2022")</x:f>
      </x:c>
    </x:row>
    <x:row r="5026" spans="1:10">
      <x:c r="A5026" s="1" t="s">
        <x:v>5035</x:v>
      </x:c>
      <x:c r="B5026" s="1">
        <x:f>IFERROR(__xludf.DUMMYFUNCTION("""COMPUTED_VALUE"""),"Mothers")</x:f>
      </x:c>
      <x:c r="C5026" s="1">
        <x:f>IFERROR(__xludf.DUMMYFUNCTION("""COMPUTED_VALUE"""),"2020")</x:f>
      </x:c>
    </x:row>
    <x:row r="5027" spans="1:10">
      <x:c r="A5027" s="1" t="s">
        <x:v>5036</x:v>
      </x:c>
      <x:c r="B5027" s="1">
        <x:f>IFERROR(__xludf.DUMMYFUNCTION("""COMPUTED_VALUE"""),"Mothman, l'última profecia")</x:f>
      </x:c>
      <x:c r="C5027" s="1">
        <x:f>IFERROR(__xludf.DUMMYFUNCTION("""COMPUTED_VALUE"""),"2002")</x:f>
      </x:c>
    </x:row>
    <x:row r="5028" spans="1:10">
      <x:c r="A5028" s="1" t="s">
        <x:v>5037</x:v>
      </x:c>
      <x:c r="B5028" s="1">
        <x:f>IFERROR(__xludf.DUMMYFUNCTION("""COMPUTED_VALUE"""),"Moulin Rouge")</x:f>
      </x:c>
      <x:c r="C5028" s="1">
        <x:f>IFERROR(__xludf.DUMMYFUNCTION("""COMPUTED_VALUE"""),"2001")</x:f>
      </x:c>
    </x:row>
    <x:row r="5029" spans="1:10">
      <x:c r="A5029" s="1" t="s">
        <x:v>5038</x:v>
      </x:c>
      <x:c r="B5029" s="1">
        <x:f>IFERROR(__xludf.DUMMYFUNCTION("""COMPUTED_VALUE"""),"Moure muntanyes")</x:f>
      </x:c>
      <x:c r="C5029" s="1">
        <x:f>IFERROR(__xludf.DUMMYFUNCTION("""COMPUTED_VALUE"""),"2026")</x:f>
      </x:c>
    </x:row>
    <x:row r="5030" spans="1:10">
      <x:c r="A5030" s="1" t="s">
        <x:v>5039</x:v>
      </x:c>
      <x:c r="B5030" s="1">
        <x:f>IFERROR(__xludf.DUMMYFUNCTION("""COMPUTED_VALUE"""),"Movie 43")</x:f>
      </x:c>
      <x:c r="C5030" s="1">
        <x:f>IFERROR(__xludf.DUMMYFUNCTION("""COMPUTED_VALUE"""),"2013")</x:f>
      </x:c>
    </x:row>
    <x:row r="5031" spans="1:10">
      <x:c r="A5031" s="1" t="s">
        <x:v>5040</x:v>
      </x:c>
      <x:c r="B5031" s="1">
        <x:f>IFERROR(__xludf.DUMMYFUNCTION("""COMPUTED_VALUE"""),"MR 73")</x:f>
      </x:c>
      <x:c r="C5031" s="1">
        <x:f>IFERROR(__xludf.DUMMYFUNCTION("""COMPUTED_VALUE"""),"2008")</x:f>
      </x:c>
    </x:row>
    <x:row r="5032" spans="1:10">
      <x:c r="A5032" s="1" t="s">
        <x:v>5041</x:v>
      </x:c>
      <x:c r="B5032" s="1">
        <x:f>IFERROR(__xludf.DUMMYFUNCTION("""COMPUTED_VALUE"""),"Mr. Brooks")</x:f>
      </x:c>
      <x:c r="C5032" s="1">
        <x:f>IFERROR(__xludf.DUMMYFUNCTION("""COMPUTED_VALUE"""),"2007")</x:f>
      </x:c>
    </x:row>
    <x:row r="5033" spans="1:10">
      <x:c r="A5033" s="1" t="s">
        <x:v>5042</x:v>
      </x:c>
      <x:c r="B5033" s="1">
        <x:f>IFERROR(__xludf.DUMMYFUNCTION("""COMPUTED_VALUE"""),"Mr. Holmes")</x:f>
      </x:c>
      <x:c r="C5033" s="1">
        <x:f>IFERROR(__xludf.DUMMYFUNCTION("""COMPUTED_VALUE"""),"2015")</x:f>
      </x:c>
    </x:row>
    <x:row r="5034" spans="1:10">
      <x:c r="A5034" s="1" t="s">
        <x:v>5043</x:v>
      </x:c>
      <x:c r="B5034" s="1">
        <x:f>IFERROR(__xludf.DUMMYFUNCTION("""COMPUTED_VALUE"""),"Mr. Link")</x:f>
      </x:c>
      <x:c r="C5034" s="1">
        <x:f>IFERROR(__xludf.DUMMYFUNCTION("""COMPUTED_VALUE"""),"2019")</x:f>
      </x:c>
    </x:row>
    <x:row r="5035" spans="1:10">
      <x:c r="A5035" s="1" t="s">
        <x:v>5044</x:v>
      </x:c>
      <x:c r="B5035" s="1">
        <x:f>IFERROR(__xludf.DUMMYFUNCTION("""COMPUTED_VALUE"""),"Mr. Magorium i la seva botiga màgica")</x:f>
      </x:c>
      <x:c r="C5035" s="1">
        <x:f>IFERROR(__xludf.DUMMYFUNCTION("""COMPUTED_VALUE"""),"2007")</x:f>
      </x:c>
    </x:row>
    <x:row r="5036" spans="1:10">
      <x:c r="A5036" s="1" t="s">
        <x:v>5045</x:v>
      </x:c>
      <x:c r="B5036" s="1">
        <x:f>IFERROR(__xludf.DUMMYFUNCTION("""COMPUTED_VALUE"""),"Mr. Nobody contra Putin")</x:f>
      </x:c>
      <x:c r="C5036" s="1">
        <x:f>IFERROR(__xludf.DUMMYFUNCTION("""COMPUTED_VALUE"""),"2025")</x:f>
      </x:c>
    </x:row>
    <x:row r="5037" spans="1:10">
      <x:c r="A5037" s="1" t="s">
        <x:v>5046</x:v>
      </x:c>
      <x:c r="B5037" s="1">
        <x:f>IFERROR(__xludf.DUMMYFUNCTION("""COMPUTED_VALUE"""),"Mr. Wain")</x:f>
      </x:c>
      <x:c r="C5037" s="1">
        <x:f>IFERROR(__xludf.DUMMYFUNCTION("""COMPUTED_VALUE"""),"2021")</x:f>
      </x:c>
    </x:row>
    <x:row r="5038" spans="1:10">
      <x:c r="A5038" s="1" t="s">
        <x:v>5047</x:v>
      </x:c>
      <x:c r="B5038" s="1">
        <x:f>IFERROR(__xludf.DUMMYFUNCTION("""COMPUTED_VALUE"""),"MS1 Màxima seguretat")</x:f>
      </x:c>
      <x:c r="C5038" s="1">
        <x:f>IFERROR(__xludf.DUMMYFUNCTION("""COMPUTED_VALUE"""),"2012")</x:f>
      </x:c>
    </x:row>
    <x:row r="5039" spans="1:10">
      <x:c r="A5039" s="1" t="s">
        <x:v>5048</x:v>
      </x:c>
      <x:c r="B5039" s="1">
        <x:f>IFERROR(__xludf.DUMMYFUNCTION("""COMPUTED_VALUE"""),"Mud")</x:f>
      </x:c>
      <x:c r="C5039" s="1">
        <x:f>IFERROR(__xludf.DUMMYFUNCTION("""COMPUTED_VALUE"""),"2012")</x:f>
      </x:c>
    </x:row>
    <x:row r="5040" spans="1:10">
      <x:c r="A5040" s="1" t="s">
        <x:v>5049</x:v>
      </x:c>
      <x:c r="B5040" s="1">
        <x:f>IFERROR(__xludf.DUMMYFUNCTION("""COMPUTED_VALUE"""),"Mudar de vida [VOSC]")</x:f>
      </x:c>
      <x:c r="C5040" s="1">
        <x:f>IFERROR(__xludf.DUMMYFUNCTION("""COMPUTED_VALUE"""),"1966")</x:f>
      </x:c>
    </x:row>
    <x:row r="5041" spans="1:10">
      <x:c r="A5041" s="1" t="s">
        <x:v>5050</x:v>
      </x:c>
      <x:c r="B5041" s="1">
        <x:f>IFERROR(__xludf.DUMMYFUNCTION("""COMPUTED_VALUE"""),"Mulan")</x:f>
      </x:c>
      <x:c r="C5041" s="1">
        <x:f>IFERROR(__xludf.DUMMYFUNCTION("""COMPUTED_VALUE"""),"1998")</x:f>
      </x:c>
    </x:row>
    <x:row r="5042" spans="1:10">
      <x:c r="A5042" s="1" t="s">
        <x:v>5051</x:v>
      </x:c>
      <x:c r="B5042" s="1">
        <x:f>IFERROR(__xludf.DUMMYFUNCTION("""COMPUTED_VALUE"""),"Muntanyes màgiques, El món salvatge de l'Alt Tatra")</x:f>
      </x:c>
      <x:c r="C5042" s="1">
        <x:f>IFERROR(__xludf.DUMMYFUNCTION("""COMPUTED_VALUE"""),"2007")</x:f>
      </x:c>
    </x:row>
    <x:row r="5043" spans="1:10">
      <x:c r="A5043" s="1" t="s">
        <x:v>5052</x:v>
      </x:c>
      <x:c r="B5043" s="1">
        <x:f>IFERROR(__xludf.DUMMYFUNCTION("""COMPUTED_VALUE"""),"Murmuris del cor")</x:f>
      </x:c>
      <x:c r="C5043" s="1">
        <x:f>IFERROR(__xludf.DUMMYFUNCTION("""COMPUTED_VALUE"""),"1995")</x:f>
      </x:c>
    </x:row>
    <x:row r="5044" spans="1:10">
      <x:c r="A5044" s="1" t="s">
        <x:v>5053</x:v>
      </x:c>
      <x:c r="B5044" s="1">
        <x:f>IFERROR(__xludf.DUMMYFUNCTION("""COMPUTED_VALUE"""),"Murs de silenci. Gran Escala 2000")</x:f>
      </x:c>
      <x:c r="C5044" s="1">
        <x:f>IFERROR(__xludf.DUMMYFUNCTION("""COMPUTED_VALUE"""),"2024")</x:f>
      </x:c>
    </x:row>
    <x:row r="5045" spans="1:10">
      <x:c r="A5045" s="1" t="s">
        <x:v>5054</x:v>
      </x:c>
      <x:c r="B5045" s="1">
        <x:f>IFERROR(__xludf.DUMMYFUNCTION("""COMPUTED_VALUE"""),"Musa")</x:f>
      </x:c>
      <x:c r="C5045" s="1">
        <x:f>IFERROR(__xludf.DUMMYFUNCTION("""COMPUTED_VALUE"""),"2017")</x:f>
      </x:c>
    </x:row>
    <x:row r="5046" spans="1:10">
      <x:c r="A5046" s="1" t="s">
        <x:v>5055</x:v>
      </x:c>
      <x:c r="B5046" s="1">
        <x:f>IFERROR(__xludf.DUMMYFUNCTION("""COMPUTED_VALUE"""),"Museum")</x:f>
      </x:c>
      <x:c r="C5046" s="1">
        <x:f>IFERROR(__xludf.DUMMYFUNCTION("""COMPUTED_VALUE"""),"2016")</x:f>
      </x:c>
    </x:row>
    <x:row r="5047" spans="1:10">
      <x:c r="A5047" s="1" t="s">
        <x:v>5056</x:v>
      </x:c>
      <x:c r="B5047" s="1">
        <x:f>IFERROR(__xludf.DUMMYFUNCTION("""COMPUTED_VALUE"""),"Música del cor")</x:f>
      </x:c>
      <x:c r="C5047" s="1">
        <x:f>IFERROR(__xludf.DUMMYFUNCTION("""COMPUTED_VALUE"""),"1999")</x:f>
      </x:c>
    </x:row>
    <x:row r="5048" spans="1:10">
      <x:c r="A5048" s="1" t="s">
        <x:v>5057</x:v>
      </x:c>
      <x:c r="B5048" s="1">
        <x:f>IFERROR(__xludf.DUMMYFUNCTION("""COMPUTED_VALUE"""),"Mustang")</x:f>
      </x:c>
      <x:c r="C5048" s="1">
        <x:f>IFERROR(__xludf.DUMMYFUNCTION("""COMPUTED_VALUE"""),"2015")</x:f>
      </x:c>
    </x:row>
    <x:row r="5049" spans="1:10">
      <x:c r="A5049" s="1" t="s">
        <x:v>5058</x:v>
      </x:c>
      <x:c r="B5049" s="1">
        <x:f>IFERROR(__xludf.DUMMYFUNCTION("""COMPUTED_VALUE"""),"Mutafukaz")</x:f>
      </x:c>
      <x:c r="C5049" s="1">
        <x:f>IFERROR(__xludf.DUMMYFUNCTION("""COMPUTED_VALUE"""),"2017")</x:f>
      </x:c>
    </x:row>
    <x:row r="5050" spans="1:10">
      <x:c r="A5050" s="1" t="s">
        <x:v>5059</x:v>
      </x:c>
      <x:c r="B5050" s="1">
        <x:f>IFERROR(__xludf.DUMMYFUNCTION("""COMPUTED_VALUE"""),"My Blueberry Nights")</x:f>
      </x:c>
      <x:c r="C5050" s="1">
        <x:f>IFERROR(__xludf.DUMMYFUNCTION("""COMPUTED_VALUE"""),"2007")</x:f>
      </x:c>
    </x:row>
    <x:row r="5051" spans="1:10">
      <x:c r="A5051" s="1" t="s">
        <x:v>5060</x:v>
      </x:c>
      <x:c r="B5051" s="1">
        <x:f>IFERROR(__xludf.DUMMYFUNCTION("""COMPUTED_VALUE"""),"My First Summer [VOSC]")</x:f>
      </x:c>
      <x:c r="C5051" s="1">
        <x:f>IFERROR(__xludf.DUMMYFUNCTION("""COMPUTED_VALUE"""),"2020")</x:f>
      </x:c>
    </x:row>
    <x:row r="5052" spans="1:10">
      <x:c r="A5052" s="1" t="s">
        <x:v>5061</x:v>
      </x:c>
      <x:c r="B5052" s="1">
        <x:f>IFERROR(__xludf.DUMMYFUNCTION("""COMPUTED_VALUE"""),"My Hero Academia: Dos herois")</x:f>
      </x:c>
      <x:c r="C5052" s="1">
        <x:f>IFERROR(__xludf.DUMMYFUNCTION("""COMPUTED_VALUE"""),"2018")</x:f>
      </x:c>
    </x:row>
    <x:row r="5053" spans="1:10">
      <x:c r="A5053" s="1" t="s">
        <x:v>5062</x:v>
      </x:c>
      <x:c r="B5053" s="1">
        <x:f>IFERROR(__xludf.DUMMYFUNCTION("""COMPUTED_VALUE"""),"My Hero Academia: El despertar dels herois")</x:f>
      </x:c>
      <x:c r="C5053" s="1">
        <x:f>IFERROR(__xludf.DUMMYFUNCTION("""COMPUTED_VALUE"""),"2019")</x:f>
      </x:c>
    </x:row>
    <x:row r="5054" spans="1:10">
      <x:c r="A5054" s="1" t="s">
        <x:v>5063</x:v>
      </x:c>
      <x:c r="B5054" s="1">
        <x:f>IFERROR(__xludf.DUMMYFUNCTION("""COMPUTED_VALUE"""),"My Hero Academia: Missió mundial d'herois")</x:f>
      </x:c>
      <x:c r="C5054" s="1">
        <x:f>IFERROR(__xludf.DUMMYFUNCTION("""COMPUTED_VALUE"""),"2021")</x:f>
      </x:c>
    </x:row>
    <x:row r="5055" spans="1:10">
      <x:c r="A5055" s="1" t="s">
        <x:v>5064</x:v>
      </x:c>
      <x:c r="B5055" s="1">
        <x:f>IFERROR(__xludf.DUMMYFUNCTION("""COMPUTED_VALUE"""),"My Own Love Song")</x:f>
      </x:c>
      <x:c r="C5055" s="1">
        <x:f>IFERROR(__xludf.DUMMYFUNCTION("""COMPUTED_VALUE"""),"2010")</x:f>
      </x:c>
    </x:row>
    <x:row r="5056" spans="1:10">
      <x:c r="A5056" s="1" t="s">
        <x:v>5065</x:v>
      </x:c>
      <x:c r="B5056" s="1">
        <x:f>IFERROR(__xludf.DUMMYFUNCTION("""COMPUTED_VALUE"""),"Mystery Train [VOSC]")</x:f>
      </x:c>
      <x:c r="C5056" s="1">
        <x:f>IFERROR(__xludf.DUMMYFUNCTION("""COMPUTED_VALUE"""),"1989")</x:f>
      </x:c>
    </x:row>
    <x:row r="5057" spans="1:10">
      <x:c r="A5057" s="1" t="s">
        <x:v>5066</x:v>
      </x:c>
      <x:c r="B5057" s="1">
        <x:f>IFERROR(__xludf.DUMMYFUNCTION("""COMPUTED_VALUE"""),"Mystic river")</x:f>
      </x:c>
      <x:c r="C5057" s="1">
        <x:f>IFERROR(__xludf.DUMMYFUNCTION("""COMPUTED_VALUE"""),"2003")</x:f>
      </x:c>
    </x:row>
    <x:row r="5058" spans="1:10">
      <x:c r="A5058" s="1" t="s">
        <x:v>5067</x:v>
      </x:c>
      <x:c r="B5058" s="1">
        <x:f>IFERROR(__xludf.DUMMYFUNCTION("""COMPUTED_VALUE"""),"Myway")</x:f>
      </x:c>
      <x:c r="C5058" s="1">
        <x:f>IFERROR(__xludf.DUMMYFUNCTION("""COMPUTED_VALUE"""),"2007")</x:f>
      </x:c>
    </x:row>
    <x:row r="5059" spans="1:10">
      <x:c r="A5059" s="1" t="s">
        <x:v>5068</x:v>
      </x:c>
      <x:c r="B5059" s="1">
        <x:f>IFERROR(__xludf.DUMMYFUNCTION("""COMPUTED_VALUE"""),"Nadal al carrer Chestnut")</x:f>
      </x:c>
      <x:c r="C5059" s="1">
        <x:f>IFERROR(__xludf.DUMMYFUNCTION("""COMPUTED_VALUE"""),"2006")</x:f>
      </x:c>
    </x:row>
    <x:row r="5060" spans="1:10">
      <x:c r="A5060" s="1" t="s">
        <x:v>5069</x:v>
      </x:c>
      <x:c r="B5060" s="1">
        <x:f>IFERROR(__xludf.DUMMYFUNCTION("""COMPUTED_VALUE"""),"Nadal al país de les meravelles")</x:f>
      </x:c>
      <x:c r="C5060" s="1">
        <x:f>IFERROR(__xludf.DUMMYFUNCTION("""COMPUTED_VALUE"""),"2007")</x:f>
      </x:c>
    </x:row>
    <x:row r="5061" spans="1:10">
      <x:c r="A5061" s="1" t="s">
        <x:v>5070</x:v>
      </x:c>
      <x:c r="B5061" s="1">
        <x:f>IFERROR(__xludf.DUMMYFUNCTION("""COMPUTED_VALUE"""),"Nadal al pantà")</x:f>
      </x:c>
      <x:c r="C5061" s="1">
        <x:f>IFERROR(__xludf.DUMMYFUNCTION("""COMPUTED_VALUE"""),"2013")</x:f>
      </x:c>
    </x:row>
    <x:row r="5062" spans="1:10">
      <x:c r="A5062" s="1" t="s">
        <x:v>5071</x:v>
      </x:c>
      <x:c r="B5062" s="1">
        <x:f>IFERROR(__xludf.DUMMYFUNCTION("""COMPUTED_VALUE"""),"Nadal sobre gel")</x:f>
      </x:c>
      <x:c r="C5062" s="1">
        <x:f>IFERROR(__xludf.DUMMYFUNCTION("""COMPUTED_VALUE"""),"2020")</x:f>
      </x:c>
    </x:row>
    <x:row r="5063" spans="1:10">
      <x:c r="A5063" s="1" t="s">
        <x:v>5072</x:v>
      </x:c>
      <x:c r="B5063" s="1">
        <x:f>IFERROR(__xludf.DUMMYFUNCTION("""COMPUTED_VALUE"""),"Nadal vinent, com sempre")</x:f>
      </x:c>
      <x:c r="C5063" s="1">
        <x:f>IFERROR(__xludf.DUMMYFUNCTION("""COMPUTED_VALUE"""),"2019")</x:f>
      </x:c>
    </x:row>
    <x:row r="5064" spans="1:10">
      <x:c r="A5064" s="1" t="s">
        <x:v>5073</x:v>
      </x:c>
      <x:c r="B5064" s="1">
        <x:f>IFERROR(__xludf.DUMMYFUNCTION("""COMPUTED_VALUE"""),"Nader i Simin, una separació")</x:f>
      </x:c>
      <x:c r="C5064" s="1">
        <x:f>IFERROR(__xludf.DUMMYFUNCTION("""COMPUTED_VALUE"""),"2011")</x:f>
      </x:c>
    </x:row>
    <x:row r="5065" spans="1:10">
      <x:c r="A5065" s="1" t="s">
        <x:v>5074</x:v>
      </x:c>
      <x:c r="B5065" s="1">
        <x:f>IFERROR(__xludf.DUMMYFUNCTION("""COMPUTED_VALUE"""),"Nadia")</x:f>
      </x:c>
      <x:c r="C5065" s="1">
        <x:f>IFERROR(__xludf.DUMMYFUNCTION("""COMPUTED_VALUE"""),"2016")</x:f>
      </x:c>
    </x:row>
    <x:row r="5066" spans="1:10">
      <x:c r="A5066" s="1" t="s">
        <x:v>5075</x:v>
      </x:c>
      <x:c r="B5066" s="1">
        <x:f>IFERROR(__xludf.DUMMYFUNCTION("""COMPUTED_VALUE"""),"Nadine")</x:f>
      </x:c>
      <x:c r="C5066" s="1">
        <x:f>IFERROR(__xludf.DUMMYFUNCTION("""COMPUTED_VALUE"""),"1987")</x:f>
      </x:c>
    </x:row>
    <x:row r="5067" spans="1:10">
      <x:c r="A5067" s="1" t="s">
        <x:v>5076</x:v>
      </x:c>
      <x:c r="B5067" s="1">
        <x:f>IFERROR(__xludf.DUMMYFUNCTION("""COMPUTED_VALUE"""),"Nahid")</x:f>
      </x:c>
      <x:c r="C5067" s="1">
        <x:f>IFERROR(__xludf.DUMMYFUNCTION("""COMPUTED_VALUE"""),"2015")</x:f>
      </x:c>
    </x:row>
    <x:row r="5068" spans="1:10">
      <x:c r="A5068" s="1" t="s">
        <x:v>5077</x:v>
      </x:c>
      <x:c r="B5068" s="1">
        <x:f>IFERROR(__xludf.DUMMYFUNCTION("""COMPUTED_VALUE"""),"Nameless Gangster")</x:f>
      </x:c>
      <x:c r="C5068" s="1">
        <x:f>IFERROR(__xludf.DUMMYFUNCTION("""COMPUTED_VALUE"""),"2012")</x:f>
      </x:c>
    </x:row>
    <x:row r="5069" spans="1:10">
      <x:c r="A5069" s="1" t="s">
        <x:v>5078</x:v>
      </x:c>
      <x:c r="B5069" s="1">
        <x:f>IFERROR(__xludf.DUMMYFUNCTION("""COMPUTED_VALUE"""),"Nancy Drew")</x:f>
      </x:c>
      <x:c r="C5069" s="1">
        <x:f>IFERROR(__xludf.DUMMYFUNCTION("""COMPUTED_VALUE"""),"2007")</x:f>
      </x:c>
    </x:row>
    <x:row r="5070" spans="1:10">
      <x:c r="A5070" s="1" t="s">
        <x:v>5079</x:v>
      </x:c>
      <x:c r="B5070" s="1">
        <x:f>IFERROR(__xludf.DUMMYFUNCTION("""COMPUTED_VALUE"""),"Nang Nak")</x:f>
      </x:c>
      <x:c r="C5070" s="1">
        <x:f>IFERROR(__xludf.DUMMYFUNCTION("""COMPUTED_VALUE"""),"1999")</x:f>
      </x:c>
    </x:row>
    <x:row r="5071" spans="1:10">
      <x:c r="A5071" s="1" t="s">
        <x:v>5080</x:v>
      </x:c>
      <x:c r="B5071" s="1">
        <x:f>IFERROR(__xludf.DUMMYFUNCTION("""COMPUTED_VALUE"""),"Nanny McPhee")</x:f>
      </x:c>
      <x:c r="C5071" s="1">
        <x:f>IFERROR(__xludf.DUMMYFUNCTION("""COMPUTED_VALUE"""),"2005")</x:f>
      </x:c>
    </x:row>
    <x:row r="5072" spans="1:10">
      <x:c r="A5072" s="1" t="s">
        <x:v>5081</x:v>
      </x:c>
      <x:c r="B5072" s="1">
        <x:f>IFERROR(__xludf.DUMMYFUNCTION("""COMPUTED_VALUE"""),"Napoleó i jo")</x:f>
      </x:c>
      <x:c r="C5072" s="1">
        <x:f>IFERROR(__xludf.DUMMYFUNCTION("""COMPUTED_VALUE"""),"2006")</x:f>
      </x:c>
    </x:row>
    <x:row r="5073" spans="1:10">
      <x:c r="A5073" s="1" t="s">
        <x:v>5082</x:v>
      </x:c>
      <x:c r="B5073" s="1">
        <x:f>IFERROR(__xludf.DUMMYFUNCTION("""COMPUTED_VALUE"""),"Napoleó, el gosset aventurer")</x:f>
      </x:c>
      <x:c r="C5073" s="1">
        <x:f>IFERROR(__xludf.DUMMYFUNCTION("""COMPUTED_VALUE"""),"1995")</x:f>
      </x:c>
    </x:row>
    <x:row r="5074" spans="1:10">
      <x:c r="A5074" s="1" t="s">
        <x:v>5083</x:v>
      </x:c>
      <x:c r="B5074" s="1">
        <x:f>IFERROR(__xludf.DUMMYFUNCTION("""COMPUTED_VALUE"""),"Napoléon [VOSC]")</x:f>
      </x:c>
      <x:c r="C5074" s="1">
        <x:f>IFERROR(__xludf.DUMMYFUNCTION("""COMPUTED_VALUE"""),"1927")</x:f>
      </x:c>
    </x:row>
    <x:row r="5075" spans="1:10">
      <x:c r="A5075" s="1" t="s">
        <x:v>5084</x:v>
      </x:c>
      <x:c r="B5075" s="1">
        <x:f>IFERROR(__xludf.DUMMYFUNCTION("""COMPUTED_VALUE"""),"Naqoyqatsi")</x:f>
      </x:c>
      <x:c r="C5075" s="1">
        <x:f>IFERROR(__xludf.DUMMYFUNCTION("""COMPUTED_VALUE"""),"2002")</x:f>
      </x:c>
    </x:row>
    <x:row r="5076" spans="1:10">
      <x:c r="A5076" s="1" t="s">
        <x:v>5085</x:v>
      </x:c>
      <x:c r="B5076" s="1">
        <x:f>IFERROR(__xludf.DUMMYFUNCTION("""COMPUTED_VALUE"""),"Narc")</x:f>
      </x:c>
      <x:c r="C5076" s="1">
        <x:f>IFERROR(__xludf.DUMMYFUNCTION("""COMPUTED_VALUE"""),"2002")</x:f>
      </x:c>
    </x:row>
    <x:row r="5077" spans="1:10">
      <x:c r="A5077" s="1" t="s">
        <x:v>5086</x:v>
      </x:c>
      <x:c r="B5077" s="1">
        <x:f>IFERROR(__xludf.DUMMYFUNCTION("""COMPUTED_VALUE"""),"Naruto: 1 Batalla ninja a la Terra de la Neu!")</x:f>
      </x:c>
      <x:c r="C5077" s="1">
        <x:f>IFERROR(__xludf.DUMMYFUNCTION("""COMPUTED_VALUE"""),"2004")</x:f>
      </x:c>
    </x:row>
    <x:row r="5078" spans="1:10">
      <x:c r="A5078" s="1" t="s">
        <x:v>5087</x:v>
      </x:c>
      <x:c r="B5078" s="1">
        <x:f>IFERROR(__xludf.DUMMYFUNCTION("""COMPUTED_VALUE"""),"Naruto: 2 La llegenda de la pedra de Gelel")</x:f>
      </x:c>
      <x:c r="C5078" s="1">
        <x:f>IFERROR(__xludf.DUMMYFUNCTION("""COMPUTED_VALUE"""),"2005")</x:f>
      </x:c>
    </x:row>
    <x:row r="5079" spans="1:10">
      <x:c r="A5079" s="1" t="s">
        <x:v>5088</x:v>
      </x:c>
      <x:c r="B5079" s="1">
        <x:f>IFERROR(__xludf.DUMMYFUNCTION("""COMPUTED_VALUE"""),"Naruto: 3 Els guardians de l'Imperi de la Lluna Creixent")</x:f>
      </x:c>
      <x:c r="C5079" s="1">
        <x:f>IFERROR(__xludf.DUMMYFUNCTION("""COMPUTED_VALUE"""),"2006")</x:f>
      </x:c>
    </x:row>
    <x:row r="5080" spans="1:10">
      <x:c r="A5080" s="1" t="s">
        <x:v>5089</x:v>
      </x:c>
      <x:c r="B5080" s="1">
        <x:f>IFERROR(__xludf.DUMMYFUNCTION("""COMPUTED_VALUE"""),"Naruto: 9 la pel·lícula: El camí del Ninja")</x:f>
      </x:c>
      <x:c r="C5080" s="1">
        <x:f>IFERROR(__xludf.DUMMYFUNCTION("""COMPUTED_VALUE"""),"2012")</x:f>
      </x:c>
    </x:row>
    <x:row r="5081" spans="1:10">
      <x:c r="A5081" s="1" t="s">
        <x:v>5090</x:v>
      </x:c>
      <x:c r="B5081" s="1">
        <x:f>IFERROR(__xludf.DUMMYFUNCTION("""COMPUTED_VALUE"""),"Nàufrag")</x:f>
      </x:c>
      <x:c r="C5081" s="1">
        <x:f>IFERROR(__xludf.DUMMYFUNCTION("""COMPUTED_VALUE"""),"2000")</x:f>
      </x:c>
    </x:row>
    <x:row r="5082" spans="1:10">
      <x:c r="A5082" s="1" t="s">
        <x:v>5091</x:v>
      </x:c>
      <x:c r="B5082" s="1">
        <x:f>IFERROR(__xludf.DUMMYFUNCTION("""COMPUTED_VALUE"""),"Naus silencioses")</x:f>
      </x:c>
      <x:c r="C5082" s="1">
        <x:f>IFERROR(__xludf.DUMMYFUNCTION("""COMPUTED_VALUE"""),"1972")</x:f>
      </x:c>
    </x:row>
    <x:row r="5083" spans="1:10">
      <x:c r="A5083" s="1" t="s">
        <x:v>5092</x:v>
      </x:c>
      <x:c r="B5083" s="1">
        <x:f>IFERROR(__xludf.DUMMYFUNCTION("""COMPUTED_VALUE"""),"Nausicaä de la Vall del Vent")</x:f>
      </x:c>
      <x:c r="C5083" s="1">
        <x:f>IFERROR(__xludf.DUMMYFUNCTION("""COMPUTED_VALUE"""),"1984")</x:f>
      </x:c>
    </x:row>
    <x:row r="5084" spans="1:10">
      <x:c r="A5084" s="1" t="s">
        <x:v>5093</x:v>
      </x:c>
      <x:c r="B5084" s="1">
        <x:f>IFERROR(__xludf.DUMMYFUNCTION("""COMPUTED_VALUE"""),"Navajo Joe")</x:f>
      </x:c>
      <x:c r="C5084" s="1">
        <x:f>IFERROR(__xludf.DUMMYFUNCTION("""COMPUTED_VALUE"""),"1966")</x:f>
      </x:c>
    </x:row>
    <x:row r="5085" spans="1:10">
      <x:c r="A5085" s="1" t="s">
        <x:v>5094</x:v>
      </x:c>
      <x:c r="B5085" s="1">
        <x:f>IFERROR(__xludf.DUMMYFUNCTION("""COMPUTED_VALUE"""),"Navalny")</x:f>
      </x:c>
      <x:c r="C5085" s="1">
        <x:f>IFERROR(__xludf.DUMMYFUNCTION("""COMPUTED_VALUE"""),"2022")</x:f>
      </x:c>
    </x:row>
    <x:row r="5086" spans="1:10">
      <x:c r="A5086" s="1" t="s">
        <x:v>5095</x:v>
      </x:c>
      <x:c r="B5086" s="1">
        <x:f>IFERROR(__xludf.DUMMYFUNCTION("""COMPUTED_VALUE"""),"Necessitem el teu vot")</x:f>
      </x:c>
      <x:c r="C5086" s="1">
        <x:f>IFERROR(__xludf.DUMMYFUNCTION("""COMPUTED_VALUE"""),"2018")</x:f>
      </x:c>
    </x:row>
    <x:row r="5087" spans="1:10">
      <x:c r="A5087" s="1" t="s">
        <x:v>5096</x:v>
      </x:c>
      <x:c r="B5087" s="1">
        <x:f>IFERROR(__xludf.DUMMYFUNCTION("""COMPUTED_VALUE"""),"Nedar")</x:f>
      </x:c>
      <x:c r="C5087" s="1">
        <x:f>IFERROR(__xludf.DUMMYFUNCTION("""COMPUTED_VALUE"""),"2008")</x:f>
      </x:c>
    </x:row>
    <x:row r="5088" spans="1:10">
      <x:c r="A5088" s="1" t="s">
        <x:v>5097</x:v>
      </x:c>
      <x:c r="B5088" s="1">
        <x:f>IFERROR(__xludf.DUMMYFUNCTION("""COMPUTED_VALUE"""),"Neds")</x:f>
      </x:c>
      <x:c r="C5088" s="1">
        <x:f>IFERROR(__xludf.DUMMYFUNCTION("""COMPUTED_VALUE"""),"2010")</x:f>
      </x:c>
    </x:row>
    <x:row r="5089" spans="1:10">
      <x:c r="A5089" s="1" t="s">
        <x:v>5098</x:v>
      </x:c>
      <x:c r="B5089" s="1">
        <x:f>IFERROR(__xludf.DUMMYFUNCTION("""COMPUTED_VALUE"""),"Need For Speed")</x:f>
      </x:c>
      <x:c r="C5089" s="1">
        <x:f>IFERROR(__xludf.DUMMYFUNCTION("""COMPUTED_VALUE"""),"2014")</x:f>
      </x:c>
    </x:row>
    <x:row r="5090" spans="1:10">
      <x:c r="A5090" s="1" t="s">
        <x:v>5099</x:v>
      </x:c>
      <x:c r="B5090" s="1">
        <x:f>IFERROR(__xludf.DUMMYFUNCTION("""COMPUTED_VALUE"""),"Negació")</x:f>
      </x:c>
      <x:c r="C5090" s="1">
        <x:f>IFERROR(__xludf.DUMMYFUNCTION("""COMPUTED_VALUE"""),"2016")</x:f>
      </x:c>
    </x:row>
    <x:row r="5091" spans="1:10">
      <x:c r="A5091" s="1" t="s">
        <x:v>5100</x:v>
      </x:c>
      <x:c r="B5091" s="1">
        <x:f>IFERROR(__xludf.DUMMYFUNCTION("""COMPUTED_VALUE"""),"Negacionistes del canvi climàtic")</x:f>
      </x:c>
      <x:c r="C5091" s="1">
        <x:f>IFERROR(__xludf.DUMMYFUNCTION("""COMPUTED_VALUE"""),"2020")</x:f>
      </x:c>
    </x:row>
    <x:row r="5092" spans="1:10">
      <x:c r="A5092" s="1" t="s">
        <x:v>5101</x:v>
      </x:c>
      <x:c r="B5092" s="1">
        <x:f>IFERROR(__xludf.DUMMYFUNCTION("""COMPUTED_VALUE"""),"Negocis de família")</x:f>
      </x:c>
      <x:c r="C5092" s="1">
        <x:f>IFERROR(__xludf.DUMMYFUNCTION("""COMPUTED_VALUE"""),"1989")</x:f>
      </x:c>
    </x:row>
    <x:row r="5093" spans="1:10">
      <x:c r="A5093" s="1" t="s">
        <x:v>5102</x:v>
      </x:c>
      <x:c r="B5093" s="1">
        <x:f>IFERROR(__xludf.DUMMYFUNCTION("""COMPUTED_VALUE"""),"Negre Buenos Aires")</x:f>
      </x:c>
      <x:c r="C5093" s="1">
        <x:f>IFERROR(__xludf.DUMMYFUNCTION("""COMPUTED_VALUE"""),"2009")</x:f>
      </x:c>
    </x:row>
    <x:row r="5094" spans="1:10">
      <x:c r="A5094" s="1" t="s">
        <x:v>5103</x:v>
      </x:c>
      <x:c r="B5094" s="1">
        <x:f>IFERROR(__xludf.DUMMYFUNCTION("""COMPUTED_VALUE"""),"Neil Young - Live at Rockpalast")</x:f>
      </x:c>
      <x:c r="C5094" s="1">
        <x:f>IFERROR(__xludf.DUMMYFUNCTION("""COMPUTED_VALUE"""),"2002")</x:f>
      </x:c>
    </x:row>
    <x:row r="5095" spans="1:10">
      <x:c r="A5095" s="1" t="s">
        <x:v>5104</x:v>
      </x:c>
      <x:c r="B5095" s="1">
        <x:f>IFERROR(__xludf.DUMMYFUNCTION("""COMPUTED_VALUE"""),"Neil Young - Rockin' In The Free World - Glastonbury")</x:f>
      </x:c>
      <x:c r="C5095" s="1">
        <x:f>IFERROR(__xludf.DUMMYFUNCTION("""COMPUTED_VALUE"""),"2009")</x:f>
      </x:c>
    </x:row>
    <x:row r="5096" spans="1:10">
      <x:c r="A5096" s="1" t="s">
        <x:v>5105</x:v>
      </x:c>
      <x:c r="B5096" s="1">
        <x:f>IFERROR(__xludf.DUMMYFUNCTION("""COMPUTED_VALUE"""),"Neil Young – Journey Through The Past")</x:f>
      </x:c>
      <x:c r="C5096" s="1">
        <x:f>IFERROR(__xludf.DUMMYFUNCTION("""COMPUTED_VALUE"""),"1974")</x:f>
      </x:c>
    </x:row>
    <x:row r="5097" spans="1:10">
      <x:c r="A5097" s="1" t="s">
        <x:v>5106</x:v>
      </x:c>
      <x:c r="B5097" s="1">
        <x:f>IFERROR(__xludf.DUMMYFUNCTION("""COMPUTED_VALUE"""),"Neil Young &amp; Crazy Horse - Weld")</x:f>
      </x:c>
      <x:c r="C5097" s="1">
        <x:f>IFERROR(__xludf.DUMMYFUNCTION("""COMPUTED_VALUE"""),"1991")</x:f>
      </x:c>
    </x:row>
    <x:row r="5098" spans="1:10">
      <x:c r="A5098" s="1" t="s">
        <x:v>5107</x:v>
      </x:c>
      <x:c r="B5098" s="1">
        <x:f>IFERROR(__xludf.DUMMYFUNCTION("""COMPUTED_VALUE"""),"Nens grans")</x:f>
      </x:c>
      <x:c r="C5098" s="1">
        <x:f>IFERROR(__xludf.DUMMYFUNCTION("""COMPUTED_VALUE"""),"2010")</x:f>
      </x:c>
    </x:row>
    <x:row r="5099" spans="1:10">
      <x:c r="A5099" s="1" t="s">
        <x:v>5108</x:v>
      </x:c>
      <x:c r="B5099" s="1">
        <x:f>IFERROR(__xludf.DUMMYFUNCTION("""COMPUTED_VALUE"""),"Nens grans 2")</x:f>
      </x:c>
      <x:c r="C5099" s="1">
        <x:f>IFERROR(__xludf.DUMMYFUNCTION("""COMPUTED_VALUE"""),"2013")</x:f>
      </x:c>
    </x:row>
    <x:row r="5100" spans="1:10">
      <x:c r="A5100" s="1" t="s">
        <x:v>5109</x:v>
      </x:c>
      <x:c r="B5100" s="1">
        <x:f>IFERROR(__xludf.DUMMYFUNCTION("""COMPUTED_VALUE"""),"Nens robats")</x:f>
      </x:c>
      <x:c r="C5100" s="1">
        <x:f>IFERROR(__xludf.DUMMYFUNCTION("""COMPUTED_VALUE"""),"1992")</x:f>
      </x:c>
    </x:row>
    <x:row r="5101" spans="1:10">
      <x:c r="A5101" s="1" t="s">
        <x:v>5110</x:v>
      </x:c>
      <x:c r="B5101" s="1">
        <x:f>IFERROR(__xludf.DUMMYFUNCTION("""COMPUTED_VALUE"""),"Netanyahu, crim i càstig?")</x:f>
      </x:c>
      <x:c r="C5101" s="1">
        <x:f>IFERROR(__xludf.DUMMYFUNCTION("""COMPUTED_VALUE"""),"2025")</x:f>
      </x:c>
    </x:row>
    <x:row r="5102" spans="1:10">
      <x:c r="A5102" s="1" t="s">
        <x:v>5111</x:v>
      </x:c>
      <x:c r="B5102" s="1">
        <x:f>IFERROR(__xludf.DUMMYFUNCTION("""COMPUTED_VALUE"""),"Neteges Sunshine")</x:f>
      </x:c>
      <x:c r="C5102" s="1">
        <x:f>IFERROR(__xludf.DUMMYFUNCTION("""COMPUTED_VALUE"""),"2008")</x:f>
      </x:c>
    </x:row>
    <x:row r="5103" spans="1:10">
      <x:c r="A5103" s="1" t="s">
        <x:v>5112</x:v>
      </x:c>
      <x:c r="B5103" s="1">
        <x:f>IFERROR(__xludf.DUMMYFUNCTION("""COMPUTED_VALUE"""),"Neu")</x:f>
      </x:c>
      <x:c r="C5103" s="1">
        <x:f>IFERROR(__xludf.DUMMYFUNCTION("""COMPUTED_VALUE"""),"2022")</x:f>
      </x:c>
    </x:row>
    <x:row r="5104" spans="1:10">
      <x:c r="A5104" s="1" t="s">
        <x:v>5113</x:v>
      </x:c>
      <x:c r="B5104" s="1">
        <x:f>IFERROR(__xludf.DUMMYFUNCTION("""COMPUTED_VALUE"""),"Neu i els arbres màgics")</x:f>
      </x:c>
      <x:c r="C5104" s="1">
        <x:f>IFERROR(__xludf.DUMMYFUNCTION("""COMPUTED_VALUE"""),"2015")</x:f>
      </x:c>
    </x:row>
    <x:row r="5105" spans="1:10">
      <x:c r="A5105" s="1" t="s">
        <x:v>5114</x:v>
      </x:c>
      <x:c r="B5105" s="1">
        <x:f>IFERROR(__xludf.DUMMYFUNCTION("""COMPUTED_VALUE"""),"Nevada")</x:f>
      </x:c>
      <x:c r="C5105" s="1">
        <x:f>IFERROR(__xludf.DUMMYFUNCTION("""COMPUTED_VALUE"""),"1950")</x:f>
      </x:c>
    </x:row>
    <x:row r="5106" spans="1:10">
      <x:c r="A5106" s="1" t="s">
        <x:v>5115</x:v>
      </x:c>
      <x:c r="B5106" s="1">
        <x:f>IFERROR(__xludf.DUMMYFUNCTION("""COMPUTED_VALUE"""),"Nevada Express")</x:f>
      </x:c>
      <x:c r="C5106" s="1">
        <x:f>IFERROR(__xludf.DUMMYFUNCTION("""COMPUTED_VALUE"""),"1975")</x:f>
      </x:c>
    </x:row>
    <x:row r="5107" spans="1:10">
      <x:c r="A5107" s="1" t="s">
        <x:v>5116</x:v>
      </x:c>
      <x:c r="B5107" s="1">
        <x:f>IFERROR(__xludf.DUMMYFUNCTION("""COMPUTED_VALUE"""),"New Police Story")</x:f>
      </x:c>
      <x:c r="C5107" s="1">
        <x:f>IFERROR(__xludf.DUMMYFUNCTION("""COMPUTED_VALUE"""),"2004")</x:f>
      </x:c>
    </x:row>
    <x:row r="5108" spans="1:10">
      <x:c r="A5108" s="1" t="s">
        <x:v>5117</x:v>
      </x:c>
      <x:c r="B5108" s="1">
        <x:f>IFERROR(__xludf.DUMMYFUNCTION("""COMPUTED_VALUE"""),"New World")</x:f>
      </x:c>
      <x:c r="C5108" s="1">
        <x:f>IFERROR(__xludf.DUMMYFUNCTION("""COMPUTED_VALUE"""),"2013")</x:f>
      </x:c>
    </x:row>
    <x:row r="5109" spans="1:10">
      <x:c r="A5109" s="1" t="s">
        <x:v>5118</x:v>
      </x:c>
      <x:c r="B5109" s="1">
        <x:f>IFERROR(__xludf.DUMMYFUNCTION("""COMPUTED_VALUE"""),"New York, I Love You")</x:f>
      </x:c>
      <x:c r="C5109" s="1">
        <x:f>IFERROR(__xludf.DUMMYFUNCTION("""COMPUTED_VALUE"""),"2009")</x:f>
      </x:c>
    </x:row>
    <x:row r="5110" spans="1:10">
      <x:c r="A5110" s="1" t="s">
        <x:v>5119</x:v>
      </x:c>
      <x:c r="B5110" s="1">
        <x:f>IFERROR(__xludf.DUMMYFUNCTION("""COMPUTED_VALUE"""),"Ni oblit ni perdó")</x:f>
      </x:c>
      <x:c r="C5110" s="1">
        <x:f>IFERROR(__xludf.DUMMYFUNCTION("""COMPUTED_VALUE"""),"2018")</x:f>
      </x:c>
    </x:row>
    <x:row r="5111" spans="1:10">
      <x:c r="A5111" s="1" t="s">
        <x:v>5120</x:v>
      </x:c>
      <x:c r="B5111" s="1">
        <x:f>IFERROR(__xludf.DUMMYFUNCTION("""COMPUTED_VALUE"""),"Ni oblit ni perdó")</x:f>
      </x:c>
      <x:c r="C5111" s="1">
        <x:f>IFERROR(__xludf.DUMMYFUNCTION("""COMPUTED_VALUE"""),"2020")</x:f>
      </x:c>
    </x:row>
    <x:row r="5112" spans="1:10">
      <x:c r="A5112" s="1" t="s">
        <x:v>5121</x:v>
      </x:c>
      <x:c r="B5112" s="1">
        <x:f>IFERROR(__xludf.DUMMYFUNCTION("""COMPUTED_VALUE"""),"Ni un pas enrere")</x:f>
      </x:c>
      <x:c r="C5112" s="1">
        <x:f>IFERROR(__xludf.DUMMYFUNCTION("""COMPUTED_VALUE"""),"2020")</x:f>
      </x:c>
    </x:row>
    <x:row r="5113" spans="1:10">
      <x:c r="A5113" s="1" t="s">
        <x:v>5122</x:v>
      </x:c>
      <x:c r="B5113" s="1">
        <x:f>IFERROR(__xludf.DUMMYFUNCTION("""COMPUTED_VALUE"""),"Nick i Norah: Una nit de música i amor")</x:f>
      </x:c>
      <x:c r="C5113" s="1">
        <x:f>IFERROR(__xludf.DUMMYFUNCTION("""COMPUTED_VALUE"""),"2008")</x:f>
      </x:c>
    </x:row>
    <x:row r="5114" spans="1:10">
      <x:c r="A5114" s="1" t="s">
        <x:v>5123</x:v>
      </x:c>
      <x:c r="B5114" s="1">
        <x:f>IFERROR(__xludf.DUMMYFUNCTION("""COMPUTED_VALUE"""),"Nicky, l'aprenenta de bruixa")</x:f>
      </x:c>
      <x:c r="C5114" s="1">
        <x:f>IFERROR(__xludf.DUMMYFUNCTION("""COMPUTED_VALUE"""),"2014")</x:f>
      </x:c>
    </x:row>
    <x:row r="5115" spans="1:10">
      <x:c r="A5115" s="1" t="s">
        <x:v>5124</x:v>
      </x:c>
      <x:c r="B5115" s="1">
        <x:f>IFERROR(__xludf.DUMMYFUNCTION("""COMPUTED_VALUE"""),"Nico 2: germà petit, problema gran")</x:f>
      </x:c>
      <x:c r="C5115" s="1">
        <x:f>IFERROR(__xludf.DUMMYFUNCTION("""COMPUTED_VALUE"""),"2012")</x:f>
      </x:c>
    </x:row>
    <x:row r="5116" spans="1:10">
      <x:c r="A5116" s="1" t="s">
        <x:v>5125</x:v>
      </x:c>
      <x:c r="B5116" s="1">
        <x:f>IFERROR(__xludf.DUMMYFUNCTION("""COMPUTED_VALUE"""),"Nico, el ren que somiava volar")</x:f>
      </x:c>
      <x:c r="C5116" s="1">
        <x:f>IFERROR(__xludf.DUMMYFUNCTION("""COMPUTED_VALUE"""),"2008")</x:f>
      </x:c>
    </x:row>
    <x:row r="5117" spans="1:10">
      <x:c r="A5117" s="1" t="s">
        <x:v>5126</x:v>
      </x:c>
      <x:c r="B5117" s="1">
        <x:f>IFERROR(__xludf.DUMMYFUNCTION("""COMPUTED_VALUE"""),"Nimona")</x:f>
      </x:c>
      <x:c r="C5117" s="1">
        <x:f>IFERROR(__xludf.DUMMYFUNCTION("""COMPUTED_VALUE"""),"2023")</x:f>
      </x:c>
    </x:row>
    <x:row r="5118" spans="1:10">
      <x:c r="A5118" s="1" t="s">
        <x:v>5127</x:v>
      </x:c>
      <x:c r="B5118" s="1">
        <x:f>IFERROR(__xludf.DUMMYFUNCTION("""COMPUTED_VALUE"""),"Nine")</x:f>
      </x:c>
      <x:c r="C5118" s="1">
        <x:f>IFERROR(__xludf.DUMMYFUNCTION("""COMPUTED_VALUE"""),"2009")</x:f>
      </x:c>
    </x:row>
    <x:row r="5119" spans="1:10">
      <x:c r="A5119" s="1" t="s">
        <x:v>5128</x:v>
      </x:c>
      <x:c r="B5119" s="1">
        <x:f>IFERROR(__xludf.DUMMYFUNCTION("""COMPUTED_VALUE"""),"Nines")</x:f>
      </x:c>
      <x:c r="C5119" s="1">
        <x:f>IFERROR(__xludf.DUMMYFUNCTION("""COMPUTED_VALUE"""),"1987")</x:f>
      </x:c>
    </x:row>
    <x:row r="5120" spans="1:10">
      <x:c r="A5120" s="1" t="s">
        <x:v>5129</x:v>
      </x:c>
      <x:c r="B5120" s="1">
        <x:f>IFERROR(__xludf.DUMMYFUNCTION("""COMPUTED_VALUE"""),"Ningú en sap res, dels gats perses")</x:f>
      </x:c>
      <x:c r="C5120" s="1">
        <x:f>IFERROR(__xludf.DUMMYFUNCTION("""COMPUTED_VALUE"""),"2009")</x:f>
      </x:c>
    </x:row>
    <x:row r="5121" spans="1:10">
      <x:c r="A5121" s="1" t="s">
        <x:v>5130</x:v>
      </x:c>
      <x:c r="B5121" s="1">
        <x:f>IFERROR(__xludf.DUMMYFUNCTION("""COMPUTED_VALUE"""),"Ningú no és perfecte")</x:f>
      </x:c>
      <x:c r="C5121" s="1">
        <x:f>IFERROR(__xludf.DUMMYFUNCTION("""COMPUTED_VALUE"""),"1959")</x:f>
      </x:c>
    </x:row>
    <x:row r="5122" spans="1:10">
      <x:c r="A5122" s="1" t="s">
        <x:v>5131</x:v>
      </x:c>
      <x:c r="B5122" s="1">
        <x:f>IFERROR(__xludf.DUMMYFUNCTION("""COMPUTED_VALUE"""),"Ningú no vol la nit")</x:f>
      </x:c>
      <x:c r="C5122" s="1">
        <x:f>IFERROR(__xludf.DUMMYFUNCTION("""COMPUTED_VALUE"""),"2015")</x:f>
      </x:c>
    </x:row>
    <x:row r="5123" spans="1:10">
      <x:c r="A5123" s="1" t="s">
        <x:v>5132</x:v>
      </x:c>
      <x:c r="B5123" s="1">
        <x:f>IFERROR(__xludf.DUMMYFUNCTION("""COMPUTED_VALUE"""),"Ninja Assassin")</x:f>
      </x:c>
      <x:c r="C5123" s="1">
        <x:f>IFERROR(__xludf.DUMMYFUNCTION("""COMPUTED_VALUE"""),"2009")</x:f>
      </x:c>
    </x:row>
    <x:row r="5124" spans="1:10">
      <x:c r="A5124" s="1" t="s">
        <x:v>5133</x:v>
      </x:c>
      <x:c r="B5124" s="1">
        <x:f>IFERROR(__xludf.DUMMYFUNCTION("""COMPUTED_VALUE"""),"Ninja Scroll")</x:f>
      </x:c>
      <x:c r="C5124" s="1">
        <x:f>IFERROR(__xludf.DUMMYFUNCTION("""COMPUTED_VALUE"""),"1993")</x:f>
      </x:c>
    </x:row>
    <x:row r="5125" spans="1:10">
      <x:c r="A5125" s="1" t="s">
        <x:v>5134</x:v>
      </x:c>
      <x:c r="B5125" s="1">
        <x:f>IFERROR(__xludf.DUMMYFUNCTION("""COMPUTED_VALUE"""),"Ninotchka [VOSC]")</x:f>
      </x:c>
      <x:c r="C5125" s="1">
        <x:f>IFERROR(__xludf.DUMMYFUNCTION("""COMPUTED_VALUE"""),"1939")</x:f>
      </x:c>
    </x:row>
    <x:row r="5126" spans="1:10">
      <x:c r="A5126" s="1" t="s">
        <x:v>5135</x:v>
      </x:c>
      <x:c r="B5126" s="1">
        <x:f>IFERROR(__xludf.DUMMYFUNCTION("""COMPUTED_VALUE"""),"Nirvana - Live! Tonight! Sold Out!!")</x:f>
      </x:c>
      <x:c r="C5126" s="1">
        <x:f>IFERROR(__xludf.DUMMYFUNCTION("""COMPUTED_VALUE"""),"1994")</x:f>
      </x:c>
    </x:row>
    <x:row r="5127" spans="1:10">
      <x:c r="A5127" s="1" t="s">
        <x:v>5136</x:v>
      </x:c>
      <x:c r="B5127" s="1">
        <x:f>IFERROR(__xludf.DUMMYFUNCTION("""COMPUTED_VALUE"""),"Nirvana - MTV Unplugged")</x:f>
      </x:c>
      <x:c r="C5127" s="1">
        <x:f>IFERROR(__xludf.DUMMYFUNCTION("""COMPUTED_VALUE"""),"1994")</x:f>
      </x:c>
    </x:row>
    <x:row r="5128" spans="1:10">
      <x:c r="A5128" s="1" t="s">
        <x:v>5137</x:v>
      </x:c>
      <x:c r="B5128" s="1">
        <x:f>IFERROR(__xludf.DUMMYFUNCTION("""COMPUTED_VALUE"""),"Nit de jocs")</x:f>
      </x:c>
      <x:c r="C5128" s="1">
        <x:f>IFERROR(__xludf.DUMMYFUNCTION("""COMPUTED_VALUE"""),"2018")</x:f>
      </x:c>
    </x:row>
    <x:row r="5129" spans="1:10">
      <x:c r="A5129" s="1" t="s">
        <x:v>5138</x:v>
      </x:c>
      <x:c r="B5129" s="1">
        <x:f>IFERROR(__xludf.DUMMYFUNCTION("""COMPUTED_VALUE"""),"Nit de marxa")</x:f>
      </x:c>
      <x:c r="C5129" s="1">
        <x:f>IFERROR(__xludf.DUMMYFUNCTION("""COMPUTED_VALUE"""),"2013")</x:f>
      </x:c>
    </x:row>
    <x:row r="5130" spans="1:10">
      <x:c r="A5130" s="1" t="s">
        <x:v>5139</x:v>
      </x:c>
      <x:c r="B5130" s="1">
        <x:f>IFERROR(__xludf.DUMMYFUNCTION("""COMPUTED_VALUE"""),"Nit de Sant Joan")</x:f>
      </x:c>
      <x:c r="C5130" s="1">
        <x:f>IFERROR(__xludf.DUMMYFUNCTION("""COMPUTED_VALUE"""),"2010")</x:f>
      </x:c>
    </x:row>
    <x:row r="5131" spans="1:10">
      <x:c r="A5131" s="1" t="s">
        <x:v>5140</x:v>
      </x:c>
      <x:c r="B5131" s="1">
        <x:f>IFERROR(__xludf.DUMMYFUNCTION("""COMPUTED_VALUE"""),"Nit de vi i copes")</x:f>
      </x:c>
      <x:c r="C5131" s="1">
        <x:f>IFERROR(__xludf.DUMMYFUNCTION("""COMPUTED_VALUE"""),"2011")</x:f>
      </x:c>
    </x:row>
    <x:row r="5132" spans="1:10">
      <x:c r="A5132" s="1" t="s">
        <x:v>5141</x:v>
      </x:c>
      <x:c r="B5132" s="1">
        <x:f>IFERROR(__xludf.DUMMYFUNCTION("""COMPUTED_VALUE"""),"Nit eterna")</x:f>
      </x:c>
      <x:c r="C5132" s="1">
        <x:f>IFERROR(__xludf.DUMMYFUNCTION("""COMPUTED_VALUE"""),"1947")</x:f>
      </x:c>
    </x:row>
    <x:row r="5133" spans="1:10">
      <x:c r="A5133" s="1" t="s">
        <x:v>5142</x:v>
      </x:c>
      <x:c r="B5133" s="1">
        <x:f>IFERROR(__xludf.DUMMYFUNCTION("""COMPUTED_VALUE"""),"Nit reial")</x:f>
      </x:c>
      <x:c r="C5133" s="1">
        <x:f>IFERROR(__xludf.DUMMYFUNCTION("""COMPUTED_VALUE"""),"2015")</x:f>
      </x:c>
    </x:row>
    <x:row r="5134" spans="1:10">
      <x:c r="A5134" s="1" t="s">
        <x:v>5143</x:v>
      </x:c>
      <x:c r="B5134" s="1">
        <x:f>IFERROR(__xludf.DUMMYFUNCTION("""COMPUTED_VALUE"""),"Nits de tempesta")</x:f>
      </x:c>
      <x:c r="C5134" s="1">
        <x:f>IFERROR(__xludf.DUMMYFUNCTION("""COMPUTED_VALUE"""),"2008")</x:f>
      </x:c>
    </x:row>
    <x:row r="5135" spans="1:10">
      <x:c r="A5135" s="1" t="s">
        <x:v>5144</x:v>
      </x:c>
      <x:c r="B5135" s="1">
        <x:f>IFERROR(__xludf.DUMMYFUNCTION("""COMPUTED_VALUE"""),"Nivell 13")</x:f>
      </x:c>
      <x:c r="C5135" s="1">
        <x:f>IFERROR(__xludf.DUMMYFUNCTION("""COMPUTED_VALUE"""),"1999")</x:f>
      </x:c>
    </x:row>
    <x:row r="5136" spans="1:10">
      <x:c r="A5136" s="1" t="s">
        <x:v>5145</x:v>
      </x:c>
      <x:c r="B5136" s="1">
        <x:f>IFERROR(__xludf.DUMMYFUNCTION("""COMPUTED_VALUE"""),"Nivell 16")</x:f>
      </x:c>
      <x:c r="C5136" s="1">
        <x:f>IFERROR(__xludf.DUMMYFUNCTION("""COMPUTED_VALUE"""),"2018")</x:f>
      </x:c>
    </x:row>
    <x:row r="5137" spans="1:10">
      <x:c r="A5137" s="1" t="s">
        <x:v>5146</x:v>
      </x:c>
      <x:c r="B5137" s="1">
        <x:f>IFERROR(__xludf.DUMMYFUNCTION("""COMPUTED_VALUE"""),"Nixon")</x:f>
      </x:c>
      <x:c r="C5137" s="1">
        <x:f>IFERROR(__xludf.DUMMYFUNCTION("""COMPUTED_VALUE"""),"1995")</x:f>
      </x:c>
    </x:row>
    <x:row r="5138" spans="1:10">
      <x:c r="A5138" s="1" t="s">
        <x:v>5147</x:v>
      </x:c>
      <x:c r="B5138" s="1">
        <x:f>IFERROR(__xludf.DUMMYFUNCTION("""COMPUTED_VALUE"""),"Ño")</x:f>
      </x:c>
      <x:c r="C5138" s="1">
        <x:f>IFERROR(__xludf.DUMMYFUNCTION("""COMPUTED_VALUE"""),"1984")</x:f>
      </x:c>
    </x:row>
    <x:row r="5139" spans="1:10">
      <x:c r="A5139" s="1" t="s">
        <x:v>5148</x:v>
      </x:c>
      <x:c r="B5139" s="1">
        <x:f>IFERROR(__xludf.DUMMYFUNCTION("""COMPUTED_VALUE"""),"No apaguis mai el llum")</x:f>
      </x:c>
      <x:c r="C5139" s="1">
        <x:f>IFERROR(__xludf.DUMMYFUNCTION("""COMPUTED_VALUE"""),"2016")</x:f>
      </x:c>
    </x:row>
    <x:row r="5140" spans="1:10">
      <x:c r="A5140" s="1" t="s">
        <x:v>5149</x:v>
      </x:c>
      <x:c r="B5140" s="1">
        <x:f>IFERROR(__xludf.DUMMYFUNCTION("""COMPUTED_VALUE"""),"No confiïs en ningú")</x:f>
      </x:c>
      <x:c r="C5140" s="1">
        <x:f>IFERROR(__xludf.DUMMYFUNCTION("""COMPUTED_VALUE"""),"2014")</x:f>
      </x:c>
    </x:row>
    <x:row r="5141" spans="1:10">
      <x:c r="A5141" s="1" t="s">
        <x:v>5150</x:v>
      </x:c>
      <x:c r="B5141" s="1">
        <x:f>IFERROR(__xludf.DUMMYFUNCTION("""COMPUTED_VALUE"""),"No culpis el karma del que et passa per gilipolles")</x:f>
      </x:c>
      <x:c r="C5141" s="1">
        <x:f>IFERROR(__xludf.DUMMYFUNCTION("""COMPUTED_VALUE"""),"2016")</x:f>
      </x:c>
    </x:row>
    <x:row r="5142" spans="1:10">
      <x:c r="A5142" s="1" t="s">
        <x:v>5151</x:v>
      </x:c>
      <x:c r="B5142" s="1">
        <x:f>IFERROR(__xludf.DUMMYFUNCTION("""COMPUTED_VALUE"""),"No diguis mai el seu nom")</x:f>
      </x:c>
      <x:c r="C5142" s="1">
        <x:f>IFERROR(__xludf.DUMMYFUNCTION("""COMPUTED_VALUE"""),"2017")</x:f>
      </x:c>
    </x:row>
    <x:row r="5143" spans="1:10">
      <x:c r="A5143" s="1" t="s">
        <x:v>5152</x:v>
      </x:c>
      <x:c r="B5143" s="1">
        <x:f>IFERROR(__xludf.DUMMYFUNCTION("""COMPUTED_VALUE"""),"No em demanis que et faci un petó perquè te'l faré")</x:f>
      </x:c>
      <x:c r="C5143" s="1">
        <x:f>IFERROR(__xludf.DUMMYFUNCTION("""COMPUTED_VALUE"""),"2008")</x:f>
      </x:c>
    </x:row>
    <x:row r="5144" spans="1:10">
      <x:c r="A5144" s="1" t="s">
        <x:v>5153</x:v>
      </x:c>
      <x:c r="B5144" s="1">
        <x:f>IFERROR(__xludf.DUMMYFUNCTION("""COMPUTED_VALUE"""),"No es pot guanyar sempre")</x:f>
      </x:c>
      <x:c r="C5144" s="1">
        <x:f>IFERROR(__xludf.DUMMYFUNCTION("""COMPUTED_VALUE"""),"1970")</x:f>
      </x:c>
    </x:row>
    <x:row r="5145" spans="1:10">
      <x:c r="A5145" s="1" t="s">
        <x:v>5154</x:v>
      </x:c>
      <x:c r="B5145" s="1">
        <x:f>IFERROR(__xludf.DUMMYFUNCTION("""COMPUTED_VALUE"""),"No és tan fàcil")</x:f>
      </x:c>
      <x:c r="C5145" s="1">
        <x:f>IFERROR(__xludf.DUMMYFUNCTION("""COMPUTED_VALUE"""),"2009")</x:f>
      </x:c>
    </x:row>
    <x:row r="5146" spans="1:10">
      <x:c r="A5146" s="1" t="s">
        <x:v>5155</x:v>
      </x:c>
      <x:c r="B5146" s="1">
        <x:f>IFERROR(__xludf.DUMMYFUNCTION("""COMPUTED_VALUE"""),"No Escape")</x:f>
      </x:c>
      <x:c r="C5146" s="1">
        <x:f>IFERROR(__xludf.DUMMYFUNCTION("""COMPUTED_VALUE"""),"2015")</x:f>
      </x:c>
    </x:row>
    <x:row r="5147" spans="1:10">
      <x:c r="A5147" s="1" t="s">
        <x:v>5156</x:v>
      </x:c>
      <x:c r="B5147" s="1">
        <x:f>IFERROR(__xludf.DUMMYFUNCTION("""COMPUTED_VALUE"""),"No m'enredis que m'ho crec")</x:f>
      </x:c>
      <x:c r="C5147" s="1">
        <x:f>IFERROR(__xludf.DUMMYFUNCTION("""COMPUTED_VALUE"""),"1991")</x:f>
      </x:c>
    </x:row>
    <x:row r="5148" spans="1:10">
      <x:c r="A5148" s="1" t="s">
        <x:v>5157</x:v>
      </x:c>
      <x:c r="B5148" s="1">
        <x:f>IFERROR(__xludf.DUMMYFUNCTION("""COMPUTED_VALUE"""),"No mataràs")</x:f>
      </x:c>
      <x:c r="C5148" s="1">
        <x:f>IFERROR(__xludf.DUMMYFUNCTION("""COMPUTED_VALUE"""),"2020")</x:f>
      </x:c>
    </x:row>
    <x:row r="5149" spans="1:10">
      <x:c r="A5149" s="1" t="s">
        <x:v>5158</x:v>
      </x:c>
      <x:c r="B5149" s="1">
        <x:f>IFERROR(__xludf.DUMMYFUNCTION("""COMPUTED_VALUE"""),"No molesteu")</x:f>
      </x:c>
      <x:c r="C5149" s="1">
        <x:f>IFERROR(__xludf.DUMMYFUNCTION("""COMPUTED_VALUE"""),"2014")</x:f>
      </x:c>
    </x:row>
    <x:row r="5150" spans="1:10">
      <x:c r="A5150" s="1" t="s">
        <x:v>5159</x:v>
      </x:c>
      <x:c r="B5150" s="1">
        <x:f>IFERROR(__xludf.DUMMYFUNCTION("""COMPUTED_VALUE"""),"No n'hi ha prou amb una vida")</x:f>
      </x:c>
      <x:c r="C5150" s="1">
        <x:f>IFERROR(__xludf.DUMMYFUNCTION("""COMPUTED_VALUE"""),"2007")</x:f>
      </x:c>
    </x:row>
    <x:row r="5151" spans="1:10">
      <x:c r="A5151" s="1" t="s">
        <x:v>5160</x:v>
      </x:c>
      <x:c r="B5151" s="1">
        <x:f>IFERROR(__xludf.DUMMYFUNCTION("""COMPUTED_VALUE"""),"No ploris Germaine")</x:f>
      </x:c>
      <x:c r="C5151" s="1">
        <x:f>IFERROR(__xludf.DUMMYFUNCTION("""COMPUTED_VALUE"""),"2000")</x:f>
      </x:c>
    </x:row>
    <x:row r="5152" spans="1:10">
      <x:c r="A5152" s="1" t="s">
        <x:v>5161</x:v>
      </x:c>
      <x:c r="B5152" s="1">
        <x:f>IFERROR(__xludf.DUMMYFUNCTION("""COMPUTED_VALUE"""),"No ploris, menuda")</x:f>
      </x:c>
      <x:c r="C5152" s="1">
        <x:f>IFERROR(__xludf.DUMMYFUNCTION("""COMPUTED_VALUE"""),"2017")</x:f>
      </x:c>
    </x:row>
    <x:row r="5153" spans="1:10">
      <x:c r="A5153" s="1" t="s">
        <x:v>5162</x:v>
      </x:c>
      <x:c r="B5153" s="1">
        <x:f>IFERROR(__xludf.DUMMYFUNCTION("""COMPUTED_VALUE"""),"No ploris, vola")</x:f>
      </x:c>
      <x:c r="C5153" s="1">
        <x:f>IFERROR(__xludf.DUMMYFUNCTION("""COMPUTED_VALUE"""),"2014")</x:f>
      </x:c>
    </x:row>
    <x:row r="5154" spans="1:10">
      <x:c r="A5154" s="1" t="s">
        <x:v>5163</x:v>
      </x:c>
      <x:c r="B5154" s="1">
        <x:f>IFERROR(__xludf.DUMMYFUNCTION("""COMPUTED_VALUE"""),"No s'accepten devolucions")</x:f>
      </x:c>
      <x:c r="C5154" s="1">
        <x:f>IFERROR(__xludf.DUMMYFUNCTION("""COMPUTED_VALUE"""),"2013")</x:f>
      </x:c>
    </x:row>
    <x:row r="5155" spans="1:10">
      <x:c r="A5155" s="1" t="s">
        <x:v>5164</x:v>
      </x:c>
      <x:c r="B5155" s="1">
        <x:f>IFERROR(__xludf.DUMMYFUNCTION("""COMPUTED_VALUE"""),"No s'apaguen les estreles")</x:f>
      </x:c>
      <x:c r="C5155" s="1">
        <x:f>IFERROR(__xludf.DUMMYFUNCTION("""COMPUTED_VALUE"""),"2023")</x:f>
      </x:c>
    </x:row>
    <x:row r="5156" spans="1:10">
      <x:c r="A5156" s="1" t="s">
        <x:v>5165</x:v>
      </x:c>
      <x:c r="B5156" s="1">
        <x:f>IFERROR(__xludf.DUMMYFUNCTION("""COMPUTED_VALUE"""),"No sé qui ets")</x:f>
      </x:c>
      <x:c r="C5156" s="1">
        <x:f>IFERROR(__xludf.DUMMYFUNCTION("""COMPUTED_VALUE"""),"2016")</x:f>
      </x:c>
    </x:row>
    <x:row r="5157" spans="1:10">
      <x:c r="A5157" s="1" t="s">
        <x:v>5166</x:v>
      </x:c>
      <x:c r="B5157" s="1">
        <x:f>IFERROR(__xludf.DUMMYFUNCTION("""COMPUTED_VALUE"""),"No soc el teu negre")</x:f>
      </x:c>
      <x:c r="C5157" s="1">
        <x:f>IFERROR(__xludf.DUMMYFUNCTION("""COMPUTED_VALUE"""),"2016")</x:f>
      </x:c>
    </x:row>
    <x:row r="5158" spans="1:10">
      <x:c r="A5158" s="1" t="s">
        <x:v>5167</x:v>
      </x:c>
      <x:c r="B5158" s="1">
        <x:f>IFERROR(__xludf.DUMMYFUNCTION("""COMPUTED_VALUE"""),"No t'amoïnis, soc aquí")</x:f>
      </x:c>
      <x:c r="C5158" s="1">
        <x:f>IFERROR(__xludf.DUMMYFUNCTION("""COMPUTED_VALUE"""),"2020")</x:f>
      </x:c>
    </x:row>
    <x:row r="5159" spans="1:10">
      <x:c r="A5159" s="1" t="s">
        <x:v>5168</x:v>
      </x:c>
      <x:c r="B5159" s="1">
        <x:f>IFERROR(__xludf.DUMMYFUNCTION("""COMPUTED_VALUE"""),"No vull fills")</x:f>
      </x:c>
      <x:c r="C5159" s="1">
        <x:f>IFERROR(__xludf.DUMMYFUNCTION("""COMPUTED_VALUE"""),"2016")</x:f>
      </x:c>
    </x:row>
    <x:row r="5160" spans="1:10">
      <x:c r="A5160" s="1" t="s">
        <x:v>5169</x:v>
      </x:c>
      <x:c r="B5160" s="1">
        <x:f>IFERROR(__xludf.DUMMYFUNCTION("""COMPUTED_VALUE"""),"Noah")</x:f>
      </x:c>
      <x:c r="C5160" s="1">
        <x:f>IFERROR(__xludf.DUMMYFUNCTION("""COMPUTED_VALUE"""),"2024")</x:f>
      </x:c>
    </x:row>
    <x:row r="5161" spans="1:10">
      <x:c r="A5161" s="1" t="s">
        <x:v>5170</x:v>
      </x:c>
      <x:c r="B5161" s="1">
        <x:f>IFERROR(__xludf.DUMMYFUNCTION("""COMPUTED_VALUE"""),"Noble")</x:f>
      </x:c>
      <x:c r="C5161" s="1">
        <x:f>IFERROR(__xludf.DUMMYFUNCTION("""COMPUTED_VALUE"""),"2014")</x:f>
      </x:c>
    </x:row>
    <x:row r="5162" spans="1:10">
      <x:c r="A5162" s="1" t="s">
        <x:v>5171</x:v>
      </x:c>
      <x:c r="B5162" s="1">
        <x:f>IFERROR(__xludf.DUMMYFUNCTION("""COMPUTED_VALUE"""),"Noces Reials")</x:f>
      </x:c>
      <x:c r="C5162" s="1">
        <x:f>IFERROR(__xludf.DUMMYFUNCTION("""COMPUTED_VALUE"""),"1951")</x:f>
      </x:c>
    </x:row>
    <x:row r="5163" spans="1:10">
      <x:c r="A5163" s="1" t="s">
        <x:v>5172</x:v>
      </x:c>
      <x:c r="B5163" s="1">
        <x:f>IFERROR(__xludf.DUMMYFUNCTION("""COMPUTED_VALUE"""),"Nocturna, una aventura màgica")</x:f>
      </x:c>
      <x:c r="C5163" s="1">
        <x:f>IFERROR(__xludf.DUMMYFUNCTION("""COMPUTED_VALUE"""),"2007")</x:f>
      </x:c>
    </x:row>
    <x:row r="5164" spans="1:10">
      <x:c r="A5164" s="1" t="s">
        <x:v>5173</x:v>
      </x:c>
      <x:c r="B5164" s="1">
        <x:f>IFERROR(__xludf.DUMMYFUNCTION("""COMPUTED_VALUE"""),"Nòmades del vent")</x:f>
      </x:c>
      <x:c r="C5164" s="1">
        <x:f>IFERROR(__xludf.DUMMYFUNCTION("""COMPUTED_VALUE"""),"2001")</x:f>
      </x:c>
    </x:row>
    <x:row r="5165" spans="1:10">
      <x:c r="A5165" s="1" t="s">
        <x:v>5174</x:v>
      </x:c>
      <x:c r="B5165" s="1">
        <x:f>IFERROR(__xludf.DUMMYFUNCTION("""COMPUTED_VALUE"""),"Nomadland")</x:f>
      </x:c>
      <x:c r="C5165" s="1">
        <x:f>IFERROR(__xludf.DUMMYFUNCTION("""COMPUTED_VALUE"""),"2020")</x:f>
      </x:c>
    </x:row>
    <x:row r="5166" spans="1:10">
      <x:c r="A5166" s="1" t="s">
        <x:v>5175</x:v>
      </x:c>
      <x:c r="B5166" s="1">
        <x:f>IFERROR(__xludf.DUMMYFUNCTION("""COMPUTED_VALUE"""),"Només amb vosaltres")</x:f>
      </x:c>
      <x:c r="C5166" s="1">
        <x:f>IFERROR(__xludf.DUMMYFUNCTION("""COMPUTED_VALUE"""),"2013")</x:f>
      </x:c>
    </x:row>
    <x:row r="5167" spans="1:10">
      <x:c r="A5167" s="1" t="s">
        <x:v>5176</x:v>
      </x:c>
      <x:c r="B5167" s="1">
        <x:f>IFERROR(__xludf.DUMMYFUNCTION("""COMPUTED_VALUE"""),"Només ells")</x:f>
      </x:c>
      <x:c r="C5167" s="1">
        <x:f>IFERROR(__xludf.DUMMYFUNCTION("""COMPUTED_VALUE"""),"2009")</x:f>
      </x:c>
    </x:row>
    <x:row r="5168" spans="1:10">
      <x:c r="A5168" s="1" t="s">
        <x:v>5177</x:v>
      </x:c>
      <x:c r="B5168" s="1">
        <x:f>IFERROR(__xludf.DUMMYFUNCTION("""COMPUTED_VALUE"""),"Només es viu dues vegades")</x:f>
      </x:c>
      <x:c r="C5168" s="1">
        <x:f>IFERROR(__xludf.DUMMYFUNCTION("""COMPUTED_VALUE"""),"1967")</x:f>
      </x:c>
    </x:row>
    <x:row r="5169" spans="1:10">
      <x:c r="A5169" s="1" t="s">
        <x:v>5178</x:v>
      </x:c>
      <x:c r="B5169" s="1">
        <x:f>IFERROR(__xludf.DUMMYFUNCTION("""COMPUTED_VALUE"""),"Només les bèsties")</x:f>
      </x:c>
      <x:c r="C5169" s="1">
        <x:f>IFERROR(__xludf.DUMMYFUNCTION("""COMPUTED_VALUE"""),"2019")</x:f>
      </x:c>
    </x:row>
    <x:row r="5170" spans="1:10">
      <x:c r="A5170" s="1" t="s">
        <x:v>5179</x:v>
      </x:c>
      <x:c r="B5170" s="1">
        <x:f>IFERROR(__xludf.DUMMYFUNCTION("""COMPUTED_VALUE"""),"Només per als teus ulls")</x:f>
      </x:c>
      <x:c r="C5170" s="1">
        <x:f>IFERROR(__xludf.DUMMYFUNCTION("""COMPUTED_VALUE"""),"1981")</x:f>
      </x:c>
    </x:row>
    <x:row r="5171" spans="1:10">
      <x:c r="A5171" s="1" t="s">
        <x:v>5180</x:v>
      </x:c>
      <x:c r="B5171" s="1">
        <x:f>IFERROR(__xludf.DUMMYFUNCTION("""COMPUTED_VALUE"""),"Només tú")</x:f>
      </x:c>
      <x:c r="C5171" s="1">
        <x:f>IFERROR(__xludf.DUMMYFUNCTION("""COMPUTED_VALUE"""),"1994")</x:f>
      </x:c>
    </x:row>
    <x:row r="5172" spans="1:10">
      <x:c r="A5172" s="1" t="s">
        <x:v>5181</x:v>
      </x:c>
      <x:c r="B5172" s="1">
        <x:f>IFERROR(__xludf.DUMMYFUNCTION("""COMPUTED_VALUE"""),"Noms en marbre")</x:f>
      </x:c>
      <x:c r="C5172" s="1">
        <x:f>IFERROR(__xludf.DUMMYFUNCTION("""COMPUTED_VALUE"""),"2002")</x:f>
      </x:c>
    </x:row>
    <x:row r="5173" spans="1:10">
      <x:c r="A5173" s="1" t="s">
        <x:v>5182</x:v>
      </x:c>
      <x:c r="B5173" s="1">
        <x:f>IFERROR(__xludf.DUMMYFUNCTION("""COMPUTED_VALUE"""),"Non-Stop")</x:f>
      </x:c>
      <x:c r="C5173" s="1">
        <x:f>IFERROR(__xludf.DUMMYFUNCTION("""COMPUTED_VALUE"""),"2014")</x:f>
      </x:c>
    </x:row>
    <x:row r="5174" spans="1:10">
      <x:c r="A5174" s="1" t="s">
        <x:v>5183</x:v>
      </x:c>
      <x:c r="B5174" s="1">
        <x:f>IFERROR(__xludf.DUMMYFUNCTION("""COMPUTED_VALUE"""),"Nordil")</x:f>
      </x:c>
      <x:c r="C5174" s="1">
        <x:f>IFERROR(__xludf.DUMMYFUNCTION("""COMPUTED_VALUE"""),"2005")</x:f>
      </x:c>
    </x:row>
    <x:row r="5175" spans="1:10">
      <x:c r="A5175" s="1" t="s">
        <x:v>5184</x:v>
      </x:c>
      <x:c r="B5175" s="1">
        <x:f>IFERROR(__xludf.DUMMYFUNCTION("""COMPUTED_VALUE"""),"Norman. L’home que ho aconseguia tot")</x:f>
      </x:c>
      <x:c r="C5175" s="1">
        <x:f>IFERROR(__xludf.DUMMYFUNCTION("""COMPUTED_VALUE"""),"2016")</x:f>
      </x:c>
    </x:row>
    <x:row r="5176" spans="1:10">
      <x:c r="A5176" s="1" t="s">
        <x:v>5185</x:v>
      </x:c>
      <x:c r="B5176" s="1">
        <x:f>IFERROR(__xludf.DUMMYFUNCTION("""COMPUTED_VALUE"""),"Nosaltres hi érem!")</x:f>
      </x:c>
      <x:c r="C5176" s="1">
        <x:f>IFERROR(__xludf.DUMMYFUNCTION("""COMPUTED_VALUE"""),"2018")</x:f>
      </x:c>
    </x:row>
    <x:row r="5177" spans="1:10">
      <x:c r="A5177" s="1" t="s">
        <x:v>5186</x:v>
      </x:c>
      <x:c r="B5177" s="1">
        <x:f>IFERROR(__xludf.DUMMYFUNCTION("""COMPUTED_VALUE"""),"Nosaltres no ens matarem amb pistoles")</x:f>
      </x:c>
      <x:c r="C5177" s="1">
        <x:f>IFERROR(__xludf.DUMMYFUNCTION("""COMPUTED_VALUE"""),"2022")</x:f>
      </x:c>
    </x:row>
    <x:row r="5178" spans="1:10">
      <x:c r="A5178" s="1" t="s">
        <x:v>5187</x:v>
      </x:c>
      <x:c r="B5178" s="1">
        <x:f>IFERROR(__xludf.DUMMYFUNCTION("""COMPUTED_VALUE"""),"Nosaltres, les dones iranianes")</x:f>
      </x:c>
      <x:c r="C5178" s="1">
        <x:f>IFERROR(__xludf.DUMMYFUNCTION("""COMPUTED_VALUE"""),"2024")</x:f>
      </x:c>
    </x:row>
    <x:row r="5179" spans="1:10">
      <x:c r="A5179" s="1" t="s">
        <x:v>5188</x:v>
      </x:c>
      <x:c r="B5179" s="1">
        <x:f>IFERROR(__xludf.DUMMYFUNCTION("""COMPUTED_VALUE"""),"Nosferatu [VO]")</x:f>
      </x:c>
      <x:c r="C5179" s="1">
        <x:f>IFERROR(__xludf.DUMMYFUNCTION("""COMPUTED_VALUE"""),"2024")</x:f>
      </x:c>
    </x:row>
    <x:row r="5180" spans="1:10">
      <x:c r="A5180" s="1" t="s">
        <x:v>5189</x:v>
      </x:c>
      <x:c r="B5180" s="1">
        <x:f>IFERROR(__xludf.DUMMYFUNCTION("""COMPUTED_VALUE"""),"Nostradamus")</x:f>
      </x:c>
      <x:c r="C5180" s="1">
        <x:f>IFERROR(__xludf.DUMMYFUNCTION("""COMPUTED_VALUE"""),"1994")</x:f>
      </x:c>
    </x:row>
    <x:row r="5181" spans="1:10">
      <x:c r="A5181" s="1" t="s">
        <x:v>5190</x:v>
      </x:c>
      <x:c r="B5181" s="1">
        <x:f>IFERROR(__xludf.DUMMYFUNCTION("""COMPUTED_VALUE"""),"Nothing Personal")</x:f>
      </x:c>
      <x:c r="C5181" s="1">
        <x:f>IFERROR(__xludf.DUMMYFUNCTION("""COMPUTED_VALUE"""),"2009")</x:f>
      </x:c>
    </x:row>
    <x:row r="5182" spans="1:10">
      <x:c r="A5182" s="1" t="s">
        <x:v>5191</x:v>
      </x:c>
      <x:c r="B5182" s="1">
        <x:f>IFERROR(__xludf.DUMMYFUNCTION("""COMPUTED_VALUE"""),"Notorious [VO]")</x:f>
      </x:c>
      <x:c r="C5182" s="1">
        <x:f>IFERROR(__xludf.DUMMYFUNCTION("""COMPUTED_VALUE"""),"1946")</x:f>
      </x:c>
    </x:row>
    <x:row r="5183" spans="1:10">
      <x:c r="A5183" s="1" t="s">
        <x:v>5192</x:v>
      </x:c>
      <x:c r="B5183" s="1">
        <x:f>IFERROR(__xludf.DUMMYFUNCTION("""COMPUTED_VALUE"""),"Nou Set Dos")</x:f>
      </x:c>
      <x:c r="C5183" s="1">
        <x:f>IFERROR(__xludf.DUMMYFUNCTION("""COMPUTED_VALUE"""),"2020")</x:f>
      </x:c>
    </x:row>
    <x:row r="5184" spans="1:10">
      <x:c r="A5184" s="1" t="s">
        <x:v>5193</x:v>
      </x:c>
      <x:c r="B5184" s="1">
        <x:f>IFERROR(__xludf.DUMMYFUNCTION("""COMPUTED_VALUE"""),"Nou vides")</x:f>
      </x:c>
      <x:c r="C5184" s="1">
        <x:f>IFERROR(__xludf.DUMMYFUNCTION("""COMPUTED_VALUE"""),"2005")</x:f>
      </x:c>
    </x:row>
    <x:row r="5185" spans="1:10">
      <x:c r="A5185" s="1" t="s">
        <x:v>5194</x:v>
      </x:c>
      <x:c r="B5185" s="1">
        <x:f>IFERROR(__xludf.DUMMYFUNCTION("""COMPUTED_VALUE"""),"Nova França")</x:f>
      </x:c>
      <x:c r="C5185" s="1">
        <x:f>IFERROR(__xludf.DUMMYFUNCTION("""COMPUTED_VALUE"""),"2004")</x:f>
      </x:c>
    </x:row>
    <x:row r="5186" spans="1:10">
      <x:c r="A5186" s="1" t="s">
        <x:v>5195</x:v>
      </x:c>
      <x:c r="B5186" s="1">
        <x:f>IFERROR(__xludf.DUMMYFUNCTION("""COMPUTED_VALUE"""),"Nova vida a Nova York")</x:f>
      </x:c>
      <x:c r="C5186" s="1">
        <x:f>IFERROR(__xludf.DUMMYFUNCTION("""COMPUTED_VALUE"""),"2013")</x:f>
      </x:c>
    </x:row>
    <x:row r="5187" spans="1:10">
      <x:c r="A5187" s="1" t="s">
        <x:v>5196</x:v>
      </x:c>
      <x:c r="B5187" s="1">
        <x:f>IFERROR(__xludf.DUMMYFUNCTION("""COMPUTED_VALUE"""),"Nova York any 2012")</x:f>
      </x:c>
      <x:c r="C5187" s="1">
        <x:f>IFERROR(__xludf.DUMMYFUNCTION("""COMPUTED_VALUE"""),"1975")</x:f>
      </x:c>
    </x:row>
    <x:row r="5188" spans="1:10">
      <x:c r="A5188" s="1" t="s">
        <x:v>5197</x:v>
      </x:c>
      <x:c r="B5188" s="1">
        <x:f>IFERROR(__xludf.DUMMYFUNCTION("""COMPUTED_VALUE"""),"Novel·la criminal")</x:f>
      </x:c>
      <x:c r="C5188" s="1">
        <x:f>IFERROR(__xludf.DUMMYFUNCTION("""COMPUTED_VALUE"""),"2005")</x:f>
      </x:c>
    </x:row>
    <x:row r="5189" spans="1:10">
      <x:c r="A5189" s="1" t="s">
        <x:v>5198</x:v>
      </x:c>
      <x:c r="B5189" s="1">
        <x:f>IFERROR(__xludf.DUMMYFUNCTION("""COMPUTED_VALUE"""),"Novembre")</x:f>
      </x:c>
      <x:c r="C5189" s="1">
        <x:f>IFERROR(__xludf.DUMMYFUNCTION("""COMPUTED_VALUE"""),"2022")</x:f>
      </x:c>
    </x:row>
    <x:row r="5190" spans="1:10">
      <x:c r="A5190" s="1" t="s">
        <x:v>5199</x:v>
      </x:c>
      <x:c r="B5190" s="1">
        <x:f>IFERROR(__xludf.DUMMYFUNCTION("""COMPUTED_VALUE"""),"Novembre dolç")</x:f>
      </x:c>
      <x:c r="C5190" s="1">
        <x:f>IFERROR(__xludf.DUMMYFUNCTION("""COMPUTED_VALUE"""),"2001")</x:f>
      </x:c>
    </x:row>
    <x:row r="5191" spans="1:10">
      <x:c r="A5191" s="1" t="s">
        <x:v>5200</x:v>
      </x:c>
      <x:c r="B5191" s="1">
        <x:f>IFERROR(__xludf.DUMMYFUNCTION("""COMPUTED_VALUE"""),"Nowhere Boy")</x:f>
      </x:c>
      <x:c r="C5191" s="1">
        <x:f>IFERROR(__xludf.DUMMYFUNCTION("""COMPUTED_VALUE"""),"2009")</x:f>
      </x:c>
    </x:row>
    <x:row r="5192" spans="1:10">
      <x:c r="A5192" s="1" t="s">
        <x:v>5201</x:v>
      </x:c>
      <x:c r="B5192" s="1">
        <x:f>IFERROR(__xludf.DUMMYFUNCTION("""COMPUTED_VALUE"""),"Nuremberg")</x:f>
      </x:c>
      <x:c r="C5192" s="1">
        <x:f>IFERROR(__xludf.DUMMYFUNCTION("""COMPUTED_VALUE"""),"2025")</x:f>
      </x:c>
    </x:row>
    <x:row r="5193" spans="1:10">
      <x:c r="A5193" s="1" t="s">
        <x:v>5202</x:v>
      </x:c>
      <x:c r="B5193" s="1">
        <x:f>IFERROR(__xludf.DUMMYFUNCTION("""COMPUTED_VALUE"""),"Nusos")</x:f>
      </x:c>
      <x:c r="C5193" s="1">
        <x:f>IFERROR(__xludf.DUMMYFUNCTION("""COMPUTED_VALUE"""),"2003")</x:f>
      </x:c>
    </x:row>
    <x:row r="5194" spans="1:10">
      <x:c r="A5194" s="1" t="s">
        <x:v>5203</x:v>
      </x:c>
      <x:c r="B5194" s="1">
        <x:f>IFERROR(__xludf.DUMMYFUNCTION("""COMPUTED_VALUE"""),"Núvia en fuga")</x:f>
      </x:c>
      <x:c r="C5194" s="1">
        <x:f>IFERROR(__xludf.DUMMYFUNCTION("""COMPUTED_VALUE"""),"1999")</x:f>
      </x:c>
    </x:row>
    <x:row r="5195" spans="1:10">
      <x:c r="A5195" s="1" t="s">
        <x:v>5204</x:v>
      </x:c>
      <x:c r="B5195" s="1">
        <x:f>IFERROR(__xludf.DUMMYFUNCTION("""COMPUTED_VALUE"""),"Nymphomaniac: Vol. I")</x:f>
      </x:c>
      <x:c r="C5195" s="1">
        <x:f>IFERROR(__xludf.DUMMYFUNCTION("""COMPUTED_VALUE"""),"2013")</x:f>
      </x:c>
    </x:row>
    <x:row r="5196" spans="1:10">
      <x:c r="A5196" s="1" t="s">
        <x:v>5205</x:v>
      </x:c>
      <x:c r="B5196" s="1">
        <x:f>IFERROR(__xludf.DUMMYFUNCTION("""COMPUTED_VALUE"""),"Nymphomaniac: Vol. II")</x:f>
      </x:c>
      <x:c r="C5196" s="1">
        <x:f>IFERROR(__xludf.DUMMYFUNCTION("""COMPUTED_VALUE"""),"2013")</x:f>
      </x:c>
    </x:row>
    <x:row r="5197" spans="1:10">
      <x:c r="A5197" s="1" t="s">
        <x:v>5206</x:v>
      </x:c>
      <x:c r="B5197" s="1">
        <x:f>IFERROR(__xludf.DUMMYFUNCTION("""COMPUTED_VALUE"""),"O ara o mai")</x:f>
      </x:c>
      <x:c r="C5197" s="1">
        <x:f>IFERROR(__xludf.DUMMYFUNCTION("""COMPUTED_VALUE"""),"2007")</x:f>
      </x:c>
    </x:row>
    <x:row r="5198" spans="1:10">
      <x:c r="A5198" s="1" t="s">
        <x:v>5207</x:v>
      </x:c>
      <x:c r="B5198" s="1">
        <x:f>IFERROR(__xludf.DUMMYFUNCTION("""COMPUTED_VALUE"""),"Obama, un somni americà")</x:f>
      </x:c>
      <x:c r="C5198" s="1">
        <x:f>IFERROR(__xludf.DUMMYFUNCTION("""COMPUTED_VALUE"""),"2008")</x:f>
      </x:c>
    </x:row>
    <x:row r="5199" spans="1:10">
      <x:c r="A5199" s="1" t="s">
        <x:v>5208</x:v>
      </x:c>
      <x:c r="B5199" s="1">
        <x:f>IFERROR(__xludf.DUMMYFUNCTION("""COMPUTED_VALUE"""),"Obert fins la matinada")</x:f>
      </x:c>
      <x:c r="C5199" s="1">
        <x:f>IFERROR(__xludf.DUMMYFUNCTION("""COMPUTED_VALUE"""),"1996")</x:f>
      </x:c>
    </x:row>
    <x:row r="5200" spans="1:10">
      <x:c r="A5200" s="1" t="s">
        <x:v>5209</x:v>
      </x:c>
      <x:c r="B5200" s="1">
        <x:f>IFERROR(__xludf.DUMMYFUNCTION("""COMPUTED_VALUE"""),"Objecte de seducció")</x:f>
      </x:c>
      <x:c r="C5200" s="1">
        <x:f>IFERROR(__xludf.DUMMYFUNCTION("""COMPUTED_VALUE"""),"1991")</x:f>
      </x:c>
    </x:row>
    <x:row r="5201" spans="1:10">
      <x:c r="A5201" s="1" t="s">
        <x:v>5210</x:v>
      </x:c>
      <x:c r="B5201" s="1">
        <x:f>IFERROR(__xludf.DUMMYFUNCTION("""COMPUTED_VALUE"""),"Objectiu Terrum")</x:f>
      </x:c>
      <x:c r="C5201" s="1">
        <x:f>IFERROR(__xludf.DUMMYFUNCTION("""COMPUTED_VALUE"""),"2007")</x:f>
      </x:c>
    </x:row>
    <x:row r="5202" spans="1:10">
      <x:c r="A5202" s="1" t="s">
        <x:v>5211</x:v>
      </x:c>
      <x:c r="B5202" s="1">
        <x:f>IFERROR(__xludf.DUMMYFUNCTION("""COMPUTED_VALUE"""),"Objectiu: La Casa Blanca")</x:f>
      </x:c>
      <x:c r="C5202" s="1">
        <x:f>IFERROR(__xludf.DUMMYFUNCTION("""COMPUTED_VALUE"""),"2013")</x:f>
      </x:c>
    </x:row>
    <x:row r="5203" spans="1:10">
      <x:c r="A5203" s="1" t="s">
        <x:v>5212</x:v>
      </x:c>
      <x:c r="B5203" s="1">
        <x:f>IFERROR(__xludf.DUMMYFUNCTION("""COMPUTED_VALUE"""),"Objectiu: la Lluna")</x:f>
      </x:c>
      <x:c r="C5203" s="1">
        <x:f>IFERROR(__xludf.DUMMYFUNCTION("""COMPUTED_VALUE"""),"1991")</x:f>
      </x:c>
    </x:row>
    <x:row r="5204" spans="1:10">
      <x:c r="A5204" s="1" t="s">
        <x:v>5213</x:v>
      </x:c>
      <x:c r="B5204" s="1">
        <x:f>IFERROR(__xludf.DUMMYFUNCTION("""COMPUTED_VALUE"""),"Objectiu: Londres")</x:f>
      </x:c>
      <x:c r="C5204" s="1">
        <x:f>IFERROR(__xludf.DUMMYFUNCTION("""COMPUTED_VALUE"""),"2016")</x:f>
      </x:c>
    </x:row>
    <x:row r="5205" spans="1:10">
      <x:c r="A5205" s="1" t="s">
        <x:v>5214</x:v>
      </x:c>
      <x:c r="B5205" s="1">
        <x:f>IFERROR(__xludf.DUMMYFUNCTION("""COMPUTED_VALUE"""),"Oblida't de mi")</x:f>
      </x:c>
      <x:c r="C5205" s="1">
        <x:f>IFERROR(__xludf.DUMMYFUNCTION("""COMPUTED_VALUE"""),"2004")</x:f>
      </x:c>
    </x:row>
    <x:row r="5206" spans="1:10">
      <x:c r="A5206" s="1" t="s">
        <x:v>5215</x:v>
      </x:c>
      <x:c r="B5206" s="1">
        <x:f>IFERROR(__xludf.DUMMYFUNCTION("""COMPUTED_VALUE"""),"Oblidats pel temps")</x:f>
      </x:c>
      <x:c r="C5206" s="1">
        <x:f>IFERROR(__xludf.DUMMYFUNCTION("""COMPUTED_VALUE"""),"1977")</x:f>
      </x:c>
    </x:row>
    <x:row r="5207" spans="1:10">
      <x:c r="A5207" s="1" t="s">
        <x:v>5216</x:v>
      </x:c>
      <x:c r="B5207" s="1">
        <x:f>IFERROR(__xludf.DUMMYFUNCTION("""COMPUTED_VALUE"""),"Obscura obsessió")</x:f>
      </x:c>
      <x:c r="C5207" s="1">
        <x:f>IFERROR(__xludf.DUMMYFUNCTION("""COMPUTED_VALUE"""),"2023")</x:f>
      </x:c>
    </x:row>
    <x:row r="5208" spans="1:10">
      <x:c r="A5208" s="1" t="s">
        <x:v>5217</x:v>
      </x:c>
      <x:c r="B5208" s="1">
        <x:f>IFERROR(__xludf.DUMMYFUNCTION("""COMPUTED_VALUE"""),"Obsessió")</x:f>
      </x:c>
      <x:c r="C5208" s="1">
        <x:f>IFERROR(__xludf.DUMMYFUNCTION("""COMPUTED_VALUE"""),"1976")</x:f>
      </x:c>
    </x:row>
    <x:row r="5209" spans="1:10">
      <x:c r="A5209" s="1" t="s">
        <x:v>5218</x:v>
      </x:c>
      <x:c r="B5209" s="1">
        <x:f>IFERROR(__xludf.DUMMYFUNCTION("""COMPUTED_VALUE"""),"Obsessió")</x:f>
      </x:c>
      <x:c r="C5209" s="1">
        <x:f>IFERROR(__xludf.DUMMYFUNCTION("""COMPUTED_VALUE"""),"2011")</x:f>
      </x:c>
    </x:row>
    <x:row r="5210" spans="1:10">
      <x:c r="A5210" s="1" t="s">
        <x:v>5219</x:v>
      </x:c>
      <x:c r="B5210" s="1">
        <x:f>IFERROR(__xludf.DUMMYFUNCTION("""COMPUTED_VALUE"""),"Obsessió maternal")</x:f>
      </x:c>
      <x:c r="C5210" s="1">
        <x:f>IFERROR(__xludf.DUMMYFUNCTION("""COMPUTED_VALUE"""),"2016")</x:f>
      </x:c>
    </x:row>
    <x:row r="5211" spans="1:10">
      <x:c r="A5211" s="1" t="s">
        <x:v>5220</x:v>
      </x:c>
      <x:c r="B5211" s="1">
        <x:f>IFERROR(__xludf.DUMMYFUNCTION("""COMPUTED_VALUE"""),"Obsessió no escrita")</x:f>
      </x:c>
      <x:c r="C5211" s="1">
        <x:f>IFERROR(__xludf.DUMMYFUNCTION("""COMPUTED_VALUE"""),"2017")</x:f>
      </x:c>
    </x:row>
    <x:row r="5212" spans="1:10">
      <x:c r="A5212" s="1" t="s">
        <x:v>5221</x:v>
      </x:c>
      <x:c r="B5212" s="1">
        <x:f>IFERROR(__xludf.DUMMYFUNCTION("""COMPUTED_VALUE"""),"Obsessionada")</x:f>
      </x:c>
      <x:c r="C5212" s="1">
        <x:f>IFERROR(__xludf.DUMMYFUNCTION("""COMPUTED_VALUE"""),"2009")</x:f>
      </x:c>
    </x:row>
    <x:row r="5213" spans="1:10">
      <x:c r="A5213" s="1" t="s">
        <x:v>5222</x:v>
      </x:c>
      <x:c r="B5213" s="1">
        <x:f>IFERROR(__xludf.DUMMYFUNCTION("""COMPUTED_VALUE"""),"Ocean's Eleven")</x:f>
      </x:c>
      <x:c r="C5213" s="1">
        <x:f>IFERROR(__xludf.DUMMYFUNCTION("""COMPUTED_VALUE"""),"2001")</x:f>
      </x:c>
    </x:row>
    <x:row r="5214" spans="1:10">
      <x:c r="A5214" s="1" t="s">
        <x:v>5223</x:v>
      </x:c>
      <x:c r="B5214" s="1">
        <x:f>IFERROR(__xludf.DUMMYFUNCTION("""COMPUTED_VALUE"""),"Ocean's Thirteen")</x:f>
      </x:c>
      <x:c r="C5214" s="1">
        <x:f>IFERROR(__xludf.DUMMYFUNCTION("""COMPUTED_VALUE"""),"2007")</x:f>
      </x:c>
    </x:row>
    <x:row r="5215" spans="1:10">
      <x:c r="A5215" s="1" t="s">
        <x:v>5224</x:v>
      </x:c>
      <x:c r="B5215" s="1">
        <x:f>IFERROR(__xludf.DUMMYFUNCTION("""COMPUTED_VALUE"""),"Ocean's Twelve")</x:f>
      </x:c>
      <x:c r="C5215" s="1">
        <x:f>IFERROR(__xludf.DUMMYFUNCTION("""COMPUTED_VALUE"""),"2004")</x:f>
      </x:c>
    </x:row>
    <x:row r="5216" spans="1:10">
      <x:c r="A5216" s="1" t="s">
        <x:v>5225</x:v>
      </x:c>
      <x:c r="B5216" s="1">
        <x:f>IFERROR(__xludf.DUMMYFUNCTION("""COMPUTED_VALUE"""),"Oceans")</x:f>
      </x:c>
      <x:c r="C5216" s="1">
        <x:f>IFERROR(__xludf.DUMMYFUNCTION("""COMPUTED_VALUE"""),"2009")</x:f>
      </x:c>
    </x:row>
    <x:row r="5217" spans="1:10">
      <x:c r="A5217" s="1" t="s">
        <x:v>5226</x:v>
      </x:c>
      <x:c r="B5217" s="1">
        <x:f>IFERROR(__xludf.DUMMYFUNCTION("""COMPUTED_VALUE"""),"Ocell de presa")</x:f>
      </x:c>
      <x:c r="C5217" s="1">
        <x:f>IFERROR(__xludf.DUMMYFUNCTION("""COMPUTED_VALUE"""),"1995")</x:f>
      </x:c>
    </x:row>
    <x:row r="5218" spans="1:10">
      <x:c r="A5218" s="1" t="s">
        <x:v>5227</x:v>
      </x:c>
      <x:c r="B5218" s="1">
        <x:f>IFERROR(__xludf.DUMMYFUNCTION("""COMPUTED_VALUE"""),"Ocell del paradís")</x:f>
      </x:c>
      <x:c r="C5218" s="1">
        <x:f>IFERROR(__xludf.DUMMYFUNCTION("""COMPUTED_VALUE"""),"1932")</x:f>
      </x:c>
    </x:row>
    <x:row r="5219" spans="1:10">
      <x:c r="A5219" s="1" t="s">
        <x:v>5228</x:v>
      </x:c>
      <x:c r="B5219" s="1">
        <x:f>IFERROR(__xludf.DUMMYFUNCTION("""COMPUTED_VALUE"""),"Ocells")</x:f>
      </x:c>
      <x:c r="C5219" s="1">
        <x:f>IFERROR(__xludf.DUMMYFUNCTION("""COMPUTED_VALUE"""),"2024")</x:f>
      </x:c>
    </x:row>
    <x:row r="5220" spans="1:10">
      <x:c r="A5220" s="1" t="s">
        <x:v>5229</x:v>
      </x:c>
      <x:c r="B5220" s="1">
        <x:f>IFERROR(__xludf.DUMMYFUNCTION("""COMPUTED_VALUE"""),"Ocells de pas")</x:f>
      </x:c>
      <x:c r="C5220" s="1">
        <x:f>IFERROR(__xludf.DUMMYFUNCTION("""COMPUTED_VALUE"""),"2015")</x:f>
      </x:c>
    </x:row>
    <x:row r="5221" spans="1:10">
      <x:c r="A5221" s="1" t="s">
        <x:v>5230</x:v>
      </x:c>
      <x:c r="B5221" s="1">
        <x:f>IFERROR(__xludf.DUMMYFUNCTION("""COMPUTED_VALUE"""),"Octopussy")</x:f>
      </x:c>
      <x:c r="C5221" s="1">
        <x:f>IFERROR(__xludf.DUMMYFUNCTION("""COMPUTED_VALUE"""),"1983")</x:f>
      </x:c>
    </x:row>
    <x:row r="5222" spans="1:10">
      <x:c r="A5222" s="1" t="s">
        <x:v>5231</x:v>
      </x:c>
      <x:c r="B5222" s="1">
        <x:f>IFERROR(__xludf.DUMMYFUNCTION("""COMPUTED_VALUE"""),"Odessa")</x:f>
      </x:c>
      <x:c r="C5222" s="1">
        <x:f>IFERROR(__xludf.DUMMYFUNCTION("""COMPUTED_VALUE"""),"1974")</x:f>
      </x:c>
    </x:row>
    <x:row r="5223" spans="1:10">
      <x:c r="A5223" s="1" t="s">
        <x:v>5232</x:v>
      </x:c>
      <x:c r="B5223" s="1">
        <x:f>IFERROR(__xludf.DUMMYFUNCTION("""COMPUTED_VALUE"""),"Odette Toulemonde")</x:f>
      </x:c>
      <x:c r="C5223" s="1">
        <x:f>IFERROR(__xludf.DUMMYFUNCTION("""COMPUTED_VALUE"""),"2006")</x:f>
      </x:c>
    </x:row>
    <x:row r="5224" spans="1:10">
      <x:c r="A5224" s="1" t="s">
        <x:v>5233</x:v>
      </x:c>
      <x:c r="B5224" s="1">
        <x:f>IFERROR(__xludf.DUMMYFUNCTION("""COMPUTED_VALUE"""),"Oficial i cavaller")</x:f>
      </x:c>
      <x:c r="C5224" s="1">
        <x:f>IFERROR(__xludf.DUMMYFUNCTION("""COMPUTED_VALUE"""),"1982")</x:f>
      </x:c>
    </x:row>
    <x:row r="5225" spans="1:10">
      <x:c r="A5225" s="1" t="s">
        <x:v>5234</x:v>
      </x:c>
      <x:c r="B5225" s="1">
        <x:f>IFERROR(__xludf.DUMMYFUNCTION("""COMPUTED_VALUE"""),"Oh Jerusalem")</x:f>
      </x:c>
      <x:c r="C5225" s="1">
        <x:f>IFERROR(__xludf.DUMMYFUNCTION("""COMPUTED_VALUE"""),"2006")</x:f>
      </x:c>
    </x:row>
    <x:row r="5226" spans="1:10">
      <x:c r="A5226" s="1" t="s">
        <x:v>5235</x:v>
      </x:c>
      <x:c r="B5226" s="1">
        <x:f>IFERROR(__xludf.DUMMYFUNCTION("""COMPUTED_VALUE"""),"Oh, quina joia!")</x:f>
      </x:c>
      <x:c r="C5226" s="1">
        <x:f>IFERROR(__xludf.DUMMYFUNCTION("""COMPUTED_VALUE"""),"2016")</x:f>
      </x:c>
    </x:row>
    <x:row r="5227" spans="1:10">
      <x:c r="A5227" s="1" t="s">
        <x:v>5236</x:v>
      </x:c>
      <x:c r="B5227" s="1">
        <x:f>IFERROR(__xludf.DUMMYFUNCTION("""COMPUTED_VALUE"""),"Oink Oink")</x:f>
      </x:c>
      <x:c r="C5227" s="1">
        <x:f>IFERROR(__xludf.DUMMYFUNCTION("""COMPUTED_VALUE"""),"2022")</x:f>
      </x:c>
    </x:row>
    <x:row r="5228" spans="1:10">
      <x:c r="A5228" s="1" t="s">
        <x:v>5237</x:v>
      </x:c>
      <x:c r="B5228" s="1">
        <x:f>IFERROR(__xludf.DUMMYFUNCTION("""COMPUTED_VALUE"""),"Olimp ocupat (Objectiu: La Casa Blanca)")</x:f>
      </x:c>
      <x:c r="C5228" s="1">
        <x:f>IFERROR(__xludf.DUMMYFUNCTION("""COMPUTED_VALUE"""),"2013")</x:f>
      </x:c>
    </x:row>
    <x:row r="5229" spans="1:10">
      <x:c r="A5229" s="1" t="s">
        <x:v>5238</x:v>
      </x:c>
      <x:c r="B5229" s="1">
        <x:f>IFERROR(__xludf.DUMMYFUNCTION("""COMPUTED_VALUE"""),"Oliver")</x:f>
      </x:c>
      <x:c r="C5229" s="1">
        <x:f>IFERROR(__xludf.DUMMYFUNCTION("""COMPUTED_VALUE"""),"1968")</x:f>
      </x:c>
    </x:row>
    <x:row r="5230" spans="1:10">
      <x:c r="A5230" s="1" t="s">
        <x:v>5239</x:v>
      </x:c>
      <x:c r="B5230" s="1">
        <x:f>IFERROR(__xludf.DUMMYFUNCTION("""COMPUTED_VALUE"""),"Oliver Twist")</x:f>
      </x:c>
      <x:c r="C5230" s="1">
        <x:f>IFERROR(__xludf.DUMMYFUNCTION("""COMPUTED_VALUE"""),"1948")</x:f>
      </x:c>
    </x:row>
    <x:row r="5231" spans="1:10">
      <x:c r="A5231" s="1" t="s">
        <x:v>5240</x:v>
      </x:c>
      <x:c r="B5231" s="1">
        <x:f>IFERROR(__xludf.DUMMYFUNCTION("""COMPUTED_VALUE"""),"Oliver Twist")</x:f>
      </x:c>
      <x:c r="C5231" s="1">
        <x:f>IFERROR(__xludf.DUMMYFUNCTION("""COMPUTED_VALUE"""),"2005")</x:f>
      </x:c>
    </x:row>
    <x:row r="5232" spans="1:10">
      <x:c r="A5232" s="1" t="s">
        <x:v>5241</x:v>
      </x:c>
      <x:c r="B5232" s="1">
        <x:f>IFERROR(__xludf.DUMMYFUNCTION("""COMPUTED_VALUE"""),"Ombres de justícia")</x:f>
      </x:c>
      <x:c r="C5232" s="1">
        <x:f>IFERROR(__xludf.DUMMYFUNCTION("""COMPUTED_VALUE"""),"2009")</x:f>
      </x:c>
    </x:row>
    <x:row r="5233" spans="1:10">
      <x:c r="A5233" s="1" t="s">
        <x:v>5242</x:v>
      </x:c>
      <x:c r="B5233" s="1">
        <x:f>IFERROR(__xludf.DUMMYFUNCTION("""COMPUTED_VALUE"""),"Ombres i boira")</x:f>
      </x:c>
      <x:c r="C5233" s="1">
        <x:f>IFERROR(__xludf.DUMMYFUNCTION("""COMPUTED_VALUE"""),"1991")</x:f>
      </x:c>
    </x:row>
    <x:row r="5234" spans="1:10">
      <x:c r="A5234" s="1" t="s">
        <x:v>5243</x:v>
      </x:c>
      <x:c r="B5234" s="1">
        <x:f>IFERROR(__xludf.DUMMYFUNCTION("""COMPUTED_VALUE"""),"Ombres tenebroses")</x:f>
      </x:c>
      <x:c r="C5234" s="1">
        <x:f>IFERROR(__xludf.DUMMYFUNCTION("""COMPUTED_VALUE"""),"2012")</x:f>
      </x:c>
    </x:row>
    <x:row r="5235" spans="1:10">
      <x:c r="A5235" s="1" t="s">
        <x:v>5244</x:v>
      </x:c>
      <x:c r="B5235" s="1">
        <x:f>IFERROR(__xludf.DUMMYFUNCTION("""COMPUTED_VALUE"""),"Òmnium50A")</x:f>
      </x:c>
      <x:c r="C5235" s="1">
        <x:f>IFERROR(__xludf.DUMMYFUNCTION("""COMPUTED_VALUE"""),"2011")</x:f>
      </x:c>
    </x:row>
    <x:row r="5236" spans="1:10">
      <x:c r="A5236" s="1" t="s">
        <x:v>5245</x:v>
      </x:c>
      <x:c r="B5236" s="1">
        <x:f>IFERROR(__xludf.DUMMYFUNCTION("""COMPUTED_VALUE"""),"Omplir el buit")</x:f>
      </x:c>
      <x:c r="C5236" s="1">
        <x:f>IFERROR(__xludf.DUMMYFUNCTION("""COMPUTED_VALUE"""),"2012")</x:f>
      </x:c>
    </x:row>
    <x:row r="5237" spans="1:10">
      <x:c r="A5237" s="1" t="s">
        <x:v>5246</x:v>
      </x:c>
      <x:c r="B5237" s="1">
        <x:f>IFERROR(__xludf.DUMMYFUNCTION("""COMPUTED_VALUE"""),"On era Mazón?")</x:f>
      </x:c>
      <x:c r="C5237" s="1">
        <x:f>IFERROR(__xludf.DUMMYFUNCTION("""COMPUTED_VALUE"""),"2025")</x:f>
      </x:c>
    </x:row>
    <x:row r="5238" spans="1:10">
      <x:c r="A5238" s="1" t="s">
        <x:v>5247</x:v>
      </x:c>
      <x:c r="B5238" s="1">
        <x:f>IFERROR(__xludf.DUMMYFUNCTION("""COMPUTED_VALUE"""),"On és Anne Frank?")</x:f>
      </x:c>
      <x:c r="C5238" s="1">
        <x:f>IFERROR(__xludf.DUMMYFUNCTION("""COMPUTED_VALUE"""),"2021")</x:f>
      </x:c>
    </x:row>
    <x:row r="5239" spans="1:10">
      <x:c r="A5239" s="1" t="s">
        <x:v>5248</x:v>
      </x:c>
      <x:c r="B5239" s="1">
        <x:f>IFERROR(__xludf.DUMMYFUNCTION("""COMPUTED_VALUE"""),"On ets, Bernadette?")</x:f>
      </x:c>
      <x:c r="C5239" s="1">
        <x:f>IFERROR(__xludf.DUMMYFUNCTION("""COMPUTED_VALUE"""),"2019")</x:f>
      </x:c>
    </x:row>
    <x:row r="5240" spans="1:10">
      <x:c r="A5240" s="1" t="s">
        <x:v>5249</x:v>
      </x:c>
      <x:c r="B5240" s="1">
        <x:f>IFERROR(__xludf.DUMMYFUNCTION("""COMPUTED_VALUE"""),"On hi hagi els diners")</x:f>
      </x:c>
      <x:c r="C5240" s="1">
        <x:f>IFERROR(__xludf.DUMMYFUNCTION("""COMPUTED_VALUE"""),"2000")</x:f>
      </x:c>
    </x:row>
    <x:row r="5241" spans="1:10">
      <x:c r="A5241" s="1" t="s">
        <x:v>5250</x:v>
      </x:c>
      <x:c r="B5241" s="1">
        <x:f>IFERROR(__xludf.DUMMYFUNCTION("""COMPUTED_VALUE"""),"On t'amagues?")</x:f>
      </x:c>
      <x:c r="C5241" s="1">
        <x:f>IFERROR(__xludf.DUMMYFUNCTION("""COMPUTED_VALUE"""),"2014")</x:f>
      </x:c>
    </x:row>
    <x:row r="5242" spans="1:10">
      <x:c r="A5242" s="1" t="s">
        <x:v>5251</x:v>
      </x:c>
      <x:c r="B5242" s="1">
        <x:f>IFERROR(__xludf.DUMMYFUNCTION("""COMPUTED_VALUE"""),"On the Road")</x:f>
      </x:c>
      <x:c r="C5242" s="1">
        <x:f>IFERROR(__xludf.DUMMYFUNCTION("""COMPUTED_VALUE"""),"2012")</x:f>
      </x:c>
    </x:row>
    <x:row r="5243" spans="1:10">
      <x:c r="A5243" s="1" t="s">
        <x:v>5252</x:v>
      </x:c>
      <x:c r="B5243" s="1">
        <x:f>IFERROR(__xludf.DUMMYFUNCTION("""COMPUTED_VALUE"""),"Ondina")</x:f>
      </x:c>
      <x:c r="C5243" s="1">
        <x:f>IFERROR(__xludf.DUMMYFUNCTION("""COMPUTED_VALUE"""),"2020")</x:f>
      </x:c>
    </x:row>
    <x:row r="5244" spans="1:10">
      <x:c r="A5244" s="1" t="s">
        <x:v>5253</x:v>
      </x:c>
      <x:c r="B5244" s="1">
        <x:f>IFERROR(__xludf.DUMMYFUNCTION("""COMPUTED_VALUE"""),"One Piece Film Red")</x:f>
      </x:c>
      <x:c r="C5244" s="1">
        <x:f>IFERROR(__xludf.DUMMYFUNCTION("""COMPUTED_VALUE"""),"2022")</x:f>
      </x:c>
    </x:row>
    <x:row r="5245" spans="1:10">
      <x:c r="A5245" s="1" t="s">
        <x:v>5254</x:v>
      </x:c>
      <x:c r="B5245" s="1">
        <x:f>IFERROR(__xludf.DUMMYFUNCTION("""COMPUTED_VALUE"""),"One Piece Gold")</x:f>
      </x:c>
      <x:c r="C5245" s="1">
        <x:f>IFERROR(__xludf.DUMMYFUNCTION("""COMPUTED_VALUE"""),"2016")</x:f>
      </x:c>
    </x:row>
    <x:row r="5246" spans="1:10">
      <x:c r="A5246" s="1" t="s">
        <x:v>5255</x:v>
      </x:c>
      <x:c r="B5246" s="1">
        <x:f>IFERROR(__xludf.DUMMYFUNCTION("""COMPUTED_VALUE"""),"One Piece: Estampida")</x:f>
      </x:c>
      <x:c r="C5246" s="1">
        <x:f>IFERROR(__xludf.DUMMYFUNCTION("""COMPUTED_VALUE"""),"2019")</x:f>
      </x:c>
    </x:row>
    <x:row r="5247" spans="1:10">
      <x:c r="A5247" s="1" t="s">
        <x:v>5256</x:v>
      </x:c>
      <x:c r="B5247" s="1">
        <x:f>IFERROR(__xludf.DUMMYFUNCTION("""COMPUTED_VALUE"""),"One Shot")</x:f>
      </x:c>
      <x:c r="C5247" s="1">
        <x:f>IFERROR(__xludf.DUMMYFUNCTION("""COMPUTED_VALUE"""),"2021")</x:f>
      </x:c>
    </x:row>
    <x:row r="5248" spans="1:10">
      <x:c r="A5248" s="1" t="s">
        <x:v>5257</x:v>
      </x:c>
      <x:c r="B5248" s="1">
        <x:f>IFERROR(__xludf.DUMMYFUNCTION("""COMPUTED_VALUE"""),"One Small Step")</x:f>
      </x:c>
      <x:c r="C5248" s="1">
        <x:f>IFERROR(__xludf.DUMMYFUNCTION("""COMPUTED_VALUE"""),"2018")</x:f>
      </x:c>
    </x:row>
    <x:row r="5249" spans="1:10">
      <x:c r="A5249" s="1" t="s">
        <x:v>5258</x:v>
      </x:c>
      <x:c r="B5249" s="1">
        <x:f>IFERROR(__xludf.DUMMYFUNCTION("""COMPUTED_VALUE"""),"One-Minute Time Machine [VOSC]")</x:f>
      </x:c>
      <x:c r="C5249" s="1">
        <x:f>IFERROR(__xludf.DUMMYFUNCTION("""COMPUTED_VALUE"""),"2014")</x:f>
      </x:c>
    </x:row>
    <x:row r="5250" spans="1:10">
      <x:c r="A5250" s="1" t="s">
        <x:v>5259</x:v>
      </x:c>
      <x:c r="B5250" s="1">
        <x:f>IFERROR(__xludf.DUMMYFUNCTION("""COMPUTED_VALUE"""),"One, Two, Tree")</x:f>
      </x:c>
      <x:c r="C5250" s="1">
        <x:f>IFERROR(__xludf.DUMMYFUNCTION("""COMPUTED_VALUE"""),"2014")</x:f>
      </x:c>
    </x:row>
    <x:row r="5251" spans="1:10">
      <x:c r="A5251" s="1" t="s">
        <x:v>5260</x:v>
      </x:c>
      <x:c r="B5251" s="1">
        <x:f>IFERROR(__xludf.DUMMYFUNCTION("""COMPUTED_VALUE"""),"Ong Bak 2")</x:f>
      </x:c>
      <x:c r="C5251" s="1">
        <x:f>IFERROR(__xludf.DUMMYFUNCTION("""COMPUTED_VALUE"""),"2008")</x:f>
      </x:c>
    </x:row>
    <x:row r="5252" spans="1:10">
      <x:c r="A5252" s="1" t="s">
        <x:v>5261</x:v>
      </x:c>
      <x:c r="B5252" s="1">
        <x:f>IFERROR(__xludf.DUMMYFUNCTION("""COMPUTED_VALUE"""),"Ong Bak 3")</x:f>
      </x:c>
      <x:c r="C5252" s="1">
        <x:f>IFERROR(__xludf.DUMMYFUNCTION("""COMPUTED_VALUE"""),"2010")</x:f>
      </x:c>
    </x:row>
    <x:row r="5253" spans="1:10">
      <x:c r="A5253" s="1" t="s">
        <x:v>5262</x:v>
      </x:c>
      <x:c r="B5253" s="1">
        <x:f>IFERROR(__xludf.DUMMYFUNCTION("""COMPUTED_VALUE"""),"Onward")</x:f>
      </x:c>
      <x:c r="C5253" s="1">
        <x:f>IFERROR(__xludf.DUMMYFUNCTION("""COMPUTED_VALUE"""),"2020")</x:f>
      </x:c>
    </x:row>
    <x:row r="5254" spans="1:10">
      <x:c r="A5254" s="1" t="s">
        <x:v>5263</x:v>
      </x:c>
      <x:c r="B5254" s="1">
        <x:f>IFERROR(__xludf.DUMMYFUNCTION("""COMPUTED_VALUE"""),"Opal Dream")</x:f>
      </x:c>
      <x:c r="C5254" s="1">
        <x:f>IFERROR(__xludf.DUMMYFUNCTION("""COMPUTED_VALUE"""),"2006")</x:f>
      </x:c>
    </x:row>
    <x:row r="5255" spans="1:10">
      <x:c r="A5255" s="1" t="s">
        <x:v>5264</x:v>
      </x:c>
      <x:c r="B5255" s="1">
        <x:f>IFERROR(__xludf.DUMMYFUNCTION("""COMPUTED_VALUE"""),"Open Range")</x:f>
      </x:c>
      <x:c r="C5255" s="1">
        <x:f>IFERROR(__xludf.DUMMYFUNCTION("""COMPUTED_VALUE"""),"2003")</x:f>
      </x:c>
    </x:row>
    <x:row r="5256" spans="1:10">
      <x:c r="A5256" s="1" t="s">
        <x:v>5265</x:v>
      </x:c>
      <x:c r="B5256" s="1">
        <x:f>IFERROR(__xludf.DUMMYFUNCTION("""COMPUTED_VALUE"""),"Operació a Damasc")</x:f>
      </x:c>
      <x:c r="C5256" s="1">
        <x:f>IFERROR(__xludf.DUMMYFUNCTION("""COMPUTED_VALUE"""),"2017")</x:f>
      </x:c>
    </x:row>
    <x:row r="5257" spans="1:10">
      <x:c r="A5257" s="1" t="s">
        <x:v>5266</x:v>
      </x:c>
      <x:c r="B5257" s="1">
        <x:f>IFERROR(__xludf.DUMMYFUNCTION("""COMPUTED_VALUE"""),"Operació Anthropoid")</x:f>
      </x:c>
      <x:c r="C5257" s="1">
        <x:f>IFERROR(__xludf.DUMMYFUNCTION("""COMPUTED_VALUE"""),"2016")</x:f>
      </x:c>
    </x:row>
    <x:row r="5258" spans="1:10">
      <x:c r="A5258" s="1" t="s">
        <x:v>5267</x:v>
      </x:c>
      <x:c r="B5258" s="1">
        <x:f>IFERROR(__xludf.DUMMYFUNCTION("""COMPUTED_VALUE"""),"Operació Cacauet")</x:f>
      </x:c>
      <x:c r="C5258" s="1">
        <x:f>IFERROR(__xludf.DUMMYFUNCTION("""COMPUTED_VALUE"""),"2014")</x:f>
      </x:c>
    </x:row>
    <x:row r="5259" spans="1:10">
      <x:c r="A5259" s="1" t="s">
        <x:v>5268</x:v>
      </x:c>
      <x:c r="B5259" s="1">
        <x:f>IFERROR(__xludf.DUMMYFUNCTION("""COMPUTED_VALUE"""),"Operació cacauet 2. Missió: salvar el parc")</x:f>
      </x:c>
      <x:c r="C5259" s="1">
        <x:f>IFERROR(__xludf.DUMMYFUNCTION("""COMPUTED_VALUE"""),"2017")</x:f>
      </x:c>
    </x:row>
    <x:row r="5260" spans="1:10">
      <x:c r="A5260" s="1" t="s">
        <x:v>5269</x:v>
      </x:c>
      <x:c r="B5260" s="1">
        <x:f>IFERROR(__xludf.DUMMYFUNCTION("""COMPUTED_VALUE"""),"Operació Catalunya")</x:f>
      </x:c>
      <x:c r="C5260" s="1">
        <x:f>IFERROR(__xludf.DUMMYFUNCTION("""COMPUTED_VALUE"""),"2017")</x:f>
      </x:c>
    </x:row>
    <x:row r="5261" spans="1:10">
      <x:c r="A5261" s="1" t="s">
        <x:v>5270</x:v>
      </x:c>
      <x:c r="B5261" s="1">
        <x:f>IFERROR(__xludf.DUMMYFUNCTION("""COMPUTED_VALUE"""),"Operació Fortune: El gran engany")</x:f>
      </x:c>
      <x:c r="C5261" s="1">
        <x:f>IFERROR(__xludf.DUMMYFUNCTION("""COMPUTED_VALUE"""),"2023")</x:f>
      </x:c>
    </x:row>
    <x:row r="5262" spans="1:10">
      <x:c r="A5262" s="1" t="s">
        <x:v>5271</x:v>
      </x:c>
      <x:c r="B5262" s="1">
        <x:f>IFERROR(__xludf.DUMMYFUNCTION("""COMPUTED_VALUE"""),"Operació Garzón contra l'independentisme català")</x:f>
      </x:c>
      <x:c r="C5262" s="1">
        <x:f>IFERROR(__xludf.DUMMYFUNCTION("""COMPUTED_VALUE"""),"2012")</x:f>
      </x:c>
    </x:row>
    <x:row r="5263" spans="1:10">
      <x:c r="A5263" s="1" t="s">
        <x:v>5272</x:v>
      </x:c>
      <x:c r="B5263" s="1">
        <x:f>IFERROR(__xludf.DUMMYFUNCTION("""COMPUTED_VALUE"""),"Operació Impala")</x:f>
      </x:c>
      <x:c r="C5263" s="1">
        <x:f>IFERROR(__xludf.DUMMYFUNCTION("""COMPUTED_VALUE"""),"2012")</x:f>
      </x:c>
    </x:row>
    <x:row r="5264" spans="1:10">
      <x:c r="A5264" s="1" t="s">
        <x:v>5273</x:v>
      </x:c>
      <x:c r="B5264" s="1">
        <x:f>IFERROR(__xludf.DUMMYFUNCTION("""COMPUTED_VALUE"""),"Operació Panda")</x:f>
      </x:c>
      <x:c r="C5264" s="1">
        <x:f>IFERROR(__xludf.DUMMYFUNCTION("""COMPUTED_VALUE"""),"2019")</x:f>
      </x:c>
    </x:row>
    <x:row r="5265" spans="1:10">
      <x:c r="A5265" s="1" t="s">
        <x:v>5274</x:v>
      </x:c>
      <x:c r="B5265" s="1">
        <x:f>IFERROR(__xludf.DUMMYFUNCTION("""COMPUTED_VALUE"""),"Operació Pare Noel")</x:f>
      </x:c>
      <x:c r="C5265" s="1">
        <x:f>IFERROR(__xludf.DUMMYFUNCTION("""COMPUTED_VALUE"""),"2021")</x:f>
      </x:c>
    </x:row>
    <x:row r="5266" spans="1:10">
      <x:c r="A5266" s="1" t="s">
        <x:v>5275</x:v>
      </x:c>
      <x:c r="B5266" s="1">
        <x:f>IFERROR(__xludf.DUMMYFUNCTION("""COMPUTED_VALUE"""),"Operació Ren")</x:f>
      </x:c>
      <x:c r="C5266" s="1">
        <x:f>IFERROR(__xludf.DUMMYFUNCTION("""COMPUTED_VALUE"""),"2000")</x:f>
      </x:c>
    </x:row>
    <x:row r="5267" spans="1:10">
      <x:c r="A5267" s="1" t="s">
        <x:v>5276</x:v>
      </x:c>
      <x:c r="B5267" s="1">
        <x:f>IFERROR(__xludf.DUMMYFUNCTION("""COMPUTED_VALUE"""),"Operació Rogue")</x:f>
      </x:c>
      <x:c r="C5267" s="1">
        <x:f>IFERROR(__xludf.DUMMYFUNCTION("""COMPUTED_VALUE"""),"2014")</x:f>
      </x:c>
    </x:row>
    <x:row r="5268" spans="1:10">
      <x:c r="A5268" s="1" t="s">
        <x:v>5277</x:v>
      </x:c>
      <x:c r="B5268" s="1">
        <x:f>IFERROR(__xludf.DUMMYFUNCTION("""COMPUTED_VALUE"""),"Operació Swordfish")</x:f>
      </x:c>
      <x:c r="C5268" s="1">
        <x:f>IFERROR(__xludf.DUMMYFUNCTION("""COMPUTED_VALUE"""),"2001")</x:f>
      </x:c>
    </x:row>
    <x:row r="5269" spans="1:10">
      <x:c r="A5269" s="1" t="s">
        <x:v>5278</x:v>
      </x:c>
      <x:c r="B5269" s="1">
        <x:f>IFERROR(__xludf.DUMMYFUNCTION("""COMPUTED_VALUE"""),"Operació Tro")</x:f>
      </x:c>
      <x:c r="C5269" s="1">
        <x:f>IFERROR(__xludf.DUMMYFUNCTION("""COMPUTED_VALUE"""),"1965")</x:f>
      </x:c>
    </x:row>
    <x:row r="5270" spans="1:10">
      <x:c r="A5270" s="1" t="s">
        <x:v>5279</x:v>
      </x:c>
      <x:c r="B5270" s="1">
        <x:f>IFERROR(__xludf.DUMMYFUNCTION("""COMPUTED_VALUE"""),"Operació U.N.C.L.E.")</x:f>
      </x:c>
      <x:c r="C5270" s="1">
        <x:f>IFERROR(__xludf.DUMMYFUNCTION("""COMPUTED_VALUE"""),"2015")</x:f>
      </x:c>
    </x:row>
    <x:row r="5271" spans="1:10">
      <x:c r="A5271" s="1" t="s">
        <x:v>5280</x:v>
      </x:c>
      <x:c r="B5271" s="1">
        <x:f>IFERROR(__xludf.DUMMYFUNCTION("""COMPUTED_VALUE"""),"Or verd")</x:f>
      </x:c>
      <x:c r="C5271" s="1">
        <x:f>IFERROR(__xludf.DUMMYFUNCTION("""COMPUTED_VALUE"""),"2018")</x:f>
      </x:c>
    </x:row>
    <x:row r="5272" spans="1:10">
      <x:c r="A5272" s="1" t="s">
        <x:v>5281</x:v>
      </x:c>
      <x:c r="B5272" s="1">
        <x:f>IFERROR(__xludf.DUMMYFUNCTION("""COMPUTED_VALUE"""),"Oratori de guerra")</x:f>
      </x:c>
      <x:c r="C5272" s="1">
        <x:f>IFERROR(__xludf.DUMMYFUNCTION("""COMPUTED_VALUE"""),"2007")</x:f>
      </x:c>
    </x:row>
    <x:row r="5273" spans="1:10">
      <x:c r="A5273" s="1" t="s">
        <x:v>5282</x:v>
      </x:c>
      <x:c r="B5273" s="1">
        <x:f>IFERROR(__xludf.DUMMYFUNCTION("""COMPUTED_VALUE"""),"Ordre: Caça sense treva")</x:f>
      </x:c>
      <x:c r="C5273" s="1">
        <x:f>IFERROR(__xludf.DUMMYFUNCTION("""COMPUTED_VALUE"""),"1948")</x:f>
      </x:c>
    </x:row>
    <x:row r="5274" spans="1:10">
      <x:c r="A5274" s="1" t="s">
        <x:v>5283</x:v>
      </x:c>
      <x:c r="B5274" s="1">
        <x:f>IFERROR(__xludf.DUMMYFUNCTION("""COMPUTED_VALUE"""),"Orgazmo")</x:f>
      </x:c>
      <x:c r="C5274" s="1">
        <x:f>IFERROR(__xludf.DUMMYFUNCTION("""COMPUTED_VALUE"""),"1997")</x:f>
      </x:c>
    </x:row>
    <x:row r="5275" spans="1:10">
      <x:c r="A5275" s="1" t="s">
        <x:v>5284</x:v>
      </x:c>
      <x:c r="B5275" s="1">
        <x:f>IFERROR(__xludf.DUMMYFUNCTION("""COMPUTED_VALUE"""),"Orgull")</x:f>
      </x:c>
      <x:c r="C5275" s="1">
        <x:f>IFERROR(__xludf.DUMMYFUNCTION("""COMPUTED_VALUE"""),"2014")</x:f>
      </x:c>
    </x:row>
    <x:row r="5276" spans="1:10">
      <x:c r="A5276" s="1" t="s">
        <x:v>5285</x:v>
      </x:c>
      <x:c r="B5276" s="1">
        <x:f>IFERROR(__xludf.DUMMYFUNCTION("""COMPUTED_VALUE"""),"Origen")</x:f>
      </x:c>
      <x:c r="C5276" s="1">
        <x:f>IFERROR(__xludf.DUMMYFUNCTION("""COMPUTED_VALUE"""),"2010")</x:f>
      </x:c>
    </x:row>
    <x:row r="5277" spans="1:10">
      <x:c r="A5277" s="1" t="s">
        <x:v>5286</x:v>
      </x:c>
      <x:c r="B5277" s="1">
        <x:f>IFERROR(__xludf.DUMMYFUNCTION("""COMPUTED_VALUE"""),"Orió i la foscor")</x:f>
      </x:c>
      <x:c r="C5277" s="1">
        <x:f>IFERROR(__xludf.DUMMYFUNCTION("""COMPUTED_VALUE"""),"2024")</x:f>
      </x:c>
    </x:row>
    <x:row r="5278" spans="1:10">
      <x:c r="A5278" s="1" t="s">
        <x:v>5287</x:v>
      </x:c>
      <x:c r="B5278" s="1">
        <x:f>IFERROR(__xludf.DUMMYFUNCTION("""COMPUTED_VALUE"""),"Oriol Cardona, camí als Jocs")</x:f>
      </x:c>
      <x:c r="C5278" s="1">
        <x:f>IFERROR(__xludf.DUMMYFUNCTION("""COMPUTED_VALUE"""),"2026")</x:f>
      </x:c>
    </x:row>
    <x:row r="5279" spans="1:10">
      <x:c r="A5279" s="1" t="s">
        <x:v>5288</x:v>
      </x:c>
      <x:c r="B5279" s="1">
        <x:f>IFERROR(__xludf.DUMMYFUNCTION("""COMPUTED_VALUE"""),"Orlando")</x:f>
      </x:c>
      <x:c r="C5279" s="1">
        <x:f>IFERROR(__xludf.DUMMYFUNCTION("""COMPUTED_VALUE"""),"1992")</x:f>
      </x:c>
    </x:row>
    <x:row r="5280" spans="1:10">
      <x:c r="A5280" s="1" t="s">
        <x:v>5289</x:v>
      </x:c>
      <x:c r="B5280" s="1">
        <x:f>IFERROR(__xludf.DUMMYFUNCTION("""COMPUTED_VALUE"""),"Orm al Regne de la Neu")</x:f>
      </x:c>
      <x:c r="C5280" s="1">
        <x:f>IFERROR(__xludf.DUMMYFUNCTION("""COMPUTED_VALUE"""),"2014")</x:f>
      </x:c>
    </x:row>
    <x:row r="5281" spans="1:10">
      <x:c r="A5281" s="1" t="s">
        <x:v>5290</x:v>
      </x:c>
      <x:c r="B5281" s="1">
        <x:f>IFERROR(__xludf.DUMMYFUNCTION("""COMPUTED_VALUE"""),"Orson west")</x:f>
      </x:c>
      <x:c r="C5281" s="1">
        <x:f>IFERROR(__xludf.DUMMYFUNCTION("""COMPUTED_VALUE"""),"2021")</x:f>
      </x:c>
    </x:row>
    <x:row r="5282" spans="1:10">
      <x:c r="A5282" s="1" t="s">
        <x:v>5291</x:v>
      </x:c>
      <x:c r="B5282" s="1">
        <x:f>IFERROR(__xludf.DUMMYFUNCTION("""COMPUTED_VALUE"""),"OSS 117: El Caire, niu d'espies")</x:f>
      </x:c>
      <x:c r="C5282" s="1">
        <x:f>IFERROR(__xludf.DUMMYFUNCTION("""COMPUTED_VALUE"""),"2006")</x:f>
      </x:c>
    </x:row>
    <x:row r="5283" spans="1:10">
      <x:c r="A5283" s="1" t="s">
        <x:v>5292</x:v>
      </x:c>
      <x:c r="B5283" s="1">
        <x:f>IFERROR(__xludf.DUMMYFUNCTION("""COMPUTED_VALUE"""),"OSS 117: Perdut a Rio")</x:f>
      </x:c>
      <x:c r="C5283" s="1">
        <x:f>IFERROR(__xludf.DUMMYFUNCTION("""COMPUTED_VALUE"""),"2009")</x:f>
      </x:c>
    </x:row>
    <x:row r="5284" spans="1:10">
      <x:c r="A5284" s="1" t="s">
        <x:v>5293</x:v>
      </x:c>
      <x:c r="B5284" s="1">
        <x:f>IFERROR(__xludf.DUMMYFUNCTION("""COMPUTED_VALUE"""),"Ostatges")</x:f>
      </x:c>
      <x:c r="C5284" s="1">
        <x:f>IFERROR(__xludf.DUMMYFUNCTION("""COMPUTED_VALUE"""),"2017")</x:f>
      </x:c>
    </x:row>
    <x:row r="5285" spans="1:10">
      <x:c r="A5285" s="1" t="s">
        <x:v>5294</x:v>
      </x:c>
      <x:c r="B5285" s="1">
        <x:f>IFERROR(__xludf.DUMMYFUNCTION("""COMPUTED_VALUE"""),"Ostwind - Lliures com el vent")</x:f>
      </x:c>
      <x:c r="C5285" s="1">
        <x:f>IFERROR(__xludf.DUMMYFUNCTION("""COMPUTED_VALUE"""),"2013")</x:f>
      </x:c>
    </x:row>
    <x:row r="5286" spans="1:10">
      <x:c r="A5286" s="1" t="s">
        <x:v>5295</x:v>
      </x:c>
      <x:c r="B5286" s="1">
        <x:f>IFERROR(__xludf.DUMMYFUNCTION("""COMPUTED_VALUE"""),"Oswald. El falsificador")</x:f>
      </x:c>
      <x:c r="C5286" s="1">
        <x:f>IFERROR(__xludf.DUMMYFUNCTION("""COMPUTED_VALUE"""),"2022")</x:f>
      </x:c>
    </x:row>
    <x:row r="5287" spans="1:10">
      <x:c r="A5287" s="1" t="s">
        <x:v>5296</x:v>
      </x:c>
      <x:c r="B5287" s="1">
        <x:f>IFERROR(__xludf.DUMMYFUNCTION("""COMPUTED_VALUE"""),"Otel·lo")</x:f>
      </x:c>
      <x:c r="C5287" s="1">
        <x:f>IFERROR(__xludf.DUMMYFUNCTION("""COMPUTED_VALUE"""),"2012")</x:f>
      </x:c>
    </x:row>
    <x:row r="5288" spans="1:10">
      <x:c r="A5288" s="1" t="s">
        <x:v>5297</x:v>
      </x:c>
      <x:c r="B5288" s="1">
        <x:f>IFERROR(__xludf.DUMMYFUNCTION("""COMPUTED_VALUE"""),"Ötzi, l'home del gel")</x:f>
      </x:c>
      <x:c r="C5288" s="1">
        <x:f>IFERROR(__xludf.DUMMYFUNCTION("""COMPUTED_VALUE"""),"2017")</x:f>
      </x:c>
    </x:row>
    <x:row r="5289" spans="1:10">
      <x:c r="A5289" s="1" t="s">
        <x:v>5298</x:v>
      </x:c>
      <x:c r="B5289" s="1">
        <x:f>IFERROR(__xludf.DUMMYFUNCTION("""COMPUTED_VALUE"""),"Ouija")</x:f>
      </x:c>
      <x:c r="C5289" s="1">
        <x:f>IFERROR(__xludf.DUMMYFUNCTION("""COMPUTED_VALUE"""),"2003")</x:f>
      </x:c>
    </x:row>
    <x:row r="5290" spans="1:10">
      <x:c r="A5290" s="1" t="s">
        <x:v>5299</x:v>
      </x:c>
      <x:c r="B5290" s="1">
        <x:f>IFERROR(__xludf.DUMMYFUNCTION("""COMPUTED_VALUE"""),"Outlander")</x:f>
      </x:c>
      <x:c r="C5290" s="1">
        <x:f>IFERROR(__xludf.DUMMYFUNCTION("""COMPUTED_VALUE"""),"2008")</x:f>
      </x:c>
    </x:row>
    <x:row r="5291" spans="1:10">
      <x:c r="A5291" s="1" t="s">
        <x:v>5300</x:v>
      </x:c>
      <x:c r="B5291" s="1">
        <x:f>IFERROR(__xludf.DUMMYFUNCTION("""COMPUTED_VALUE"""),"Outrage")</x:f>
      </x:c>
      <x:c r="C5291" s="1">
        <x:f>IFERROR(__xludf.DUMMYFUNCTION("""COMPUTED_VALUE"""),"2010")</x:f>
      </x:c>
    </x:row>
    <x:row r="5292" spans="1:10">
      <x:c r="A5292" s="1" t="s">
        <x:v>5301</x:v>
      </x:c>
      <x:c r="B5292" s="1">
        <x:f>IFERROR(__xludf.DUMMYFUNCTION("""COMPUTED_VALUE"""),"Outrage 3")</x:f>
      </x:c>
      <x:c r="C5292" s="1">
        <x:f>IFERROR(__xludf.DUMMYFUNCTION("""COMPUTED_VALUE"""),"2017")</x:f>
      </x:c>
    </x:row>
    <x:row r="5293" spans="1:10">
      <x:c r="A5293" s="1" t="s">
        <x:v>5302</x:v>
      </x:c>
      <x:c r="B5293" s="1">
        <x:f>IFERROR(__xludf.DUMMYFUNCTION("""COMPUTED_VALUE"""),"Ovelles assassines")</x:f>
      </x:c>
      <x:c r="C5293" s="1">
        <x:f>IFERROR(__xludf.DUMMYFUNCTION("""COMPUTED_VALUE"""),"2006")</x:f>
      </x:c>
    </x:row>
    <x:row r="5294" spans="1:10">
      <x:c r="A5294" s="1" t="s">
        <x:v>5303</x:v>
      </x:c>
      <x:c r="B5294" s="1">
        <x:f>IFERROR(__xludf.DUMMYFUNCTION("""COMPUTED_VALUE"""),"Overlord. El Regne Sagrat")</x:f>
      </x:c>
      <x:c r="C5294" s="1">
        <x:f>IFERROR(__xludf.DUMMYFUNCTION("""COMPUTED_VALUE"""),"2024")</x:f>
      </x:c>
    </x:row>
    <x:row r="5295" spans="1:10">
      <x:c r="A5295" s="1" t="s">
        <x:v>5304</x:v>
      </x:c>
      <x:c r="B5295" s="1">
        <x:f>IFERROR(__xludf.DUMMYFUNCTION("""COMPUTED_VALUE"""),"Overseas [VOSC]")</x:f>
      </x:c>
      <x:c r="C5295" s="1">
        <x:f>IFERROR(__xludf.DUMMYFUNCTION("""COMPUTED_VALUE"""),"2019")</x:f>
      </x:c>
    </x:row>
    <x:row r="5296" spans="1:10">
      <x:c r="A5296" s="1" t="s">
        <x:v>5305</x:v>
      </x:c>
      <x:c r="B5296" s="1">
        <x:f>IFERROR(__xludf.DUMMYFUNCTION("""COMPUTED_VALUE"""),"P.D. T'estimo")</x:f>
      </x:c>
      <x:c r="C5296" s="1">
        <x:f>IFERROR(__xludf.DUMMYFUNCTION("""COMPUTED_VALUE"""),"2007")</x:f>
      </x:c>
    </x:row>
    <x:row r="5297" spans="1:10">
      <x:c r="A5297" s="1" t="s">
        <x:v>5306</x:v>
      </x:c>
      <x:c r="B5297" s="1">
        <x:f>IFERROR(__xludf.DUMMYFUNCTION("""COMPUTED_VALUE"""),"P3K, Pinotxo 3000")</x:f>
      </x:c>
      <x:c r="C5297" s="1">
        <x:f>IFERROR(__xludf.DUMMYFUNCTION("""COMPUTED_VALUE"""),"2004")</x:f>
      </x:c>
    </x:row>
    <x:row r="5298" spans="1:10">
      <x:c r="A5298" s="1" t="s">
        <x:v>5307</x:v>
      </x:c>
      <x:c r="B5298" s="1">
        <x:f>IFERROR(__xludf.DUMMYFUNCTION("""COMPUTED_VALUE"""),"Pa d'àngel")</x:f>
      </x:c>
      <x:c r="C5298" s="1">
        <x:f>IFERROR(__xludf.DUMMYFUNCTION("""COMPUTED_VALUE"""),"1984")</x:f>
      </x:c>
    </x:row>
    <x:row r="5299" spans="1:10">
      <x:c r="A5299" s="1" t="s">
        <x:v>5308</x:v>
      </x:c>
      <x:c r="B5299" s="1">
        <x:f>IFERROR(__xludf.DUMMYFUNCTION("""COMPUTED_VALUE"""),"Pa de llimona amb llavors de rosella")</x:f>
      </x:c>
      <x:c r="C5299" s="1">
        <x:f>IFERROR(__xludf.DUMMYFUNCTION("""COMPUTED_VALUE"""),"2021")</x:f>
      </x:c>
    </x:row>
    <x:row r="5300" spans="1:10">
      <x:c r="A5300" s="1" t="s">
        <x:v>5309</x:v>
      </x:c>
      <x:c r="B5300" s="1">
        <x:f>IFERROR(__xludf.DUMMYFUNCTION("""COMPUTED_VALUE"""),"Pa negre")</x:f>
      </x:c>
      <x:c r="C5300" s="1">
        <x:f>IFERROR(__xludf.DUMMYFUNCTION("""COMPUTED_VALUE"""),"2010")</x:f>
      </x:c>
    </x:row>
    <x:row r="5301" spans="1:10">
      <x:c r="A5301" s="1" t="s">
        <x:v>5310</x:v>
      </x:c>
      <x:c r="B5301" s="1">
        <x:f>IFERROR(__xludf.DUMMYFUNCTION("""COMPUTED_VALUE"""),"Pacific Rim")</x:f>
      </x:c>
      <x:c r="C5301" s="1">
        <x:f>IFERROR(__xludf.DUMMYFUNCTION("""COMPUTED_VALUE"""),"2013")</x:f>
      </x:c>
    </x:row>
    <x:row r="5302" spans="1:10">
      <x:c r="A5302" s="1" t="s">
        <x:v>5311</x:v>
      </x:c>
      <x:c r="B5302" s="1">
        <x:f>IFERROR(__xludf.DUMMYFUNCTION("""COMPUTED_VALUE"""),"Pacifiction")</x:f>
      </x:c>
      <x:c r="C5302" s="1">
        <x:f>IFERROR(__xludf.DUMMYFUNCTION("""COMPUTED_VALUE"""),"2022")</x:f>
      </x:c>
    </x:row>
    <x:row r="5303" spans="1:10">
      <x:c r="A5303" s="1" t="s">
        <x:v>5312</x:v>
      </x:c>
      <x:c r="B5303" s="1">
        <x:f>IFERROR(__xludf.DUMMYFUNCTION("""COMPUTED_VALUE"""),"Pactar amb el diable")</x:f>
      </x:c>
      <x:c r="C5303" s="1">
        <x:f>IFERROR(__xludf.DUMMYFUNCTION("""COMPUTED_VALUE"""),"1997")</x:f>
      </x:c>
    </x:row>
    <x:row r="5304" spans="1:10">
      <x:c r="A5304" s="1" t="s">
        <x:v>5313</x:v>
      </x:c>
      <x:c r="B5304" s="1">
        <x:f>IFERROR(__xludf.DUMMYFUNCTION("""COMPUTED_VALUE"""),"Pactar amb el gat")</x:f>
      </x:c>
      <x:c r="C5304" s="1">
        <x:f>IFERROR(__xludf.DUMMYFUNCTION("""COMPUTED_VALUE"""),"2007")</x:f>
      </x:c>
    </x:row>
    <x:row r="5305" spans="1:10">
      <x:c r="A5305" s="1" t="s">
        <x:v>5314</x:v>
      </x:c>
      <x:c r="B5305" s="1">
        <x:f>IFERROR(__xludf.DUMMYFUNCTION("""COMPUTED_VALUE"""),"Pacte d'honor")</x:f>
      </x:c>
      <x:c r="C5305" s="1">
        <x:f>IFERROR(__xludf.DUMMYFUNCTION("""COMPUTED_VALUE"""),"1955")</x:f>
      </x:c>
    </x:row>
    <x:row r="5306" spans="1:10">
      <x:c r="A5306" s="1" t="s">
        <x:v>5315</x:v>
      </x:c>
      <x:c r="B5306" s="1">
        <x:f>IFERROR(__xludf.DUMMYFUNCTION("""COMPUTED_VALUE"""),"Pacte de silenci")</x:f>
      </x:c>
      <x:c r="C5306" s="1">
        <x:f>IFERROR(__xludf.DUMMYFUNCTION("""COMPUTED_VALUE"""),"2012")</x:f>
      </x:c>
    </x:row>
    <x:row r="5307" spans="1:10">
      <x:c r="A5307" s="1" t="s">
        <x:v>5316</x:v>
      </x:c>
      <x:c r="B5307" s="1">
        <x:f>IFERROR(__xludf.DUMMYFUNCTION("""COMPUTED_VALUE"""),"Paddington I")</x:f>
      </x:c>
      <x:c r="C5307" s="1">
        <x:f>IFERROR(__xludf.DUMMYFUNCTION("""COMPUTED_VALUE"""),"2014")</x:f>
      </x:c>
    </x:row>
    <x:row r="5308" spans="1:10">
      <x:c r="A5308" s="1" t="s">
        <x:v>5317</x:v>
      </x:c>
      <x:c r="B5308" s="1">
        <x:f>IFERROR(__xludf.DUMMYFUNCTION("""COMPUTED_VALUE"""),"Paddington II")</x:f>
      </x:c>
      <x:c r="C5308" s="1">
        <x:f>IFERROR(__xludf.DUMMYFUNCTION("""COMPUTED_VALUE"""),"2017")</x:f>
      </x:c>
    </x:row>
    <x:row r="5309" spans="1:10">
      <x:c r="A5309" s="1" t="s">
        <x:v>5318</x:v>
      </x:c>
      <x:c r="B5309" s="1">
        <x:f>IFERROR(__xludf.DUMMYFUNCTION("""COMPUTED_VALUE"""),"Paddington: Aventura a la selva")</x:f>
      </x:c>
      <x:c r="C5309" s="1">
        <x:f>IFERROR(__xludf.DUMMYFUNCTION("""COMPUTED_VALUE"""),"2024")</x:f>
      </x:c>
    </x:row>
    <x:row r="5310" spans="1:10">
      <x:c r="A5310" s="1" t="s">
        <x:v>5319</x:v>
      </x:c>
      <x:c r="B5310" s="1">
        <x:f>IFERROR(__xludf.DUMMYFUNCTION("""COMPUTED_VALUE"""),"Paintball")</x:f>
      </x:c>
      <x:c r="C5310" s="1">
        <x:f>IFERROR(__xludf.DUMMYFUNCTION("""COMPUTED_VALUE"""),"2009")</x:f>
      </x:c>
    </x:row>
    <x:row r="5311" spans="1:10">
      <x:c r="A5311" s="1" t="s">
        <x:v>5320</x:v>
      </x:c>
      <x:c r="B5311" s="1">
        <x:f>IFERROR(__xludf.DUMMYFUNCTION("""COMPUTED_VALUE"""),"Paios legals")</x:f>
      </x:c>
      <x:c r="C5311" s="1">
        <x:f>IFERROR(__xludf.DUMMYFUNCTION("""COMPUTED_VALUE"""),"2012")</x:f>
      </x:c>
    </x:row>
    <x:row r="5312" spans="1:10">
      <x:c r="A5312" s="1" t="s">
        <x:v>5321</x:v>
      </x:c>
      <x:c r="B5312" s="1">
        <x:f>IFERROR(__xludf.DUMMYFUNCTION("""COMPUTED_VALUE"""),"Palau reial")</x:f>
      </x:c>
      <x:c r="C5312" s="1">
        <x:f>IFERROR(__xludf.DUMMYFUNCTION("""COMPUTED_VALUE"""),"2005")</x:f>
      </x:c>
    </x:row>
    <x:row r="5313" spans="1:10">
      <x:c r="A5313" s="1" t="s">
        <x:v>5322</x:v>
      </x:c>
      <x:c r="B5313" s="1">
        <x:f>IFERROR(__xludf.DUMMYFUNCTION("""COMPUTED_VALUE"""),"Pálido")</x:f>
      </x:c>
      <x:c r="C5313" s="1">
        <x:f>IFERROR(__xludf.DUMMYFUNCTION("""COMPUTED_VALUE"""),"2023")</x:f>
      </x:c>
    </x:row>
    <x:row r="5314" spans="1:10">
      <x:c r="A5314" s="1" t="s">
        <x:v>5323</x:v>
      </x:c>
      <x:c r="B5314" s="1">
        <x:f>IFERROR(__xludf.DUMMYFUNCTION("""COMPUTED_VALUE"""),"Palm Springs")</x:f>
      </x:c>
      <x:c r="C5314" s="1">
        <x:f>IFERROR(__xludf.DUMMYFUNCTION("""COMPUTED_VALUE"""),"2020")</x:f>
      </x:c>
    </x:row>
    <x:row r="5315" spans="1:10">
      <x:c r="A5315" s="1" t="s">
        <x:v>5324</x:v>
      </x:c>
      <x:c r="B5315" s="1">
        <x:f>IFERROR(__xludf.DUMMYFUNCTION("""COMPUTED_VALUE"""),"Palme [VOSC]")</x:f>
      </x:c>
      <x:c r="C5315" s="1">
        <x:f>IFERROR(__xludf.DUMMYFUNCTION("""COMPUTED_VALUE"""),"2012")</x:f>
      </x:c>
    </x:row>
    <x:row r="5316" spans="1:10">
      <x:c r="A5316" s="1" t="s">
        <x:v>5325</x:v>
      </x:c>
      <x:c r="B5316" s="1">
        <x:f>IFERROR(__xludf.DUMMYFUNCTION("""COMPUTED_VALUE"""),"Palmira Jaquetti, un cant a la vida")</x:f>
      </x:c>
      <x:c r="C5316" s="1">
        <x:f>IFERROR(__xludf.DUMMYFUNCTION("""COMPUTED_VALUE"""),"2022")</x:f>
      </x:c>
    </x:row>
    <x:row r="5317" spans="1:10">
      <x:c r="A5317" s="1" t="s">
        <x:v>5326</x:v>
      </x:c>
      <x:c r="B5317" s="1">
        <x:f>IFERROR(__xludf.DUMMYFUNCTION("""COMPUTED_VALUE"""),"Pan: Viatge al país de Mai Més")</x:f>
      </x:c>
      <x:c r="C5317" s="1">
        <x:f>IFERROR(__xludf.DUMMYFUNCTION("""COMPUTED_VALUE"""),"2015")</x:f>
      </x:c>
    </x:row>
    <x:row r="5318" spans="1:10">
      <x:c r="A5318" s="1" t="s">
        <x:v>5327</x:v>
      </x:c>
      <x:c r="B5318" s="1">
        <x:f>IFERROR(__xludf.DUMMYFUNCTION("""COMPUTED_VALUE"""),"Pandora and the Flying Dutchman [VOSC]")</x:f>
      </x:c>
      <x:c r="C5318" s="1">
        <x:f>IFERROR(__xludf.DUMMYFUNCTION("""COMPUTED_VALUE"""),"1951")</x:f>
      </x:c>
    </x:row>
    <x:row r="5319" spans="1:10">
      <x:c r="A5319" s="1" t="s">
        <x:v>5328</x:v>
      </x:c>
      <x:c r="B5319" s="1">
        <x:f>IFERROR(__xludf.DUMMYFUNCTION("""COMPUTED_VALUE"""),"Pandorum")</x:f>
      </x:c>
      <x:c r="C5319" s="1">
        <x:f>IFERROR(__xludf.DUMMYFUNCTION("""COMPUTED_VALUE"""),"2009")</x:f>
      </x:c>
    </x:row>
    <x:row r="5320" spans="1:10">
      <x:c r="A5320" s="1" t="s">
        <x:v>5329</x:v>
      </x:c>
      <x:c r="B5320" s="1">
        <x:f>IFERROR(__xludf.DUMMYFUNCTION("""COMPUTED_VALUE"""),"Pànic")</x:f>
      </x:c>
      <x:c r="C5320" s="1">
        <x:f>IFERROR(__xludf.DUMMYFUNCTION("""COMPUTED_VALUE"""),"2015")</x:f>
      </x:c>
    </x:row>
    <x:row r="5321" spans="1:10">
      <x:c r="A5321" s="1" t="s">
        <x:v>5330</x:v>
      </x:c>
      <x:c r="B5321" s="1">
        <x:f>IFERROR(__xludf.DUMMYFUNCTION("""COMPUTED_VALUE"""),"Pànic a la granja")</x:f>
      </x:c>
      <x:c r="C5321" s="1">
        <x:f>IFERROR(__xludf.DUMMYFUNCTION("""COMPUTED_VALUE"""),"2009")</x:f>
      </x:c>
    </x:row>
    <x:row r="5322" spans="1:10">
      <x:c r="A5322" s="1" t="s">
        <x:v>5331</x:v>
      </x:c>
      <x:c r="B5322" s="1">
        <x:f>IFERROR(__xludf.DUMMYFUNCTION("""COMPUTED_VALUE"""),"Panorama per matar")</x:f>
      </x:c>
      <x:c r="C5322" s="1">
        <x:f>IFERROR(__xludf.DUMMYFUNCTION("""COMPUTED_VALUE"""),"1985")</x:f>
      </x:c>
    </x:row>
    <x:row r="5323" spans="1:10">
      <x:c r="A5323" s="1" t="s">
        <x:v>5332</x:v>
      </x:c>
      <x:c r="B5323" s="1">
        <x:f>IFERROR(__xludf.DUMMYFUNCTION("""COMPUTED_VALUE"""),"Pantalles addictives")</x:f>
      </x:c>
      <x:c r="C5323" s="1">
        <x:f>IFERROR(__xludf.DUMMYFUNCTION("""COMPUTED_VALUE"""),"2018")</x:f>
      </x:c>
    </x:row>
    <x:row r="5324" spans="1:10">
      <x:c r="A5324" s="1" t="s">
        <x:v>5333</x:v>
      </x:c>
      <x:c r="B5324" s="1">
        <x:f>IFERROR(__xludf.DUMMYFUNCTION("""COMPUTED_VALUE"""),"Papa, sóc una zombi")</x:f>
      </x:c>
      <x:c r="C5324" s="1">
        <x:f>IFERROR(__xludf.DUMMYFUNCTION("""COMPUTED_VALUE"""),"2011")</x:f>
      </x:c>
    </x:row>
    <x:row r="5325" spans="1:10">
      <x:c r="A5325" s="1" t="s">
        <x:v>5334</x:v>
      </x:c>
      <x:c r="B5325" s="1">
        <x:f>IFERROR(__xludf.DUMMYFUNCTION("""COMPUTED_VALUE"""),"Paparazzi")</x:f>
      </x:c>
      <x:c r="C5325" s="1">
        <x:f>IFERROR(__xludf.DUMMYFUNCTION("""COMPUTED_VALUE"""),"2004")</x:f>
      </x:c>
    </x:row>
    <x:row r="5326" spans="1:10">
      <x:c r="A5326" s="1" t="s">
        <x:v>5335</x:v>
      </x:c>
      <x:c r="B5326" s="1">
        <x:f>IFERROR(__xludf.DUMMYFUNCTION("""COMPUTED_VALUE"""),"Paper mullat")</x:f>
      </x:c>
      <x:c r="C5326" s="1">
        <x:f>IFERROR(__xludf.DUMMYFUNCTION("""COMPUTED_VALUE"""),"2019")</x:f>
      </x:c>
    </x:row>
    <x:row r="5327" spans="1:10">
      <x:c r="A5327" s="1" t="s">
        <x:v>5336</x:v>
      </x:c>
      <x:c r="B5327" s="1">
        <x:f>IFERROR(__xludf.DUMMYFUNCTION("""COMPUTED_VALUE"""),"Papillon")</x:f>
      </x:c>
      <x:c r="C5327" s="1">
        <x:f>IFERROR(__xludf.DUMMYFUNCTION("""COMPUTED_VALUE"""),"1973")</x:f>
      </x:c>
    </x:row>
    <x:row r="5328" spans="1:10">
      <x:c r="A5328" s="1" t="s">
        <x:v>5337</x:v>
      </x:c>
      <x:c r="B5328" s="1">
        <x:f>IFERROR(__xludf.DUMMYFUNCTION("""COMPUTED_VALUE"""),"Paradís en flames")</x:f>
      </x:c>
      <x:c r="C5328" s="1">
        <x:f>IFERROR(__xludf.DUMMYFUNCTION("""COMPUTED_VALUE"""),"2024")</x:f>
      </x:c>
    </x:row>
    <x:row r="5329" spans="1:10">
      <x:c r="A5329" s="1" t="s">
        <x:v>5338</x:v>
      </x:c>
      <x:c r="B5329" s="1">
        <x:f>IFERROR(__xludf.DUMMYFUNCTION("""COMPUTED_VALUE"""),"Paralitzada pel perill")</x:f>
      </x:c>
      <x:c r="C5329" s="1">
        <x:f>IFERROR(__xludf.DUMMYFUNCTION("""COMPUTED_VALUE"""),"2021")</x:f>
      </x:c>
    </x:row>
    <x:row r="5330" spans="1:10">
      <x:c r="A5330" s="1" t="s">
        <x:v>5339</x:v>
      </x:c>
      <x:c r="B5330" s="1">
        <x:f>IFERROR(__xludf.DUMMYFUNCTION("""COMPUTED_VALUE"""),"Paranormal Activity")</x:f>
      </x:c>
      <x:c r="C5330" s="1">
        <x:f>IFERROR(__xludf.DUMMYFUNCTION("""COMPUTED_VALUE"""),"2007")</x:f>
      </x:c>
    </x:row>
    <x:row r="5331" spans="1:10">
      <x:c r="A5331" s="1" t="s">
        <x:v>5340</x:v>
      </x:c>
      <x:c r="B5331" s="1">
        <x:f>IFERROR(__xludf.DUMMYFUNCTION("""COMPUTED_VALUE"""),"Paràsits")</x:f>
      </x:c>
      <x:c r="C5331" s="1">
        <x:f>IFERROR(__xludf.DUMMYFUNCTION("""COMPUTED_VALUE"""),"2019")</x:f>
      </x:c>
    </x:row>
    <x:row r="5332" spans="1:10">
      <x:c r="A5332" s="1" t="s">
        <x:v>5341</x:v>
      </x:c>
      <x:c r="B5332" s="1">
        <x:f>IFERROR(__xludf.DUMMYFUNCTION("""COMPUTED_VALUE"""),"Paraula contra paraula")</x:f>
      </x:c>
      <x:c r="C5332" s="1">
        <x:f>IFERROR(__xludf.DUMMYFUNCTION("""COMPUTED_VALUE"""),"2017")</x:f>
      </x:c>
    </x:row>
    <x:row r="5333" spans="1:10">
      <x:c r="A5333" s="1" t="s">
        <x:v>5342</x:v>
      </x:c>
      <x:c r="B5333" s="1">
        <x:f>IFERROR(__xludf.DUMMYFUNCTION("""COMPUTED_VALUE"""),"Paraula d'adolescent")</x:f>
      </x:c>
      <x:c r="C5333" s="1">
        <x:f>IFERROR(__xludf.DUMMYFUNCTION("""COMPUTED_VALUE"""),"2025")</x:f>
      </x:c>
    </x:row>
    <x:row r="5334" spans="1:10">
      <x:c r="A5334" s="1" t="s">
        <x:v>5343</x:v>
      </x:c>
      <x:c r="B5334" s="1">
        <x:f>IFERROR(__xludf.DUMMYFUNCTION("""COMPUTED_VALUE"""),"Paraula d'honor")</x:f>
      </x:c>
      <x:c r="C5334" s="1">
        <x:f>IFERROR(__xludf.DUMMYFUNCTION("""COMPUTED_VALUE"""),"2003")</x:f>
      </x:c>
    </x:row>
    <x:row r="5335" spans="1:10">
      <x:c r="A5335" s="1" t="s">
        <x:v>5344</x:v>
      </x:c>
      <x:c r="B5335" s="1">
        <x:f>IFERROR(__xludf.DUMMYFUNCTION("""COMPUTED_VALUE"""),"Paraules d'amor")</x:f>
      </x:c>
      <x:c r="C5335" s="1">
        <x:f>IFERROR(__xludf.DUMMYFUNCTION("""COMPUTED_VALUE"""),"1968")</x:f>
      </x:c>
    </x:row>
    <x:row r="5336" spans="1:10">
      <x:c r="A5336" s="1" t="s">
        <x:v>5345</x:v>
      </x:c>
      <x:c r="B5336" s="1">
        <x:f>IFERROR(__xludf.DUMMYFUNCTION("""COMPUTED_VALUE"""),"Parc Juràssic I")</x:f>
      </x:c>
      <x:c r="C5336" s="1">
        <x:f>IFERROR(__xludf.DUMMYFUNCTION("""COMPUTED_VALUE"""),"1993")</x:f>
      </x:c>
    </x:row>
    <x:row r="5337" spans="1:10">
      <x:c r="A5337" s="1" t="s">
        <x:v>5346</x:v>
      </x:c>
      <x:c r="B5337" s="1">
        <x:f>IFERROR(__xludf.DUMMYFUNCTION("""COMPUTED_VALUE"""),"Parc Juràssic II El món perdut")</x:f>
      </x:c>
      <x:c r="C5337" s="1">
        <x:f>IFERROR(__xludf.DUMMYFUNCTION("""COMPUTED_VALUE"""),"1997")</x:f>
      </x:c>
    </x:row>
    <x:row r="5338" spans="1:10">
      <x:c r="A5338" s="1" t="s">
        <x:v>5347</x:v>
      </x:c>
      <x:c r="B5338" s="1">
        <x:f>IFERROR(__xludf.DUMMYFUNCTION("""COMPUTED_VALUE"""),"Parc Juràssic III")</x:f>
      </x:c>
      <x:c r="C5338" s="1">
        <x:f>IFERROR(__xludf.DUMMYFUNCTION("""COMPUTED_VALUE"""),"2001")</x:f>
      </x:c>
    </x:row>
    <x:row r="5339" spans="1:10">
      <x:c r="A5339" s="1" t="s">
        <x:v>5348</x:v>
      </x:c>
      <x:c r="B5339" s="1">
        <x:f>IFERROR(__xludf.DUMMYFUNCTION("""COMPUTED_VALUE"""),"Parcialment ennuvolat")</x:f>
      </x:c>
      <x:c r="C5339" s="1">
        <x:f>IFERROR(__xludf.DUMMYFUNCTION("""COMPUTED_VALUE"""),"2009")</x:f>
      </x:c>
    </x:row>
    <x:row r="5340" spans="1:10">
      <x:c r="A5340" s="1" t="s">
        <x:v>5349</x:v>
      </x:c>
      <x:c r="B5340" s="1">
        <x:f>IFERROR(__xludf.DUMMYFUNCTION("""COMPUTED_VALUE"""),"Pare i soldat")</x:f>
      </x:c>
      <x:c r="C5340" s="1">
        <x:f>IFERROR(__xludf.DUMMYFUNCTION("""COMPUTED_VALUE"""),"2022")</x:f>
      </x:c>
    </x:row>
    <x:row r="5341" spans="1:10">
      <x:c r="A5341" s="1" t="s">
        <x:v>5350</x:v>
      </x:c>
      <x:c r="B5341" s="1">
        <x:f>IFERROR(__xludf.DUMMYFUNCTION("""COMPUTED_VALUE"""),"Pare per força I")</x:f>
      </x:c>
      <x:c r="C5341" s="1">
        <x:f>IFERROR(__xludf.DUMMYFUNCTION("""COMPUTED_VALUE"""),"2011")</x:f>
      </x:c>
    </x:row>
    <x:row r="5342" spans="1:10">
      <x:c r="A5342" s="1" t="s">
        <x:v>5351</x:v>
      </x:c>
      <x:c r="B5342" s="1">
        <x:f>IFERROR(__xludf.DUMMYFUNCTION("""COMPUTED_VALUE"""),"Pare per força II")</x:f>
      </x:c>
      <x:c r="C5342" s="1">
        <x:f>IFERROR(__xludf.DUMMYFUNCTION("""COMPUTED_VALUE"""),"2013")</x:f>
      </x:c>
    </x:row>
    <x:row r="5343" spans="1:10">
      <x:c r="A5343" s="1" t="s">
        <x:v>5352</x:v>
      </x:c>
      <x:c r="B5343" s="1">
        <x:f>IFERROR(__xludf.DUMMYFUNCTION("""COMPUTED_VALUE"""),"Parenostre")</x:f>
      </x:c>
      <x:c r="C5343" s="1">
        <x:f>IFERROR(__xludf.DUMMYFUNCTION("""COMPUTED_VALUE"""),"2025")</x:f>
      </x:c>
    </x:row>
    <x:row r="5344" spans="1:10">
      <x:c r="A5344" s="1" t="s">
        <x:v>5353</x:v>
      </x:c>
      <x:c r="B5344" s="1">
        <x:f>IFERROR(__xludf.DUMMYFUNCTION("""COMPUTED_VALUE"""),"Pares adoptius")</x:f>
      </x:c>
      <x:c r="C5344" s="1">
        <x:f>IFERROR(__xludf.DUMMYFUNCTION("""COMPUTED_VALUE"""),"2019")</x:f>
      </x:c>
    </x:row>
    <x:row r="5345" spans="1:10">
      <x:c r="A5345" s="1" t="s">
        <x:v>5354</x:v>
      </x:c>
      <x:c r="B5345" s="1">
        <x:f>IFERROR(__xludf.DUMMYFUNCTION("""COMPUTED_VALUE"""),"París")</x:f>
      </x:c>
      <x:c r="C5345" s="1">
        <x:f>IFERROR(__xludf.DUMMYFUNCTION("""COMPUTED_VALUE"""),"2008")</x:f>
      </x:c>
    </x:row>
    <x:row r="5346" spans="1:10">
      <x:c r="A5346" s="1" t="s">
        <x:v>5355</x:v>
      </x:c>
      <x:c r="B5346" s="1">
        <x:f>IFERROR(__xludf.DUMMYFUNCTION("""COMPUTED_VALUE"""),"París pot esperar")</x:f>
      </x:c>
      <x:c r="C5346" s="1">
        <x:f>IFERROR(__xludf.DUMMYFUNCTION("""COMPUTED_VALUE"""),"2016")</x:f>
      </x:c>
    </x:row>
    <x:row r="5347" spans="1:10">
      <x:c r="A5347" s="1" t="s">
        <x:v>5356</x:v>
      </x:c>
      <x:c r="B5347" s="1">
        <x:f>IFERROR(__xludf.DUMMYFUNCTION("""COMPUTED_VALUE"""),"París-Manhattan")</x:f>
      </x:c>
      <x:c r="C5347" s="1">
        <x:f>IFERROR(__xludf.DUMMYFUNCTION("""COMPUTED_VALUE"""),"2012")</x:f>
      </x:c>
    </x:row>
    <x:row r="5348" spans="1:10">
      <x:c r="A5348" s="1" t="s">
        <x:v>5357</x:v>
      </x:c>
      <x:c r="B5348" s="1">
        <x:f>IFERROR(__xludf.DUMMYFUNCTION("""COMPUTED_VALUE"""),"París, districte 13")</x:f>
      </x:c>
      <x:c r="C5348" s="1">
        <x:f>IFERROR(__xludf.DUMMYFUNCTION("""COMPUTED_VALUE"""),"2021")</x:f>
      </x:c>
    </x:row>
    <x:row r="5349" spans="1:10">
      <x:c r="A5349" s="1" t="s">
        <x:v>5358</x:v>
      </x:c>
      <x:c r="B5349" s="1">
        <x:f>IFERROR(__xludf.DUMMYFUNCTION("""COMPUTED_VALUE"""),"Paris, je t'aime")</x:f>
      </x:c>
      <x:c r="C5349" s="1">
        <x:f>IFERROR(__xludf.DUMMYFUNCTION("""COMPUTED_VALUE"""),"2006")</x:f>
      </x:c>
    </x:row>
    <x:row r="5350" spans="1:10">
      <x:c r="A5350" s="1" t="s">
        <x:v>5359</x:v>
      </x:c>
      <x:c r="B5350" s="1">
        <x:f>IFERROR(__xludf.DUMMYFUNCTION("""COMPUTED_VALUE"""),"París, Texas")</x:f>
      </x:c>
      <x:c r="C5350" s="1">
        <x:f>IFERROR(__xludf.DUMMYFUNCTION("""COMPUTED_VALUE"""),"1984")</x:f>
      </x:c>
    </x:row>
    <x:row r="5351" spans="1:10">
      <x:c r="A5351" s="1" t="s">
        <x:v>5360</x:v>
      </x:c>
      <x:c r="B5351" s="1">
        <x:f>IFERROR(__xludf.DUMMYFUNCTION("""COMPUTED_VALUE"""),"Parker")</x:f>
      </x:c>
      <x:c r="C5351" s="1">
        <x:f>IFERROR(__xludf.DUMMYFUNCTION("""COMPUTED_VALUE"""),"2013")</x:f>
      </x:c>
    </x:row>
    <x:row r="5352" spans="1:10">
      <x:c r="A5352" s="1" t="s">
        <x:v>5361</x:v>
      </x:c>
      <x:c r="B5352" s="1">
        <x:f>IFERROR(__xludf.DUMMYFUNCTION("""COMPUTED_VALUE"""),"Parking 2")</x:f>
      </x:c>
      <x:c r="C5352" s="1">
        <x:f>IFERROR(__xludf.DUMMYFUNCTION("""COMPUTED_VALUE"""),"2007")</x:f>
      </x:c>
    </x:row>
    <x:row r="5353" spans="1:10">
      <x:c r="A5353" s="1" t="s">
        <x:v>5362</x:v>
      </x:c>
      <x:c r="B5353" s="1">
        <x:f>IFERROR(__xludf.DUMMYFUNCTION("""COMPUTED_VALUE"""),"Parla amb mi")</x:f>
      </x:c>
      <x:c r="C5353" s="1">
        <x:f>IFERROR(__xludf.DUMMYFUNCTION("""COMPUTED_VALUE"""),"2022")</x:f>
      </x:c>
    </x:row>
    <x:row r="5354" spans="1:10">
      <x:c r="A5354" s="1" t="s">
        <x:v>5363</x:v>
      </x:c>
      <x:c r="B5354" s="1">
        <x:f>IFERROR(__xludf.DUMMYFUNCTION("""COMPUTED_VALUE"""),"Parla amb mi")</x:f>
      </x:c>
      <x:c r="C5354" s="1">
        <x:f>IFERROR(__xludf.DUMMYFUNCTION("""COMPUTED_VALUE"""),"2023")</x:f>
      </x:c>
    </x:row>
    <x:row r="5355" spans="1:10">
      <x:c r="A5355" s="1" t="s">
        <x:v>5364</x:v>
      </x:c>
      <x:c r="B5355" s="1">
        <x:f>IFERROR(__xludf.DUMMYFUNCTION("""COMPUTED_VALUE"""),"Parlami d'amore")</x:f>
      </x:c>
      <x:c r="C5355" s="1">
        <x:f>IFERROR(__xludf.DUMMYFUNCTION("""COMPUTED_VALUE"""),"2008")</x:f>
      </x:c>
    </x:row>
    <x:row r="5356" spans="1:10">
      <x:c r="A5356" s="1" t="s">
        <x:v>5365</x:v>
      </x:c>
      <x:c r="B5356" s="1">
        <x:f>IFERROR(__xludf.DUMMYFUNCTION("""COMPUTED_VALUE"""),"Passeig de Gràcia, l'escenari burgès")</x:f>
      </x:c>
      <x:c r="C5356" s="1">
        <x:f>IFERROR(__xludf.DUMMYFUNCTION("""COMPUTED_VALUE"""),"2020")</x:f>
      </x:c>
    </x:row>
    <x:row r="5357" spans="1:10">
      <x:c r="A5357" s="1" t="s">
        <x:v>5366</x:v>
      </x:c>
      <x:c r="B5357" s="1">
        <x:f>IFERROR(__xludf.DUMMYFUNCTION("""COMPUTED_VALUE"""),"Passejant amb Molière")</x:f>
      </x:c>
      <x:c r="C5357" s="1">
        <x:f>IFERROR(__xludf.DUMMYFUNCTION("""COMPUTED_VALUE"""),"2013")</x:f>
      </x:c>
    </x:row>
    <x:row r="5358" spans="1:10">
      <x:c r="A5358" s="1" t="s">
        <x:v>5367</x:v>
      </x:c>
      <x:c r="B5358" s="1">
        <x:f>IFERROR(__xludf.DUMMYFUNCTION("""COMPUTED_VALUE"""),"Passengers")</x:f>
      </x:c>
      <x:c r="C5358" s="1">
        <x:f>IFERROR(__xludf.DUMMYFUNCTION("""COMPUTED_VALUE"""),"2008")</x:f>
      </x:c>
    </x:row>
    <x:row r="5359" spans="1:10">
      <x:c r="A5359" s="1" t="s">
        <x:v>5368</x:v>
      </x:c>
      <x:c r="B5359" s="1">
        <x:f>IFERROR(__xludf.DUMMYFUNCTION("""COMPUTED_VALUE"""),"Passi el que passi")</x:f>
      </x:c>
      <x:c r="C5359" s="1">
        <x:f>IFERROR(__xludf.DUMMYFUNCTION("""COMPUTED_VALUE"""),"2011")</x:f>
      </x:c>
    </x:row>
    <x:row r="5360" spans="1:10">
      <x:c r="A5360" s="1" t="s">
        <x:v>5369</x:v>
      </x:c>
      <x:c r="B5360" s="1">
        <x:f>IFERROR(__xludf.DUMMYFUNCTION("""COMPUTED_VALUE"""),"Passió")</x:f>
      </x:c>
      <x:c r="C5360" s="1">
        <x:f>IFERROR(__xludf.DUMMYFUNCTION("""COMPUTED_VALUE"""),"1954")</x:f>
      </x:c>
    </x:row>
    <x:row r="5361" spans="1:10">
      <x:c r="A5361" s="1" t="s">
        <x:v>5370</x:v>
      </x:c>
      <x:c r="B5361" s="1">
        <x:f>IFERROR(__xludf.DUMMYFUNCTION("""COMPUTED_VALUE"""),"Passió devoradora")</x:f>
      </x:c>
      <x:c r="C5361" s="1">
        <x:f>IFERROR(__xludf.DUMMYFUNCTION("""COMPUTED_VALUE"""),"1988")</x:f>
      </x:c>
    </x:row>
    <x:row r="5362" spans="1:10">
      <x:c r="A5362" s="1" t="s">
        <x:v>5371</x:v>
      </x:c>
      <x:c r="B5362" s="1">
        <x:f>IFERROR(__xludf.DUMMYFUNCTION("""COMPUTED_VALUE"""),"Passió per l'or")</x:f>
      </x:c>
      <x:c r="C5362" s="1">
        <x:f>IFERROR(__xludf.DUMMYFUNCTION("""COMPUTED_VALUE"""),"1949")</x:f>
      </x:c>
    </x:row>
    <x:row r="5363" spans="1:10">
      <x:c r="A5363" s="1" t="s">
        <x:v>5372</x:v>
      </x:c>
      <x:c r="B5363" s="1">
        <x:f>IFERROR(__xludf.DUMMYFUNCTION("""COMPUTED_VALUE"""),"Passió salvatge")</x:f>
      </x:c>
      <x:c r="C5363" s="1">
        <x:f>IFERROR(__xludf.DUMMYFUNCTION("""COMPUTED_VALUE"""),"1944")</x:f>
      </x:c>
    </x:row>
    <x:row r="5364" spans="1:10">
      <x:c r="A5364" s="1" t="s">
        <x:v>5373</x:v>
      </x:c>
      <x:c r="B5364" s="1">
        <x:f>IFERROR(__xludf.DUMMYFUNCTION("""COMPUTED_VALUE"""),"Passions a Kenya")</x:f>
      </x:c>
      <x:c r="C5364" s="1">
        <x:f>IFERROR(__xludf.DUMMYFUNCTION("""COMPUTED_VALUE"""),"1987")</x:f>
      </x:c>
    </x:row>
    <x:row r="5365" spans="1:10">
      <x:c r="A5365" s="1" t="s">
        <x:v>5374</x:v>
      </x:c>
      <x:c r="B5365" s="1">
        <x:f>IFERROR(__xludf.DUMMYFUNCTION("""COMPUTED_VALUE"""),"Pastilla busca malaltia")</x:f>
      </x:c>
      <x:c r="C5365" s="1">
        <x:f>IFERROR(__xludf.DUMMYFUNCTION("""COMPUTED_VALUE"""),"2016")</x:f>
      </x:c>
    </x:row>
    <x:row r="5366" spans="1:10">
      <x:c r="A5366" s="1" t="s">
        <x:v>5375</x:v>
      </x:c>
      <x:c r="B5366" s="1">
        <x:f>IFERROR(__xludf.DUMMYFUNCTION("""COMPUTED_VALUE"""),"Pastisser i xef")</x:f>
      </x:c>
      <x:c r="C5366" s="1">
        <x:f>IFERROR(__xludf.DUMMYFUNCTION("""COMPUTED_VALUE"""),"2023")</x:f>
      </x:c>
    </x:row>
    <x:row r="5367" spans="1:10">
      <x:c r="A5367" s="1" t="s">
        <x:v>5376</x:v>
      </x:c>
      <x:c r="B5367" s="1">
        <x:f>IFERROR(__xludf.DUMMYFUNCTION("""COMPUTED_VALUE"""),"Pastoral americana")</x:f>
      </x:c>
      <x:c r="C5367" s="1">
        <x:f>IFERROR(__xludf.DUMMYFUNCTION("""COMPUTED_VALUE"""),"2016")</x:f>
      </x:c>
    </x:row>
    <x:row r="5368" spans="1:10">
      <x:c r="A5368" s="1" t="s">
        <x:v>5377</x:v>
      </x:c>
      <x:c r="B5368" s="1">
        <x:f>IFERROR(__xludf.DUMMYFUNCTION("""COMPUTED_VALUE"""),"Pàtria. La llegenda d’Otger Cataló i els 9 barons de la fama")</x:f>
      </x:c>
      <x:c r="C5368" s="1">
        <x:f>IFERROR(__xludf.DUMMYFUNCTION("""COMPUTED_VALUE"""),"2017")</x:f>
      </x:c>
    </x:row>
    <x:row r="5369" spans="1:10">
      <x:c r="A5369" s="1" t="s">
        <x:v>5378</x:v>
      </x:c>
      <x:c r="B5369" s="1">
        <x:f>IFERROR(__xludf.DUMMYFUNCTION("""COMPUTED_VALUE"""),"Patrick")</x:f>
      </x:c>
      <x:c r="C5369" s="1">
        <x:f>IFERROR(__xludf.DUMMYFUNCTION("""COMPUTED_VALUE"""),"2023")</x:f>
      </x:c>
    </x:row>
    <x:row r="5370" spans="1:10">
      <x:c r="A5370" s="1" t="s">
        <x:v>5379</x:v>
      </x:c>
      <x:c r="B5370" s="1">
        <x:f>IFERROR(__xludf.DUMMYFUNCTION("""COMPUTED_VALUE"""),"Patton")</x:f>
      </x:c>
      <x:c r="C5370" s="1">
        <x:f>IFERROR(__xludf.DUMMYFUNCTION("""COMPUTED_VALUE"""),"1970")</x:f>
      </x:c>
    </x:row>
    <x:row r="5371" spans="1:10">
      <x:c r="A5371" s="1" t="s">
        <x:v>5380</x:v>
      </x:c>
      <x:c r="B5371" s="1">
        <x:f>IFERROR(__xludf.DUMMYFUNCTION("""COMPUTED_VALUE"""),"Pau amb xocolata")</x:f>
      </x:c>
      <x:c r="C5371" s="1">
        <x:f>IFERROR(__xludf.DUMMYFUNCTION("""COMPUTED_VALUE"""),"2021")</x:f>
      </x:c>
    </x:row>
    <x:row r="5372" spans="1:10">
      <x:c r="A5372" s="1" t="s">
        <x:v>5381</x:v>
      </x:c>
      <x:c r="B5372" s="1">
        <x:f>IFERROR(__xludf.DUMMYFUNCTION("""COMPUTED_VALUE"""),"Pau Casals, l’home que va fer sentir el silenci")</x:f>
      </x:c>
      <x:c r="C5372" s="1">
        <x:f>IFERROR(__xludf.DUMMYFUNCTION("""COMPUTED_VALUE"""),"2012")</x:f>
      </x:c>
    </x:row>
    <x:row r="5373" spans="1:10">
      <x:c r="A5373" s="1" t="s">
        <x:v>5382</x:v>
      </x:c>
      <x:c r="B5373" s="1">
        <x:f>IFERROR(__xludf.DUMMYFUNCTION("""COMPUTED_VALUE"""),"Pau Escalé, Go to the Parad-Ice")</x:f>
      </x:c>
      <x:c r="C5373" s="1">
        <x:f>IFERROR(__xludf.DUMMYFUNCTION("""COMPUTED_VALUE"""),"2012")</x:f>
      </x:c>
    </x:row>
    <x:row r="5374" spans="1:10">
      <x:c r="A5374" s="1" t="s">
        <x:v>5383</x:v>
      </x:c>
      <x:c r="B5374" s="1">
        <x:f>IFERROR(__xludf.DUMMYFUNCTION("""COMPUTED_VALUE"""),"Pau i el seu germà")</x:f>
      </x:c>
      <x:c r="C5374" s="1">
        <x:f>IFERROR(__xludf.DUMMYFUNCTION("""COMPUTED_VALUE"""),"2001")</x:f>
      </x:c>
    </x:row>
    <x:row r="5375" spans="1:10">
      <x:c r="A5375" s="1" t="s">
        <x:v>5384</x:v>
      </x:c>
      <x:c r="B5375" s="1">
        <x:f>IFERROR(__xludf.DUMMYFUNCTION("""COMPUTED_VALUE"""),"Pau, la força d'un silenci")</x:f>
      </x:c>
      <x:c r="C5375" s="1">
        <x:f>IFERROR(__xludf.DUMMYFUNCTION("""COMPUTED_VALUE"""),"2017")</x:f>
      </x:c>
    </x:row>
    <x:row r="5376" spans="1:10">
      <x:c r="A5376" s="1" t="s">
        <x:v>5385</x:v>
      </x:c>
      <x:c r="B5376" s="1">
        <x:f>IFERROR(__xludf.DUMMYFUNCTION("""COMPUTED_VALUE"""),"Pavarotti")</x:f>
      </x:c>
      <x:c r="C5376" s="1">
        <x:f>IFERROR(__xludf.DUMMYFUNCTION("""COMPUTED_VALUE"""),"2019")</x:f>
      </x:c>
    </x:row>
    <x:row r="5377" spans="1:10">
      <x:c r="A5377" s="1" t="s">
        <x:v>5386</x:v>
      </x:c>
      <x:c r="B5377" s="1">
        <x:f>IFERROR(__xludf.DUMMYFUNCTION("""COMPUTED_VALUE"""),"Paycheck")</x:f>
      </x:c>
      <x:c r="C5377" s="1">
        <x:f>IFERROR(__xludf.DUMMYFUNCTION("""COMPUTED_VALUE"""),"2003")</x:f>
      </x:c>
    </x:row>
    <x:row r="5378" spans="1:10">
      <x:c r="A5378" s="1" t="s">
        <x:v>5387</x:v>
      </x:c>
      <x:c r="B5378" s="1">
        <x:f>IFERROR(__xludf.DUMMYFUNCTION("""COMPUTED_VALUE"""),"Pegasus, l'espia a la butxaca")</x:f>
      </x:c>
      <x:c r="C5378" s="1">
        <x:f>IFERROR(__xludf.DUMMYFUNCTION("""COMPUTED_VALUE"""),"2022")</x:f>
      </x:c>
    </x:row>
    <x:row r="5379" spans="1:10">
      <x:c r="A5379" s="1" t="s">
        <x:v>5388</x:v>
      </x:c>
      <x:c r="B5379" s="1">
        <x:f>IFERROR(__xludf.DUMMYFUNCTION("""COMPUTED_VALUE"""),"Pelé, el naixement d'una llegenda")</x:f>
      </x:c>
      <x:c r="C5379" s="1">
        <x:f>IFERROR(__xludf.DUMMYFUNCTION("""COMPUTED_VALUE"""),"2016")</x:f>
      </x:c>
    </x:row>
    <x:row r="5380" spans="1:10">
      <x:c r="A5380" s="1" t="s">
        <x:v>5389</x:v>
      </x:c>
      <x:c r="B5380" s="1">
        <x:f>IFERROR(__xludf.DUMMYFUNCTION("""COMPUTED_VALUE"""),"Pelegrins")</x:f>
      </x:c>
      <x:c r="C5380" s="1">
        <x:f>IFERROR(__xludf.DUMMYFUNCTION("""COMPUTED_VALUE"""),"2005")</x:f>
      </x:c>
    </x:row>
    <x:row r="5381" spans="1:10">
      <x:c r="A5381" s="1" t="s">
        <x:v>5390</x:v>
      </x:c>
      <x:c r="B5381" s="1">
        <x:f>IFERROR(__xludf.DUMMYFUNCTION("""COMPUTED_VALUE"""),"Pelham un, dos, tres")</x:f>
      </x:c>
      <x:c r="C5381" s="1">
        <x:f>IFERROR(__xludf.DUMMYFUNCTION("""COMPUTED_VALUE"""),"1974")</x:f>
      </x:c>
    </x:row>
    <x:row r="5382" spans="1:10">
      <x:c r="A5382" s="1" t="s">
        <x:v>5391</x:v>
      </x:c>
      <x:c r="B5382" s="1">
        <x:f>IFERROR(__xludf.DUMMYFUNCTION("""COMPUTED_VALUE"""),"Penèlope")</x:f>
      </x:c>
      <x:c r="C5382" s="1">
        <x:f>IFERROR(__xludf.DUMMYFUNCTION("""COMPUTED_VALUE"""),"2017")</x:f>
      </x:c>
    </x:row>
    <x:row r="5383" spans="1:10">
      <x:c r="A5383" s="1" t="s">
        <x:v>5392</x:v>
      </x:c>
      <x:c r="B5383" s="1">
        <x:f>IFERROR(__xludf.DUMMYFUNCTION("""COMPUTED_VALUE"""),"Pep Gimeno Botifarra, el cant de les arrels")</x:f>
      </x:c>
      <x:c r="C5383" s="1">
        <x:f>IFERROR(__xludf.DUMMYFUNCTION("""COMPUTED_VALUE"""),"2014")</x:f>
      </x:c>
    </x:row>
    <x:row r="5384" spans="1:10">
      <x:c r="A5384" s="1" t="s">
        <x:v>5393</x:v>
      </x:c>
      <x:c r="B5384" s="1">
        <x:f>IFERROR(__xludf.DUMMYFUNCTION("""COMPUTED_VALUE"""),"Pepe &amp; Rubianes")</x:f>
      </x:c>
      <x:c r="C5384" s="1">
        <x:f>IFERROR(__xludf.DUMMYFUNCTION("""COMPUTED_VALUE"""),"2012")</x:f>
      </x:c>
    </x:row>
    <x:row r="5385" spans="1:10">
      <x:c r="A5385" s="1" t="s">
        <x:v>5394</x:v>
      </x:c>
      <x:c r="B5385" s="1">
        <x:f>IFERROR(__xludf.DUMMYFUNCTION("""COMPUTED_VALUE"""),"Pepe Sales: Pobres, Pobres que els donguin pel cul")</x:f>
      </x:c>
      <x:c r="C5385" s="1">
        <x:f>IFERROR(__xludf.DUMMYFUNCTION("""COMPUTED_VALUE"""),"2007")</x:f>
      </x:c>
    </x:row>
    <x:row r="5386" spans="1:10">
      <x:c r="A5386" s="1" t="s">
        <x:v>5395</x:v>
      </x:c>
      <x:c r="B5386" s="1">
        <x:f>IFERROR(__xludf.DUMMYFUNCTION("""COMPUTED_VALUE"""),"Per a què serveix un ós")</x:f>
      </x:c>
      <x:c r="C5386" s="1">
        <x:f>IFERROR(__xludf.DUMMYFUNCTION("""COMPUTED_VALUE"""),"2011")</x:f>
      </x:c>
    </x:row>
    <x:row r="5387" spans="1:10">
      <x:c r="A5387" s="1" t="s">
        <x:v>5396</x:v>
      </x:c>
      <x:c r="B5387" s="1">
        <x:f>IFERROR(__xludf.DUMMYFUNCTION("""COMPUTED_VALUE"""),"Per a tota la mort")</x:f>
      </x:c>
      <x:c r="C5387" s="1">
        <x:f>IFERROR(__xludf.DUMMYFUNCTION("""COMPUTED_VALUE"""),"2020")</x:f>
      </x:c>
    </x:row>
    <x:row r="5388" spans="1:10">
      <x:c r="A5388" s="1" t="s">
        <x:v>5397</x:v>
      </x:c>
      <x:c r="B5388" s="1">
        <x:f>IFERROR(__xludf.DUMMYFUNCTION("""COMPUTED_VALUE"""),"Per amor a la Valerie")</x:f>
      </x:c>
      <x:c r="C5388" s="1">
        <x:f>IFERROR(__xludf.DUMMYFUNCTION("""COMPUTED_VALUE"""),"2019")</x:f>
      </x:c>
    </x:row>
    <x:row r="5389" spans="1:10">
      <x:c r="A5389" s="1" t="s">
        <x:v>5398</x:v>
      </x:c>
      <x:c r="B5389" s="1">
        <x:f>IFERROR(__xludf.DUMMYFUNCTION("""COMPUTED_VALUE"""),"Per amor o per diners?")</x:f>
      </x:c>
      <x:c r="C5389" s="1">
        <x:f>IFERROR(__xludf.DUMMYFUNCTION("""COMPUTED_VALUE"""),"2019")</x:f>
      </x:c>
    </x:row>
    <x:row r="5390" spans="1:10">
      <x:c r="A5390" s="1" t="s">
        <x:v>5399</x:v>
      </x:c>
      <x:c r="B5390" s="1">
        <x:f>IFERROR(__xludf.DUMMYFUNCTION("""COMPUTED_VALUE"""),"Per cap d'any TV3 no fa res")</x:f>
      </x:c>
      <x:c r="C5390" s="1">
        <x:f>IFERROR(__xludf.DUMMYFUNCTION("""COMPUTED_VALUE"""),"1990")</x:f>
      </x:c>
    </x:row>
    <x:row r="5391" spans="1:10">
      <x:c r="A5391" s="1" t="s">
        <x:v>5400</x:v>
      </x:c>
      <x:c r="B5391" s="1">
        <x:f>IFERROR(__xludf.DUMMYFUNCTION("""COMPUTED_VALUE"""),"Per damunt de tot")</x:f>
      </x:c>
      <x:c r="C5391" s="1">
        <x:f>IFERROR(__xludf.DUMMYFUNCTION("""COMPUTED_VALUE"""),"2019")</x:f>
      </x:c>
    </x:row>
    <x:row r="5392" spans="1:10">
      <x:c r="A5392" s="1" t="s">
        <x:v>5401</x:v>
      </x:c>
      <x:c r="B5392" s="1">
        <x:f>IFERROR(__xludf.DUMMYFUNCTION("""COMPUTED_VALUE"""),"Per fi sol!")</x:f>
      </x:c>
      <x:c r="C5392" s="1">
        <x:f>IFERROR(__xludf.DUMMYFUNCTION("""COMPUTED_VALUE"""),"2026")</x:f>
      </x:c>
    </x:row>
    <x:row r="5393" spans="1:10">
      <x:c r="A5393" s="1" t="s">
        <x:v>5402</x:v>
      </x:c>
      <x:c r="B5393" s="1">
        <x:f>IFERROR(__xludf.DUMMYFUNCTION("""COMPUTED_VALUE"""),"Per fi sols!")</x:f>
      </x:c>
      <x:c r="C5393" s="1">
        <x:f>IFERROR(__xludf.DUMMYFUNCTION("""COMPUTED_VALUE"""),"2012")</x:f>
      </x:c>
    </x:row>
    <x:row r="5394" spans="1:10">
      <x:c r="A5394" s="1" t="s">
        <x:v>5403</x:v>
      </x:c>
      <x:c r="B5394" s="1">
        <x:f>IFERROR(__xludf.DUMMYFUNCTION("""COMPUTED_VALUE"""),"Per fi viuda")</x:f>
      </x:c>
      <x:c r="C5394" s="1">
        <x:f>IFERROR(__xludf.DUMMYFUNCTION("""COMPUTED_VALUE"""),"2007")</x:f>
      </x:c>
    </x:row>
    <x:row r="5395" spans="1:10">
      <x:c r="A5395" s="1" t="s">
        <x:v>5404</x:v>
      </x:c>
      <x:c r="B5395" s="1">
        <x:f>IFERROR(__xludf.DUMMYFUNCTION("""COMPUTED_VALUE"""),"Per Júpiter! Catalans a la romana")</x:f>
      </x:c>
      <x:c r="C5395" s="1">
        <x:f>IFERROR(__xludf.DUMMYFUNCTION("""COMPUTED_VALUE"""),"2001")</x:f>
      </x:c>
    </x:row>
    <x:row r="5396" spans="1:10">
      <x:c r="A5396" s="1" t="s">
        <x:v>5405</x:v>
      </x:c>
      <x:c r="B5396" s="1">
        <x:f>IFERROR(__xludf.DUMMYFUNCTION("""COMPUTED_VALUE"""),"Per l'honor d'un fill")</x:f>
      </x:c>
      <x:c r="C5396" s="1">
        <x:f>IFERROR(__xludf.DUMMYFUNCTION("""COMPUTED_VALUE"""),"2020")</x:f>
      </x:c>
    </x:row>
    <x:row r="5397" spans="1:10">
      <x:c r="A5397" s="1" t="s">
        <x:v>5406</x:v>
      </x:c>
      <x:c r="B5397" s="1">
        <x:f>IFERROR(__xludf.DUMMYFUNCTION("""COMPUTED_VALUE"""),"Per la causa")</x:f>
      </x:c>
      <x:c r="C5397" s="1">
        <x:f>IFERROR(__xludf.DUMMYFUNCTION("""COMPUTED_VALUE"""),"2000")</x:f>
      </x:c>
    </x:row>
    <x:row r="5398" spans="1:10">
      <x:c r="A5398" s="1" t="s">
        <x:v>5407</x:v>
      </x:c>
      <x:c r="B5398" s="1">
        <x:f>IFERROR(__xludf.DUMMYFUNCTION("""COMPUTED_VALUE"""),"Per molts anys, Mr. Bean!")</x:f>
      </x:c>
      <x:c r="C5398" s="1">
        <x:f>IFERROR(__xludf.DUMMYFUNCTION("""COMPUTED_VALUE"""),"2021")</x:f>
      </x:c>
    </x:row>
    <x:row r="5399" spans="1:10">
      <x:c r="A5399" s="1" t="s">
        <x:v>5408</x:v>
      </x:c>
      <x:c r="B5399" s="1">
        <x:f>IFERROR(__xludf.DUMMYFUNCTION("""COMPUTED_VALUE"""),"Per què no em vaig menjar el meu pare")</x:f>
      </x:c>
      <x:c r="C5399" s="1">
        <x:f>IFERROR(__xludf.DUMMYFUNCTION("""COMPUTED_VALUE"""),"2015")</x:f>
      </x:c>
    </x:row>
    <x:row r="5400" spans="1:10">
      <x:c r="A5400" s="1" t="s">
        <x:v>5409</x:v>
      </x:c>
      <x:c r="B5400" s="1">
        <x:f>IFERROR(__xludf.DUMMYFUNCTION("""COMPUTED_VALUE"""),"Per raó de sexe")</x:f>
      </x:c>
      <x:c r="C5400" s="1">
        <x:f>IFERROR(__xludf.DUMMYFUNCTION("""COMPUTED_VALUE"""),"2018")</x:f>
      </x:c>
    </x:row>
    <x:row r="5401" spans="1:10">
      <x:c r="A5401" s="1" t="s">
        <x:v>5410</x:v>
      </x:c>
      <x:c r="B5401" s="1">
        <x:f>IFERROR(__xludf.DUMMYFUNCTION("""COMPUTED_VALUE"""),"Per sempre")</x:f>
      </x:c>
      <x:c r="C5401" s="1">
        <x:f>IFERROR(__xludf.DUMMYFUNCTION("""COMPUTED_VALUE"""),"1989")</x:f>
      </x:c>
    </x:row>
    <x:row r="5402" spans="1:10">
      <x:c r="A5402" s="1" t="s">
        <x:v>5411</x:v>
      </x:c>
      <x:c r="B5402" s="1">
        <x:f>IFERROR(__xludf.DUMMYFUNCTION("""COMPUTED_VALUE"""),"Per sobre de la llei")</x:f>
      </x:c>
      <x:c r="C5402" s="1">
        <x:f>IFERROR(__xludf.DUMMYFUNCTION("""COMPUTED_VALUE"""),"1988")</x:f>
      </x:c>
    </x:row>
    <x:row r="5403" spans="1:10">
      <x:c r="A5403" s="1" t="s">
        <x:v>5412</x:v>
      </x:c>
      <x:c r="B5403" s="1">
        <x:f>IFERROR(__xludf.DUMMYFUNCTION("""COMPUTED_VALUE"""),"Per un grapat de dolars")</x:f>
      </x:c>
      <x:c r="C5403" s="1">
        <x:f>IFERROR(__xludf.DUMMYFUNCTION("""COMPUTED_VALUE"""),"1964")</x:f>
      </x:c>
    </x:row>
    <x:row r="5404" spans="1:10">
      <x:c r="A5404" s="1" t="s">
        <x:v>5413</x:v>
      </x:c>
      <x:c r="B5404" s="1">
        <x:f>IFERROR(__xludf.DUMMYFUNCTION("""COMPUTED_VALUE"""),"Per un sí o per un no")</x:f>
      </x:c>
      <x:c r="C5404" s="1">
        <x:f>IFERROR(__xludf.DUMMYFUNCTION("""COMPUTED_VALUE"""),"1988")</x:f>
      </x:c>
    </x:row>
    <x:row r="5405" spans="1:10">
      <x:c r="A5405" s="1" t="s">
        <x:v>5414</x:v>
      </x:c>
      <x:c r="B5405" s="1">
        <x:f>IFERROR(__xludf.DUMMYFUNCTION("""COMPUTED_VALUE"""),"Percy contra Goliat")</x:f>
      </x:c>
      <x:c r="C5405" s="1">
        <x:f>IFERROR(__xludf.DUMMYFUNCTION("""COMPUTED_VALUE"""),"2020")</x:f>
      </x:c>
    </x:row>
    <x:row r="5406" spans="1:10">
      <x:c r="A5406" s="1" t="s">
        <x:v>5415</x:v>
      </x:c>
      <x:c r="B5406" s="1">
        <x:f>IFERROR(__xludf.DUMMYFUNCTION("""COMPUTED_VALUE"""),"Perdona però vull casar-me amb tu")</x:f>
      </x:c>
      <x:c r="C5406" s="1">
        <x:f>IFERROR(__xludf.DUMMYFUNCTION("""COMPUTED_VALUE"""),"2010")</x:f>
      </x:c>
    </x:row>
    <x:row r="5407" spans="1:10">
      <x:c r="A5407" s="1" t="s">
        <x:v>5416</x:v>
      </x:c>
      <x:c r="B5407" s="1">
        <x:f>IFERROR(__xludf.DUMMYFUNCTION("""COMPUTED_VALUE"""),"Perdona si et dic amor")</x:f>
      </x:c>
      <x:c r="C5407" s="1">
        <x:f>IFERROR(__xludf.DUMMYFUNCTION("""COMPUTED_VALUE"""),"2008")</x:f>
      </x:c>
    </x:row>
    <x:row r="5408" spans="1:10">
      <x:c r="A5408" s="1" t="s">
        <x:v>5417</x:v>
      </x:c>
      <x:c r="B5408" s="1">
        <x:f>IFERROR(__xludf.DUMMYFUNCTION("""COMPUTED_VALUE"""),"Perduda")</x:f>
      </x:c>
      <x:c r="C5408" s="1">
        <x:f>IFERROR(__xludf.DUMMYFUNCTION("""COMPUTED_VALUE"""),"2014")</x:f>
      </x:c>
    </x:row>
    <x:row r="5409" spans="1:10">
      <x:c r="A5409" s="1" t="s">
        <x:v>5418</x:v>
      </x:c>
      <x:c r="B5409" s="1">
        <x:f>IFERROR(__xludf.DUMMYFUNCTION("""COMPUTED_VALUE"""),"Perduts a la neu")</x:f>
      </x:c>
      <x:c r="C5409" s="1">
        <x:f>IFERROR(__xludf.DUMMYFUNCTION("""COMPUTED_VALUE"""),"2012")</x:f>
      </x:c>
    </x:row>
    <x:row r="5410" spans="1:10">
      <x:c r="A5410" s="1" t="s">
        <x:v>5419</x:v>
      </x:c>
      <x:c r="B5410" s="1">
        <x:f>IFERROR(__xludf.DUMMYFUNCTION("""COMPUTED_VALUE"""),"Perduts en l'espai")</x:f>
      </x:c>
      <x:c r="C5410" s="1">
        <x:f>IFERROR(__xludf.DUMMYFUNCTION("""COMPUTED_VALUE"""),"1998")</x:f>
      </x:c>
    </x:row>
    <x:row r="5411" spans="1:10">
      <x:c r="A5411" s="1" t="s">
        <x:v>5420</x:v>
      </x:c>
      <x:c r="B5411" s="1">
        <x:f>IFERROR(__xludf.DUMMYFUNCTION("""COMPUTED_VALUE"""),"Pere Casacuberta, esprint trencat")</x:f>
      </x:c>
      <x:c r="C5411" s="1">
        <x:f>IFERROR(__xludf.DUMMYFUNCTION("""COMPUTED_VALUE"""),"2026")</x:f>
      </x:c>
    </x:row>
    <x:row r="5412" spans="1:10">
      <x:c r="A5412" s="1" t="s">
        <x:v>5421</x:v>
      </x:c>
      <x:c r="B5412" s="1">
        <x:f>IFERROR(__xludf.DUMMYFUNCTION("""COMPUTED_VALUE"""),"Pere i el llop")</x:f>
      </x:c>
      <x:c r="C5412" s="1">
        <x:f>IFERROR(__xludf.DUMMYFUNCTION("""COMPUTED_VALUE"""),"2006")</x:f>
      </x:c>
    </x:row>
    <x:row r="5413" spans="1:10">
      <x:c r="A5413" s="1" t="s">
        <x:v>5422</x:v>
      </x:c>
      <x:c r="B5413" s="1">
        <x:f>IFERROR(__xludf.DUMMYFUNCTION("""COMPUTED_VALUE"""),"Pere i el llop, The Making of")</x:f>
      </x:c>
      <x:c r="C5413" s="1">
        <x:f>IFERROR(__xludf.DUMMYFUNCTION("""COMPUTED_VALUE"""),"2006")</x:f>
      </x:c>
    </x:row>
    <x:row r="5414" spans="1:10">
      <x:c r="A5414" s="1" t="s">
        <x:v>5423</x:v>
      </x:c>
      <x:c r="B5414" s="1">
        <x:f>IFERROR(__xludf.DUMMYFUNCTION("""COMPUTED_VALUE"""),"Peret: jo soc la rumba")</x:f>
      </x:c>
      <x:c r="C5414" s="1">
        <x:f>IFERROR(__xludf.DUMMYFUNCTION("""COMPUTED_VALUE"""),"2018")</x:f>
      </x:c>
    </x:row>
    <x:row r="5415" spans="1:10">
      <x:c r="A5415" s="1" t="s">
        <x:v>5424</x:v>
      </x:c>
      <x:c r="B5415" s="1">
        <x:f>IFERROR(__xludf.DUMMYFUNCTION("""COMPUTED_VALUE"""),"Pérez, el ratolí dels teus somnis")</x:f>
      </x:c>
      <x:c r="C5415" s="1">
        <x:f>IFERROR(__xludf.DUMMYFUNCTION("""COMPUTED_VALUE"""),"2006")</x:f>
      </x:c>
    </x:row>
    <x:row r="5416" spans="1:10">
      <x:c r="A5416" s="1" t="s">
        <x:v>5425</x:v>
      </x:c>
      <x:c r="B5416" s="1">
        <x:f>IFERROR(__xludf.DUMMYFUNCTION("""COMPUTED_VALUE"""),"Pérez, el ratolí dels teus somnis 2")</x:f>
      </x:c>
      <x:c r="C5416" s="1">
        <x:f>IFERROR(__xludf.DUMMYFUNCTION("""COMPUTED_VALUE"""),"2008")</x:f>
      </x:c>
    </x:row>
    <x:row r="5417" spans="1:10">
      <x:c r="A5417" s="1" t="s">
        <x:v>5426</x:v>
      </x:c>
      <x:c r="B5417" s="1">
        <x:f>IFERROR(__xludf.DUMMYFUNCTION("""COMPUTED_VALUE"""),"Perfect Days")</x:f>
      </x:c>
      <x:c r="C5417" s="1">
        <x:f>IFERROR(__xludf.DUMMYFUNCTION("""COMPUTED_VALUE"""),"2023")</x:f>
      </x:c>
    </x:row>
    <x:row r="5418" spans="1:10">
      <x:c r="A5418" s="1" t="s">
        <x:v>5427</x:v>
      </x:c>
      <x:c r="B5418" s="1">
        <x:f>IFERROR(__xludf.DUMMYFUNCTION("""COMPUTED_VALUE"""),"Perfecte amor equivocat")</x:f>
      </x:c>
      <x:c r="C5418" s="1">
        <x:f>IFERROR(__xludf.DUMMYFUNCTION("""COMPUTED_VALUE"""),"2003")</x:f>
      </x:c>
    </x:row>
    <x:row r="5419" spans="1:10">
      <x:c r="A5419" s="1" t="s">
        <x:v>5428</x:v>
      </x:c>
      <x:c r="B5419" s="1">
        <x:f>IFERROR(__xludf.DUMMYFUNCTION("""COMPUTED_VALUE"""),"Perill a la xarxa")</x:f>
      </x:c>
      <x:c r="C5419" s="1">
        <x:f>IFERROR(__xludf.DUMMYFUNCTION("""COMPUTED_VALUE"""),"2016")</x:f>
      </x:c>
    </x:row>
    <x:row r="5420" spans="1:10">
      <x:c r="A5420" s="1" t="s">
        <x:v>5429</x:v>
      </x:c>
      <x:c r="B5420" s="1">
        <x:f>IFERROR(__xludf.DUMMYFUNCTION("""COMPUTED_VALUE"""),"Perill remot")</x:f>
      </x:c>
      <x:c r="C5420" s="1">
        <x:f>IFERROR(__xludf.DUMMYFUNCTION("""COMPUTED_VALUE"""),"2021")</x:f>
      </x:c>
    </x:row>
    <x:row r="5421" spans="1:10">
      <x:c r="A5421" s="1" t="s">
        <x:v>5430</x:v>
      </x:c>
      <x:c r="B5421" s="1">
        <x:f>IFERROR(__xludf.DUMMYFUNCTION("""COMPUTED_VALUE"""),"Però, qui ha mort en Harry?")</x:f>
      </x:c>
      <x:c r="C5421" s="1">
        <x:f>IFERROR(__xludf.DUMMYFUNCTION("""COMPUTED_VALUE"""),"1955")</x:f>
      </x:c>
    </x:row>
    <x:row r="5422" spans="1:10">
      <x:c r="A5422" s="1" t="s">
        <x:v>5431</x:v>
      </x:c>
      <x:c r="B5422" s="1">
        <x:f>IFERROR(__xludf.DUMMYFUNCTION("""COMPUTED_VALUE"""),"Persecució al límit")</x:f>
      </x:c>
      <x:c r="C5422" s="1">
        <x:f>IFERROR(__xludf.DUMMYFUNCTION("""COMPUTED_VALUE"""),"2016")</x:f>
      </x:c>
    </x:row>
    <x:row r="5423" spans="1:10">
      <x:c r="A5423" s="1" t="s">
        <x:v>5432</x:v>
      </x:c>
      <x:c r="B5423" s="1">
        <x:f>IFERROR(__xludf.DUMMYFUNCTION("""COMPUTED_VALUE"""),"Perseguint l'Amy")</x:f>
      </x:c>
      <x:c r="C5423" s="1">
        <x:f>IFERROR(__xludf.DUMMYFUNCTION("""COMPUTED_VALUE"""),"1997")</x:f>
      </x:c>
    </x:row>
    <x:row r="5424" spans="1:10">
      <x:c r="A5424" s="1" t="s">
        <x:v>5433</x:v>
      </x:c>
      <x:c r="B5424" s="1">
        <x:f>IFERROR(__xludf.DUMMYFUNCTION("""COMPUTED_VALUE"""),"Perseguit")</x:f>
      </x:c>
      <x:c r="C5424" s="1">
        <x:f>IFERROR(__xludf.DUMMYFUNCTION("""COMPUTED_VALUE"""),"1987")</x:f>
      </x:c>
    </x:row>
    <x:row r="5425" spans="1:10">
      <x:c r="A5425" s="1" t="s">
        <x:v>5434</x:v>
      </x:c>
      <x:c r="B5425" s="1">
        <x:f>IFERROR(__xludf.DUMMYFUNCTION("""COMPUTED_VALUE"""),"Perseguit pel seu passat")</x:f>
      </x:c>
      <x:c r="C5425" s="1">
        <x:f>IFERROR(__xludf.DUMMYFUNCTION("""COMPUTED_VALUE"""),"1993")</x:f>
      </x:c>
    </x:row>
    <x:row r="5426" spans="1:10">
      <x:c r="A5426" s="1" t="s">
        <x:v>5435</x:v>
      </x:c>
      <x:c r="B5426" s="1">
        <x:f>IFERROR(__xludf.DUMMYFUNCTION("""COMPUTED_VALUE"""),"Perseguit per la mort")</x:f>
      </x:c>
      <x:c r="C5426" s="1">
        <x:f>IFERROR(__xludf.DUMMYFUNCTION("""COMPUTED_VALUE"""),"1959")</x:f>
      </x:c>
    </x:row>
    <x:row r="5427" spans="1:10">
      <x:c r="A5427" s="1" t="s">
        <x:v>5436</x:v>
      </x:c>
      <x:c r="B5427" s="1">
        <x:f>IFERROR(__xludf.DUMMYFUNCTION("""COMPUTED_VALUE"""),"Persèpolis")</x:f>
      </x:c>
      <x:c r="C5427" s="1">
        <x:f>IFERROR(__xludf.DUMMYFUNCTION("""COMPUTED_VALUE"""),"2007")</x:f>
      </x:c>
    </x:row>
    <x:row r="5428" spans="1:10">
      <x:c r="A5428" s="1" t="s">
        <x:v>5437</x:v>
      </x:c>
      <x:c r="B5428" s="1">
        <x:f>IFERROR(__xludf.DUMMYFUNCTION("""COMPUTED_VALUE"""),"Personal Shopper")</x:f>
      </x:c>
      <x:c r="C5428" s="1">
        <x:f>IFERROR(__xludf.DUMMYFUNCTION("""COMPUTED_VALUE"""),"2016")</x:f>
      </x:c>
    </x:row>
    <x:row r="5429" spans="1:10">
      <x:c r="A5429" s="1" t="s">
        <x:v>5438</x:v>
      </x:c>
      <x:c r="B5429" s="1">
        <x:f>IFERROR(__xludf.DUMMYFUNCTION("""COMPUTED_VALUE"""),"Pervers")</x:f>
      </x:c>
      <x:c r="C5429" s="1">
        <x:f>IFERROR(__xludf.DUMMYFUNCTION("""COMPUTED_VALUE"""),"1995")</x:f>
      </x:c>
    </x:row>
    <x:row r="5430" spans="1:10">
      <x:c r="A5430" s="1" t="s">
        <x:v>5439</x:v>
      </x:c>
      <x:c r="B5430" s="1">
        <x:f>IFERROR(__xludf.DUMMYFUNCTION("""COMPUTED_VALUE"""),"Perversitat")</x:f>
      </x:c>
      <x:c r="C5430" s="1">
        <x:f>IFERROR(__xludf.DUMMYFUNCTION("""COMPUTED_VALUE"""),"1945")</x:f>
      </x:c>
    </x:row>
    <x:row r="5431" spans="1:10">
      <x:c r="A5431" s="1" t="s">
        <x:v>5440</x:v>
      </x:c>
      <x:c r="B5431" s="1">
        <x:f>IFERROR(__xludf.DUMMYFUNCTION("""COMPUTED_VALUE"""),"Pete i Tillie")</x:f>
      </x:c>
      <x:c r="C5431" s="1">
        <x:f>IFERROR(__xludf.DUMMYFUNCTION("""COMPUTED_VALUE"""),"1972")</x:f>
      </x:c>
    </x:row>
    <x:row r="5432" spans="1:10">
      <x:c r="A5432" s="1" t="s">
        <x:v>5441</x:v>
      </x:c>
      <x:c r="B5432" s="1">
        <x:f>IFERROR(__xludf.DUMMYFUNCTION("""COMPUTED_VALUE"""),"Peter Gabriel Secret World Live")</x:f>
      </x:c>
      <x:c r="C5432" s="1">
        <x:f>IFERROR(__xludf.DUMMYFUNCTION("""COMPUTED_VALUE"""),"1994")</x:f>
      </x:c>
    </x:row>
    <x:row r="5433" spans="1:10">
      <x:c r="A5433" s="1" t="s">
        <x:v>5442</x:v>
      </x:c>
      <x:c r="B5433" s="1">
        <x:f>IFERROR(__xludf.DUMMYFUNCTION("""COMPUTED_VALUE"""),"Peter Pan Man [VOSC]")</x:f>
      </x:c>
      <x:c r="C5433" s="1">
        <x:f>IFERROR(__xludf.DUMMYFUNCTION("""COMPUTED_VALUE"""),"2014")</x:f>
      </x:c>
    </x:row>
    <x:row r="5434" spans="1:10">
      <x:c r="A5434" s="1" t="s">
        <x:v>5443</x:v>
      </x:c>
      <x:c r="B5434" s="1">
        <x:f>IFERROR(__xludf.DUMMYFUNCTION("""COMPUTED_VALUE"""),"Peter Pan: La gran aventura")</x:f>
      </x:c>
      <x:c r="C5434" s="1">
        <x:f>IFERROR(__xludf.DUMMYFUNCTION("""COMPUTED_VALUE"""),"2003")</x:f>
      </x:c>
    </x:row>
    <x:row r="5435" spans="1:10">
      <x:c r="A5435" s="1" t="s">
        <x:v>5444</x:v>
      </x:c>
      <x:c r="B5435" s="1">
        <x:f>IFERROR(__xludf.DUMMYFUNCTION("""COMPUTED_VALUE"""),"Peter Rabbit 2 L'escapada")</x:f>
      </x:c>
      <x:c r="C5435" s="1">
        <x:f>IFERROR(__xludf.DUMMYFUNCTION("""COMPUTED_VALUE"""),"2021")</x:f>
      </x:c>
    </x:row>
    <x:row r="5436" spans="1:10">
      <x:c r="A5436" s="1" t="s">
        <x:v>5445</x:v>
      </x:c>
      <x:c r="B5436" s="1">
        <x:f>IFERROR(__xludf.DUMMYFUNCTION("""COMPUTED_VALUE"""),"Petit Gran Home")</x:f>
      </x:c>
      <x:c r="C5436" s="1">
        <x:f>IFERROR(__xludf.DUMMYFUNCTION("""COMPUTED_VALUE"""),"1970")</x:f>
      </x:c>
    </x:row>
    <x:row r="5437" spans="1:10">
      <x:c r="A5437" s="1" t="s">
        <x:v>5446</x:v>
      </x:c>
      <x:c r="B5437" s="1">
        <x:f>IFERROR(__xludf.DUMMYFUNCTION("""COMPUTED_VALUE"""),"Petit indi")</x:f>
      </x:c>
      <x:c r="C5437" s="1">
        <x:f>IFERROR(__xludf.DUMMYFUNCTION("""COMPUTED_VALUE"""),"2009")</x:f>
      </x:c>
    </x:row>
    <x:row r="5438" spans="1:10">
      <x:c r="A5438" s="1" t="s">
        <x:v>5447</x:v>
      </x:c>
      <x:c r="B5438" s="1">
        <x:f>IFERROR(__xludf.DUMMYFUNCTION("""COMPUTED_VALUE"""),"Petita Miss Sunshine")</x:f>
      </x:c>
      <x:c r="C5438" s="1">
        <x:f>IFERROR(__xludf.DUMMYFUNCTION("""COMPUTED_VALUE"""),"2006")</x:f>
      </x:c>
    </x:row>
    <x:row r="5439" spans="1:10">
      <x:c r="A5439" s="1" t="s">
        <x:v>5448</x:v>
      </x:c>
      <x:c r="B5439" s="1">
        <x:f>IFERROR(__xludf.DUMMYFUNCTION("""COMPUTED_VALUE"""),"Petite maman")</x:f>
      </x:c>
      <x:c r="C5439" s="1">
        <x:f>IFERROR(__xludf.DUMMYFUNCTION("""COMPUTED_VALUE"""),"2021")</x:f>
      </x:c>
    </x:row>
    <x:row r="5440" spans="1:10">
      <x:c r="A5440" s="1" t="s">
        <x:v>5449</x:v>
      </x:c>
      <x:c r="B5440" s="1">
        <x:f>IFERROR(__xludf.DUMMYFUNCTION("""COMPUTED_VALUE"""),"Petites històries animades")</x:f>
      </x:c>
      <x:c r="C5440" s="1">
        <x:f>IFERROR(__xludf.DUMMYFUNCTION("""COMPUTED_VALUE"""),"2021")</x:f>
      </x:c>
    </x:row>
    <x:row r="5441" spans="1:10">
      <x:c r="A5441" s="1" t="s">
        <x:v>5450</x:v>
      </x:c>
      <x:c r="B5441" s="1">
        <x:f>IFERROR(__xludf.DUMMYFUNCTION("""COMPUTED_VALUE"""),"Petites mentides sense importància")</x:f>
      </x:c>
      <x:c r="C5441" s="1">
        <x:f>IFERROR(__xludf.DUMMYFUNCTION("""COMPUTED_VALUE"""),"2010")</x:f>
      </x:c>
    </x:row>
    <x:row r="5442" spans="1:10">
      <x:c r="A5442" s="1" t="s">
        <x:v>5451</x:v>
      </x:c>
      <x:c r="B5442" s="1">
        <x:f>IFERROR(__xludf.DUMMYFUNCTION("""COMPUTED_VALUE"""),"Petitet")</x:f>
      </x:c>
      <x:c r="C5442" s="1">
        <x:f>IFERROR(__xludf.DUMMYFUNCTION("""COMPUTED_VALUE"""),"2018")</x:f>
      </x:c>
    </x:row>
    <x:row r="5443" spans="1:10">
      <x:c r="A5443" s="1" t="s">
        <x:v>5452</x:v>
      </x:c>
      <x:c r="B5443" s="1">
        <x:f>IFERROR(__xludf.DUMMYFUNCTION("""COMPUTED_VALUE"""),"Petra")</x:f>
      </x:c>
      <x:c r="C5443" s="1">
        <x:f>IFERROR(__xludf.DUMMYFUNCTION("""COMPUTED_VALUE"""),"2018")</x:f>
      </x:c>
    </x:row>
    <x:row r="5444" spans="1:10">
      <x:c r="A5444" s="1" t="s">
        <x:v>5453</x:v>
      </x:c>
      <x:c r="B5444" s="1">
        <x:f>IFERROR(__xludf.DUMMYFUNCTION("""COMPUTED_VALUE"""),"Phantom Boy")</x:f>
      </x:c>
      <x:c r="C5444" s="1">
        <x:f>IFERROR(__xludf.DUMMYFUNCTION("""COMPUTED_VALUE"""),"2015")</x:f>
      </x:c>
    </x:row>
    <x:row r="5445" spans="1:10">
      <x:c r="A5445" s="1" t="s">
        <x:v>5454</x:v>
      </x:c>
      <x:c r="B5445" s="1">
        <x:f>IFERROR(__xludf.DUMMYFUNCTION("""COMPUTED_VALUE"""),"Phantom Thread - (El fil invisible)")</x:f>
      </x:c>
      <x:c r="C5445" s="1">
        <x:f>IFERROR(__xludf.DUMMYFUNCTION("""COMPUTED_VALUE"""),"2017")</x:f>
      </x:c>
    </x:row>
    <x:row r="5446" spans="1:10">
      <x:c r="A5446" s="1" t="s">
        <x:v>5455</x:v>
      </x:c>
      <x:c r="B5446" s="1">
        <x:f>IFERROR(__xludf.DUMMYFUNCTION("""COMPUTED_VALUE"""),"Phantoms")</x:f>
      </x:c>
      <x:c r="C5446" s="1">
        <x:f>IFERROR(__xludf.DUMMYFUNCTION("""COMPUTED_VALUE"""),"1998")</x:f>
      </x:c>
    </x:row>
    <x:row r="5447" spans="1:10">
      <x:c r="A5447" s="1" t="s">
        <x:v>5456</x:v>
      </x:c>
      <x:c r="B5447" s="1">
        <x:f>IFERROR(__xludf.DUMMYFUNCTION("""COMPUTED_VALUE"""),"Phil Collins: Going Back - Live at Roseland Ballroom")</x:f>
      </x:c>
      <x:c r="C5447" s="1">
        <x:f>IFERROR(__xludf.DUMMYFUNCTION("""COMPUTED_VALUE"""),"2010")</x:f>
      </x:c>
    </x:row>
    <x:row r="5448" spans="1:10">
      <x:c r="A5448" s="1" t="s">
        <x:v>5457</x:v>
      </x:c>
      <x:c r="B5448" s="1">
        <x:f>IFERROR(__xludf.DUMMYFUNCTION("""COMPUTED_VALUE"""),"Phillip Morris, t'estimo!")</x:f>
      </x:c>
      <x:c r="C5448" s="1">
        <x:f>IFERROR(__xludf.DUMMYFUNCTION("""COMPUTED_VALUE"""),"2009")</x:f>
      </x:c>
    </x:row>
    <x:row r="5449" spans="1:10">
      <x:c r="A5449" s="1" t="s">
        <x:v>5458</x:v>
      </x:c>
      <x:c r="B5449" s="1">
        <x:f>IFERROR(__xludf.DUMMYFUNCTION("""COMPUTED_VALUE"""),"Philomena")</x:f>
      </x:c>
      <x:c r="C5449" s="1">
        <x:f>IFERROR(__xludf.DUMMYFUNCTION("""COMPUTED_VALUE"""),"2013")</x:f>
      </x:c>
    </x:row>
    <x:row r="5450" spans="1:10">
      <x:c r="A5450" s="1" t="s">
        <x:v>5459</x:v>
      </x:c>
      <x:c r="B5450" s="1">
        <x:f>IFERROR(__xludf.DUMMYFUNCTION("""COMPUTED_VALUE"""),"Pi")</x:f>
      </x:c>
      <x:c r="C5450" s="1">
        <x:f>IFERROR(__xludf.DUMMYFUNCTION("""COMPUTED_VALUE"""),"1998")</x:f>
      </x:c>
    </x:row>
    <x:row r="5451" spans="1:10">
      <x:c r="A5451" s="1" t="s">
        <x:v>5460</x:v>
      </x:c>
      <x:c r="B5451" s="1">
        <x:f>IFERROR(__xludf.DUMMYFUNCTION("""COMPUTED_VALUE"""),"Picap: 40 anys creant espai musical català")</x:f>
      </x:c>
      <x:c r="C5451" s="1">
        <x:f>IFERROR(__xludf.DUMMYFUNCTION("""COMPUTED_VALUE"""),"2024")</x:f>
      </x:c>
    </x:row>
    <x:row r="5452" spans="1:10">
      <x:c r="A5452" s="1" t="s">
        <x:v>5461</x:v>
      </x:c>
      <x:c r="B5452" s="1">
        <x:f>IFERROR(__xludf.DUMMYFUNCTION("""COMPUTED_VALUE"""),"Pícnic")</x:f>
      </x:c>
      <x:c r="C5452" s="1">
        <x:f>IFERROR(__xludf.DUMMYFUNCTION("""COMPUTED_VALUE"""),"1955")</x:f>
      </x:c>
    </x:row>
    <x:row r="5453" spans="1:10">
      <x:c r="A5453" s="1" t="s">
        <x:v>5462</x:v>
      </x:c>
      <x:c r="B5453" s="1">
        <x:f>IFERROR(__xludf.DUMMYFUNCTION("""COMPUTED_VALUE"""),"Pigmalió")</x:f>
      </x:c>
      <x:c r="C5453" s="1">
        <x:f>IFERROR(__xludf.DUMMYFUNCTION("""COMPUTED_VALUE"""),"1987")</x:f>
      </x:c>
    </x:row>
    <x:row r="5454" spans="1:10">
      <x:c r="A5454" s="1" t="s">
        <x:v>5463</x:v>
      </x:c>
      <x:c r="B5454" s="1">
        <x:f>IFERROR(__xludf.DUMMYFUNCTION("""COMPUTED_VALUE"""),"Pina")</x:f>
      </x:c>
      <x:c r="C5454" s="1">
        <x:f>IFERROR(__xludf.DUMMYFUNCTION("""COMPUTED_VALUE"""),"2011")</x:f>
      </x:c>
    </x:row>
    <x:row r="5455" spans="1:10">
      <x:c r="A5455" s="1" t="s">
        <x:v>5464</x:v>
      </x:c>
      <x:c r="B5455" s="1">
        <x:f>IFERROR(__xludf.DUMMYFUNCTION("""COMPUTED_VALUE"""),"Pinball, l'home que va salvar el joc")</x:f>
      </x:c>
      <x:c r="C5455" s="1">
        <x:f>IFERROR(__xludf.DUMMYFUNCTION("""COMPUTED_VALUE"""),"2022")</x:f>
      </x:c>
    </x:row>
    <x:row r="5456" spans="1:10">
      <x:c r="A5456" s="1" t="s">
        <x:v>5465</x:v>
      </x:c>
      <x:c r="B5456" s="1">
        <x:f>IFERROR(__xludf.DUMMYFUNCTION("""COMPUTED_VALUE"""),"Pink Floyd - Live in San Francisco")</x:f>
      </x:c>
      <x:c r="C5456" s="1">
        <x:f>IFERROR(__xludf.DUMMYFUNCTION("""COMPUTED_VALUE"""),"1970")</x:f>
      </x:c>
    </x:row>
    <x:row r="5457" spans="1:10">
      <x:c r="A5457" s="1" t="s">
        <x:v>5466</x:v>
      </x:c>
      <x:c r="B5457" s="1">
        <x:f>IFERROR(__xludf.DUMMYFUNCTION("""COMPUTED_VALUE"""),"Pink Floyd - Live in Venice")</x:f>
      </x:c>
      <x:c r="C5457" s="1">
        <x:f>IFERROR(__xludf.DUMMYFUNCTION("""COMPUTED_VALUE"""),"1989")</x:f>
      </x:c>
    </x:row>
    <x:row r="5458" spans="1:10">
      <x:c r="A5458" s="1" t="s">
        <x:v>5467</x:v>
      </x:c>
      <x:c r="B5458" s="1">
        <x:f>IFERROR(__xludf.DUMMYFUNCTION("""COMPUTED_VALUE"""),"Pink Floyd - Pulse Live at London")</x:f>
      </x:c>
      <x:c r="C5458" s="1">
        <x:f>IFERROR(__xludf.DUMMYFUNCTION("""COMPUTED_VALUE"""),"1994")</x:f>
      </x:c>
    </x:row>
    <x:row r="5459" spans="1:10">
      <x:c r="A5459" s="1" t="s">
        <x:v>5468</x:v>
      </x:c>
      <x:c r="B5459" s="1">
        <x:f>IFERROR(__xludf.DUMMYFUNCTION("""COMPUTED_VALUE"""),"Pink Floyd The Wall [VOSC]")</x:f>
      </x:c>
      <x:c r="C5459" s="1">
        <x:f>IFERROR(__xludf.DUMMYFUNCTION("""COMPUTED_VALUE"""),"1982")</x:f>
      </x:c>
    </x:row>
    <x:row r="5460" spans="1:10">
      <x:c r="A5460" s="1" t="s">
        <x:v>5469</x:v>
      </x:c>
      <x:c r="B5460" s="1">
        <x:f>IFERROR(__xludf.DUMMYFUNCTION("""COMPUTED_VALUE"""),"Pinotxo de Guillermo del Toro")</x:f>
      </x:c>
      <x:c r="C5460" s="1">
        <x:f>IFERROR(__xludf.DUMMYFUNCTION("""COMPUTED_VALUE"""),"2022")</x:f>
      </x:c>
    </x:row>
    <x:row r="5461" spans="1:10">
      <x:c r="A5461" s="1" t="s">
        <x:v>5470</x:v>
      </x:c>
      <x:c r="B5461" s="1">
        <x:f>IFERROR(__xludf.DUMMYFUNCTION("""COMPUTED_VALUE"""),"Pinotxo i la seva amiga Coco")</x:f>
      </x:c>
      <x:c r="C5461" s="1">
        <x:f>IFERROR(__xludf.DUMMYFUNCTION("""COMPUTED_VALUE"""),"2013")</x:f>
      </x:c>
    </x:row>
    <x:row r="5462" spans="1:10">
      <x:c r="A5462" s="1" t="s">
        <x:v>5471</x:v>
      </x:c>
      <x:c r="B5462" s="1">
        <x:f>IFERROR(__xludf.DUMMYFUNCTION("""COMPUTED_VALUE"""),"Pinprick")</x:f>
      </x:c>
      <x:c r="C5462" s="1">
        <x:f>IFERROR(__xludf.DUMMYFUNCTION("""COMPUTED_VALUE"""),"2009")</x:f>
      </x:c>
    </x:row>
    <x:row r="5463" spans="1:10">
      <x:c r="A5463" s="1" t="s">
        <x:v>5472</x:v>
      </x:c>
      <x:c r="B5463" s="1">
        <x:f>IFERROR(__xludf.DUMMYFUNCTION("""COMPUTED_VALUE"""),"Pioners de la Costa Brava")</x:f>
      </x:c>
      <x:c r="C5463" s="1">
        <x:f>IFERROR(__xludf.DUMMYFUNCTION("""COMPUTED_VALUE"""),"2008")</x:f>
      </x:c>
    </x:row>
    <x:row r="5464" spans="1:10">
      <x:c r="A5464" s="1" t="s">
        <x:v>5473</x:v>
      </x:c>
      <x:c r="B5464" s="1">
        <x:f>IFERROR(__xludf.DUMMYFUNCTION("""COMPUTED_VALUE"""),"Pippi i el senyor Sense Son")</x:f>
      </x:c>
      <x:c r="C5464" s="1">
        <x:f>IFERROR(__xludf.DUMMYFUNCTION("""COMPUTED_VALUE"""),"2017")</x:f>
      </x:c>
    </x:row>
    <x:row r="5465" spans="1:10">
      <x:c r="A5465" s="1" t="s">
        <x:v>5474</x:v>
      </x:c>
      <x:c r="B5465" s="1">
        <x:f>IFERROR(__xludf.DUMMYFUNCTION("""COMPUTED_VALUE"""),"Piranya 3D")</x:f>
      </x:c>
      <x:c r="C5465" s="1">
        <x:f>IFERROR(__xludf.DUMMYFUNCTION("""COMPUTED_VALUE"""),"2010")</x:f>
      </x:c>
    </x:row>
    <x:row r="5466" spans="1:10">
      <x:c r="A5466" s="1" t="s">
        <x:v>5475</x:v>
      </x:c>
      <x:c r="B5466" s="1">
        <x:f>IFERROR(__xludf.DUMMYFUNCTION("""COMPUTED_VALUE"""),"Pirates!")</x:f>
      </x:c>
      <x:c r="C5466" s="1">
        <x:f>IFERROR(__xludf.DUMMYFUNCTION("""COMPUTED_VALUE"""),"2012")</x:f>
      </x:c>
    </x:row>
    <x:row r="5467" spans="1:10">
      <x:c r="A5467" s="1" t="s">
        <x:v>5476</x:v>
      </x:c>
      <x:c r="B5467" s="1">
        <x:f>IFERROR(__xludf.DUMMYFUNCTION("""COMPUTED_VALUE"""),"Pistolers de Laredo")</x:f>
      </x:c>
      <x:c r="C5467" s="1">
        <x:f>IFERROR(__xludf.DUMMYFUNCTION("""COMPUTED_VALUE"""),"1959")</x:f>
      </x:c>
    </x:row>
    <x:row r="5468" spans="1:10">
      <x:c r="A5468" s="1" t="s">
        <x:v>5477</x:v>
      </x:c>
      <x:c r="B5468" s="1">
        <x:f>IFERROR(__xludf.DUMMYFUNCTION("""COMPUTED_VALUE"""),"Pitahaya")</x:f>
      </x:c>
      <x:c r="C5468" s="1">
        <x:f>IFERROR(__xludf.DUMMYFUNCTION("""COMPUTED_VALUE"""),"2014")</x:f>
      </x:c>
    </x:row>
    <x:row r="5469" spans="1:10">
      <x:c r="A5469" s="1" t="s">
        <x:v>5478</x:v>
      </x:c>
      <x:c r="B5469" s="1">
        <x:f>IFERROR(__xludf.DUMMYFUNCTION("""COMPUTED_VALUE"""),"Píxels")</x:f>
      </x:c>
      <x:c r="C5469" s="1">
        <x:f>IFERROR(__xludf.DUMMYFUNCTION("""COMPUTED_VALUE"""),"2015")</x:f>
      </x:c>
    </x:row>
    <x:row r="5470" spans="1:10">
      <x:c r="A5470" s="1" t="s">
        <x:v>5479</x:v>
      </x:c>
      <x:c r="B5470" s="1">
        <x:f>IFERROR(__xludf.DUMMYFUNCTION("""COMPUTED_VALUE"""),"Píxels, art i negoci")</x:f>
      </x:c>
      <x:c r="C5470" s="1">
        <x:f>IFERROR(__xludf.DUMMYFUNCTION("""COMPUTED_VALUE"""),"2025")</x:f>
      </x:c>
    </x:row>
    <x:row r="5471" spans="1:10">
      <x:c r="A5471" s="1" t="s">
        <x:v>5480</x:v>
      </x:c>
      <x:c r="B5471" s="1">
        <x:f>IFERROR(__xludf.DUMMYFUNCTION("""COMPUTED_VALUE"""),"Pla 75")</x:f>
      </x:c>
      <x:c r="C5471" s="1">
        <x:f>IFERROR(__xludf.DUMMYFUNCTION("""COMPUTED_VALUE"""),"2022")</x:f>
      </x:c>
    </x:row>
    <x:row r="5472" spans="1:10">
      <x:c r="A5472" s="1" t="s">
        <x:v>5481</x:v>
      </x:c>
      <x:c r="B5472" s="1">
        <x:f>IFERROR(__xludf.DUMMYFUNCTION("""COMPUTED_VALUE"""),"Pla A")</x:f>
      </x:c>
      <x:c r="C5472" s="1">
        <x:f>IFERROR(__xludf.DUMMYFUNCTION("""COMPUTED_VALUE"""),"2021")</x:f>
      </x:c>
    </x:row>
    <x:row r="5473" spans="1:10">
      <x:c r="A5473" s="1" t="s">
        <x:v>5482</x:v>
      </x:c>
      <x:c r="B5473" s="1">
        <x:f>IFERROR(__xludf.DUMMYFUNCTION("""COMPUTED_VALUE"""),"Pla de fuga")</x:f>
      </x:c>
      <x:c r="C5473" s="1">
        <x:f>IFERROR(__xludf.DUMMYFUNCTION("""COMPUTED_VALUE"""),"2013")</x:f>
      </x:c>
    </x:row>
    <x:row r="5474" spans="1:10">
      <x:c r="A5474" s="1" t="s">
        <x:v>5483</x:v>
      </x:c>
      <x:c r="B5474" s="1">
        <x:f>IFERROR(__xludf.DUMMYFUNCTION("""COMPUTED_VALUE"""),"Pla de venjança")</x:f>
      </x:c>
      <x:c r="C5474" s="1">
        <x:f>IFERROR(__xludf.DUMMYFUNCTION("""COMPUTED_VALUE"""),"2020")</x:f>
      </x:c>
    </x:row>
    <x:row r="5475" spans="1:10">
      <x:c r="A5475" s="1" t="s">
        <x:v>5484</x:v>
      </x:c>
      <x:c r="B5475" s="1">
        <x:f>IFERROR(__xludf.DUMMYFUNCTION("""COMPUTED_VALUE"""),"Planet 51")</x:f>
      </x:c>
      <x:c r="C5475" s="1">
        <x:f>IFERROR(__xludf.DUMMYFUNCTION("""COMPUTED_VALUE"""),"2009")</x:f>
      </x:c>
    </x:row>
    <x:row r="5476" spans="1:10">
      <x:c r="A5476" s="1" t="s">
        <x:v>5485</x:v>
      </x:c>
      <x:c r="B5476" s="1">
        <x:f>IFERROR(__xludf.DUMMYFUNCTION("""COMPUTED_VALUE"""),"Planet Terror")</x:f>
      </x:c>
      <x:c r="C5476" s="1">
        <x:f>IFERROR(__xludf.DUMMYFUNCTION("""COMPUTED_VALUE"""),"2007")</x:f>
      </x:c>
    </x:row>
    <x:row r="5477" spans="1:10">
      <x:c r="A5477" s="1" t="s">
        <x:v>5486</x:v>
      </x:c>
      <x:c r="B5477" s="1">
        <x:f>IFERROR(__xludf.DUMMYFUNCTION("""COMPUTED_VALUE"""),"Platillos Volantes")</x:f>
      </x:c>
      <x:c r="C5477" s="1">
        <x:f>IFERROR(__xludf.DUMMYFUNCTION("""COMPUTED_VALUE"""),"2003")</x:f>
      </x:c>
    </x:row>
    <x:row r="5478" spans="1:10">
      <x:c r="A5478" s="1" t="s">
        <x:v>5487</x:v>
      </x:c>
      <x:c r="B5478" s="1">
        <x:f>IFERROR(__xludf.DUMMYFUNCTION("""COMPUTED_VALUE"""),"Platoon")</x:f>
      </x:c>
      <x:c r="C5478" s="1">
        <x:f>IFERROR(__xludf.DUMMYFUNCTION("""COMPUTED_VALUE"""),"1986")</x:f>
      </x:c>
    </x:row>
    <x:row r="5479" spans="1:10">
      <x:c r="A5479" s="1" t="s">
        <x:v>5488</x:v>
      </x:c>
      <x:c r="B5479" s="1">
        <x:f>IFERROR(__xludf.DUMMYFUNCTION("""COMPUTED_VALUE"""),"Playmobil: La pel·lícula")</x:f>
      </x:c>
      <x:c r="C5479" s="1">
        <x:f>IFERROR(__xludf.DUMMYFUNCTION("""COMPUTED_VALUE"""),"2019")</x:f>
      </x:c>
    </x:row>
    <x:row r="5480" spans="1:10">
      <x:c r="A5480" s="1" t="s">
        <x:v>5489</x:v>
      </x:c>
      <x:c r="B5480" s="1">
        <x:f>IFERROR(__xludf.DUMMYFUNCTION("""COMPUTED_VALUE"""),"Plens de gràcia")</x:f>
      </x:c>
      <x:c r="C5480" s="1">
        <x:f>IFERROR(__xludf.DUMMYFUNCTION("""COMPUTED_VALUE"""),"2022")</x:f>
      </x:c>
    </x:row>
    <x:row r="5481" spans="1:10">
      <x:c r="A5481" s="1" t="s">
        <x:v>5490</x:v>
      </x:c>
      <x:c r="B5481" s="1">
        <x:f>IFERROR(__xludf.DUMMYFUNCTION("""COMPUTED_VALUE"""),"Plors en la foscor")</x:f>
      </x:c>
      <x:c r="C5481" s="1">
        <x:f>IFERROR(__xludf.DUMMYFUNCTION("""COMPUTED_VALUE"""),"2006")</x:f>
      </x:c>
    </x:row>
    <x:row r="5482" spans="1:10">
      <x:c r="A5482" s="1" t="s">
        <x:v>5491</x:v>
      </x:c>
      <x:c r="B5482" s="1">
        <x:f>IFERROR(__xludf.DUMMYFUNCTION("""COMPUTED_VALUE"""),"Pluja de mandonguilles")</x:f>
      </x:c>
      <x:c r="C5482" s="1">
        <x:f>IFERROR(__xludf.DUMMYFUNCTION("""COMPUTED_VALUE"""),"2009")</x:f>
      </x:c>
    </x:row>
    <x:row r="5483" spans="1:10">
      <x:c r="A5483" s="1" t="s">
        <x:v>5492</x:v>
      </x:c>
      <x:c r="B5483" s="1">
        <x:f>IFERROR(__xludf.DUMMYFUNCTION("""COMPUTED_VALUE"""),"Pluja de mandonguilles 2")</x:f>
      </x:c>
      <x:c r="C5483" s="1">
        <x:f>IFERROR(__xludf.DUMMYFUNCTION("""COMPUTED_VALUE"""),"2013")</x:f>
      </x:c>
    </x:row>
    <x:row r="5484" spans="1:10">
      <x:c r="A5484" s="1" t="s">
        <x:v>5493</x:v>
      </x:c>
      <x:c r="B5484" s="1">
        <x:f>IFERROR(__xludf.DUMMYFUNCTION("""COMPUTED_VALUE"""),"Pluja seca. Mediadors internacionals al País Basc")</x:f>
      </x:c>
      <x:c r="C5484" s="1">
        <x:f>IFERROR(__xludf.DUMMYFUNCTION("""COMPUTED_VALUE"""),"2011")</x:f>
      </x:c>
    </x:row>
    <x:row r="5485" spans="1:10">
      <x:c r="A5485" s="1" t="s">
        <x:v>5494</x:v>
      </x:c>
      <x:c r="B5485" s="1">
        <x:f>IFERROR(__xludf.DUMMYFUNCTION("""COMPUTED_VALUE"""),"Pluto Nash")</x:f>
      </x:c>
      <x:c r="C5485" s="1">
        <x:f>IFERROR(__xludf.DUMMYFUNCTION("""COMPUTED_VALUE"""),"2002")</x:f>
      </x:c>
    </x:row>
    <x:row r="5486" spans="1:10">
      <x:c r="A5486" s="1" t="s">
        <x:v>5495</x:v>
      </x:c>
      <x:c r="B5486" s="1">
        <x:f>IFERROR(__xludf.DUMMYFUNCTION("""COMPUTED_VALUE"""),"Poder absolut")</x:f>
      </x:c>
      <x:c r="C5486" s="1">
        <x:f>IFERROR(__xludf.DUMMYFUNCTION("""COMPUTED_VALUE"""),"1997")</x:f>
      </x:c>
    </x:row>
    <x:row r="5487" spans="1:10">
      <x:c r="A5487" s="1" t="s">
        <x:v>5496</x:v>
      </x:c>
      <x:c r="B5487" s="1">
        <x:f>IFERROR(__xludf.DUMMYFUNCTION("""COMPUTED_VALUE"""),"Poder i glòria")</x:f>
      </x:c>
      <x:c r="C5487" s="1">
        <x:f>IFERROR(__xludf.DUMMYFUNCTION("""COMPUTED_VALUE"""),"2026")</x:f>
      </x:c>
    </x:row>
    <x:row r="5488" spans="1:10">
      <x:c r="A5488" s="1" t="s">
        <x:v>5497</x:v>
      </x:c>
      <x:c r="B5488" s="1">
        <x:f>IFERROR(__xludf.DUMMYFUNCTION("""COMPUTED_VALUE"""),"Poderosa Afrodita")</x:f>
      </x:c>
      <x:c r="C5488" s="1">
        <x:f>IFERROR(__xludf.DUMMYFUNCTION("""COMPUTED_VALUE"""),"1995")</x:f>
      </x:c>
    </x:row>
    <x:row r="5489" spans="1:10">
      <x:c r="A5489" s="1" t="s">
        <x:v>5498</x:v>
      </x:c>
      <x:c r="B5489" s="1">
        <x:f>IFERROR(__xludf.DUMMYFUNCTION("""COMPUTED_VALUE"""),"Poe")</x:f>
      </x:c>
      <x:c r="C5489" s="1">
        <x:f>IFERROR(__xludf.DUMMYFUNCTION("""COMPUTED_VALUE"""),"2002")</x:f>
      </x:c>
    </x:row>
    <x:row r="5490" spans="1:10">
      <x:c r="A5490" s="1" t="s">
        <x:v>5499</x:v>
      </x:c>
      <x:c r="B5490" s="1">
        <x:f>IFERROR(__xludf.DUMMYFUNCTION("""COMPUTED_VALUE"""),"Pokémon: detectiu Pikachu")</x:f>
      </x:c>
      <x:c r="C5490" s="1">
        <x:f>IFERROR(__xludf.DUMMYFUNCTION("""COMPUTED_VALUE"""),"2019")</x:f>
      </x:c>
    </x:row>
    <x:row r="5491" spans="1:10">
      <x:c r="A5491" s="1" t="s">
        <x:v>5500</x:v>
      </x:c>
      <x:c r="B5491" s="1">
        <x:f>IFERROR(__xludf.DUMMYFUNCTION("""COMPUTED_VALUE"""),"Polar Express")</x:f>
      </x:c>
      <x:c r="C5491" s="1">
        <x:f>IFERROR(__xludf.DUMMYFUNCTION("""COMPUTED_VALUE"""),"2004")</x:f>
      </x:c>
    </x:row>
    <x:row r="5492" spans="1:10">
      <x:c r="A5492" s="1" t="s">
        <x:v>5501</x:v>
      </x:c>
      <x:c r="B5492" s="1">
        <x:f>IFERROR(__xludf.DUMMYFUNCTION("""COMPUTED_VALUE"""),"Poli de guarderia")</x:f>
      </x:c>
      <x:c r="C5492" s="1">
        <x:f>IFERROR(__xludf.DUMMYFUNCTION("""COMPUTED_VALUE"""),"1990")</x:f>
      </x:c>
    </x:row>
    <x:row r="5493" spans="1:10">
      <x:c r="A5493" s="1" t="s">
        <x:v>5502</x:v>
      </x:c>
      <x:c r="B5493" s="1">
        <x:f>IFERROR(__xludf.DUMMYFUNCTION("""COMPUTED_VALUE"""),"Policia Python 357")</x:f>
      </x:c>
      <x:c r="C5493" s="1">
        <x:f>IFERROR(__xludf.DUMMYFUNCTION("""COMPUTED_VALUE"""),"1976")</x:f>
      </x:c>
    </x:row>
    <x:row r="5494" spans="1:10">
      <x:c r="A5494" s="1" t="s">
        <x:v>5503</x:v>
      </x:c>
      <x:c r="B5494" s="1">
        <x:f>IFERROR(__xludf.DUMMYFUNCTION("""COMPUTED_VALUE"""),"Poligàmia")</x:f>
      </x:c>
      <x:c r="C5494" s="1">
        <x:f>IFERROR(__xludf.DUMMYFUNCTION("""COMPUTED_VALUE"""),"2009")</x:f>
      </x:c>
    </x:row>
    <x:row r="5495" spans="1:10">
      <x:c r="A5495" s="1" t="s">
        <x:v>5504</x:v>
      </x:c>
      <x:c r="B5495" s="1">
        <x:f>IFERROR(__xludf.DUMMYFUNCTION("""COMPUTED_VALUE"""),"Pollastre amb prunes")</x:f>
      </x:c>
      <x:c r="C5495" s="1">
        <x:f>IFERROR(__xludf.DUMMYFUNCTION("""COMPUTED_VALUE"""),"2011")</x:f>
      </x:c>
    </x:row>
    <x:row r="5496" spans="1:10">
      <x:c r="A5496" s="1" t="s">
        <x:v>5505</x:v>
      </x:c>
      <x:c r="B5496" s="1">
        <x:f>IFERROR(__xludf.DUMMYFUNCTION("""COMPUTED_VALUE"""),"Polònia, el Musical")</x:f>
      </x:c>
      <x:c r="C5496" s="1">
        <x:f>IFERROR(__xludf.DUMMYFUNCTION("""COMPUTED_VALUE"""),"2015")</x:f>
      </x:c>
    </x:row>
    <x:row r="5497" spans="1:10">
      <x:c r="A5497" s="1" t="s">
        <x:v>5506</x:v>
      </x:c>
      <x:c r="B5497" s="1">
        <x:f>IFERROR(__xludf.DUMMYFUNCTION("""COMPUTED_VALUE"""),"Poltergeist")</x:f>
      </x:c>
      <x:c r="C5497" s="1">
        <x:f>IFERROR(__xludf.DUMMYFUNCTION("""COMPUTED_VALUE"""),"1982")</x:f>
      </x:c>
    </x:row>
    <x:row r="5498" spans="1:10">
      <x:c r="A5498" s="1" t="s">
        <x:v>5507</x:v>
      </x:c>
      <x:c r="B5498" s="1">
        <x:f>IFERROR(__xludf.DUMMYFUNCTION("""COMPUTED_VALUE"""),"Pompeia")</x:f>
      </x:c>
      <x:c r="C5498" s="1">
        <x:f>IFERROR(__xludf.DUMMYFUNCTION("""COMPUTED_VALUE"""),"2014")</x:f>
      </x:c>
    </x:row>
    <x:row r="5499" spans="1:10">
      <x:c r="A5499" s="1" t="s">
        <x:v>5508</x:v>
      </x:c>
      <x:c r="B5499" s="1">
        <x:f>IFERROR(__xludf.DUMMYFUNCTION("""COMPUTED_VALUE"""),"Pompoko")</x:f>
      </x:c>
      <x:c r="C5499" s="1">
        <x:f>IFERROR(__xludf.DUMMYFUNCTION("""COMPUTED_VALUE"""),"1994")</x:f>
      </x:c>
    </x:row>
    <x:row r="5500" spans="1:10">
      <x:c r="A5500" s="1" t="s">
        <x:v>5509</x:v>
      </x:c>
      <x:c r="B5500" s="1">
        <x:f>IFERROR(__xludf.DUMMYFUNCTION("""COMPUTED_VALUE"""),"Pont de Varsòvia")</x:f>
      </x:c>
      <x:c r="C5500" s="1">
        <x:f>IFERROR(__xludf.DUMMYFUNCTION("""COMPUTED_VALUE"""),"1990")</x:f>
      </x:c>
    </x:row>
    <x:row r="5501" spans="1:10">
      <x:c r="A5501" s="1" t="s">
        <x:v>5510</x:v>
      </x:c>
      <x:c r="B5501" s="1">
        <x:f>IFERROR(__xludf.DUMMYFUNCTION("""COMPUTED_VALUE"""),"Por i fàstic a Las Vegas")</x:f>
      </x:c>
      <x:c r="C5501" s="1">
        <x:f>IFERROR(__xludf.DUMMYFUNCTION("""COMPUTED_VALUE"""),"1998")</x:f>
      </x:c>
    </x:row>
    <x:row r="5502" spans="1:10">
      <x:c r="A5502" s="1" t="s">
        <x:v>5511</x:v>
      </x:c>
      <x:c r="B5502" s="1">
        <x:f>IFERROR(__xludf.DUMMYFUNCTION("""COMPUTED_VALUE"""),"Porco Rosso")</x:f>
      </x:c>
      <x:c r="C5502" s="1">
        <x:f>IFERROR(__xludf.DUMMYFUNCTION("""COMPUTED_VALUE"""),"1992")</x:f>
      </x:c>
    </x:row>
    <x:row r="5503" spans="1:10">
      <x:c r="A5503" s="1" t="s">
        <x:v>5512</x:v>
      </x:c>
      <x:c r="B5503" s="1">
        <x:f>IFERROR(__xludf.DUMMYFUNCTION("""COMPUTED_VALUE"""),"Porno deepfake, ets tu la següent?")</x:f>
      </x:c>
      <x:c r="C5503" s="1">
        <x:f>IFERROR(__xludf.DUMMYFUNCTION("""COMPUTED_VALUE"""),"2022")</x:f>
      </x:c>
    </x:row>
    <x:row r="5504" spans="1:10">
      <x:c r="A5504" s="1" t="s">
        <x:v>5513</x:v>
      </x:c>
      <x:c r="B5504" s="1">
        <x:f>IFERROR(__xludf.DUMMYFUNCTION("""COMPUTED_VALUE"""),"Porta'm a la Lluna (2D)")</x:f>
      </x:c>
      <x:c r="C5504" s="1">
        <x:f>IFERROR(__xludf.DUMMYFUNCTION("""COMPUTED_VALUE"""),"2008")</x:f>
      </x:c>
    </x:row>
    <x:row r="5505" spans="1:10">
      <x:c r="A5505" s="1" t="s">
        <x:v>5514</x:v>
      </x:c>
      <x:c r="B5505" s="1">
        <x:f>IFERROR(__xludf.DUMMYFUNCTION("""COMPUTED_VALUE"""),"PortAventura, més enllà de l'atracció")</x:f>
      </x:c>
      <x:c r="C5505" s="1">
        <x:f>IFERROR(__xludf.DUMMYFUNCTION("""COMPUTED_VALUE"""),"2025")</x:f>
      </x:c>
    </x:row>
    <x:row r="5506" spans="1:10">
      <x:c r="A5506" s="1" t="s">
        <x:v>5515</x:v>
      </x:c>
      <x:c r="B5506" s="1">
        <x:f>IFERROR(__xludf.DUMMYFUNCTION("""COMPUTED_VALUE"""),"Posidó")</x:f>
      </x:c>
      <x:c r="C5506" s="1">
        <x:f>IFERROR(__xludf.DUMMYFUNCTION("""COMPUTED_VALUE"""),"2006")</x:f>
      </x:c>
    </x:row>
    <x:row r="5507" spans="1:10">
      <x:c r="A5507" s="1" t="s">
        <x:v>5516</x:v>
      </x:c>
      <x:c r="B5507" s="1">
        <x:f>IFERROR(__xludf.DUMMYFUNCTION("""COMPUTED_VALUE"""),"Possessió infernal")</x:f>
      </x:c>
      <x:c r="C5507" s="1">
        <x:f>IFERROR(__xludf.DUMMYFUNCTION("""COMPUTED_VALUE"""),"2013")</x:f>
      </x:c>
    </x:row>
    <x:row r="5508" spans="1:10">
      <x:c r="A5508" s="1" t="s">
        <x:v>5517</x:v>
      </x:c>
      <x:c r="B5508" s="1">
        <x:f>IFERROR(__xludf.DUMMYFUNCTION("""COMPUTED_VALUE"""),"Potiche")</x:f>
      </x:c>
      <x:c r="C5508" s="1">
        <x:f>IFERROR(__xludf.DUMMYFUNCTION("""COMPUTED_VALUE"""),"2010")</x:f>
      </x:c>
    </x:row>
    <x:row r="5509" spans="1:10">
      <x:c r="A5509" s="1" t="s">
        <x:v>5518</x:v>
      </x:c>
      <x:c r="B5509" s="1">
        <x:f>IFERROR(__xludf.DUMMYFUNCTION("""COMPUTED_VALUE"""),"Pous d'ambició")</x:f>
      </x:c>
      <x:c r="C5509" s="1">
        <x:f>IFERROR(__xludf.DUMMYFUNCTION("""COMPUTED_VALUE"""),"2007")</x:f>
      </x:c>
    </x:row>
    <x:row r="5510" spans="1:10">
      <x:c r="A5510" s="1" t="s">
        <x:v>5519</x:v>
      </x:c>
      <x:c r="B5510" s="1">
        <x:f>IFERROR(__xludf.DUMMYFUNCTION("""COMPUTED_VALUE"""),"Powaqqatsi")</x:f>
      </x:c>
      <x:c r="C5510" s="1">
        <x:f>IFERROR(__xludf.DUMMYFUNCTION("""COMPUTED_VALUE"""),"1988")</x:f>
      </x:c>
    </x:row>
    <x:row r="5511" spans="1:10">
      <x:c r="A5511" s="1" t="s">
        <x:v>5520</x:v>
      </x:c>
      <x:c r="B5511" s="1">
        <x:f>IFERROR(__xludf.DUMMYFUNCTION("""COMPUTED_VALUE"""),"Pràcticament màgia")</x:f>
      </x:c>
      <x:c r="C5511" s="1">
        <x:f>IFERROR(__xludf.DUMMYFUNCTION("""COMPUTED_VALUE"""),"1998")</x:f>
      </x:c>
    </x:row>
    <x:row r="5512" spans="1:10">
      <x:c r="A5512" s="1" t="s">
        <x:v>5521</x:v>
      </x:c>
      <x:c r="B5512" s="1">
        <x:f>IFERROR(__xludf.DUMMYFUNCTION("""COMPUTED_VALUE"""),"Precious")</x:f>
      </x:c>
      <x:c r="C5512" s="1">
        <x:f>IFERROR(__xludf.DUMMYFUNCTION("""COMPUTED_VALUE"""),"2009")</x:f>
      </x:c>
    </x:row>
    <x:row r="5513" spans="1:10">
      <x:c r="A5513" s="1" t="s">
        <x:v>5522</x:v>
      </x:c>
      <x:c r="B5513" s="1">
        <x:f>IFERROR(__xludf.DUMMYFUNCTION("""COMPUTED_VALUE"""),"Pregunta-ho al vent")</x:f>
      </x:c>
      <x:c r="C5513" s="1">
        <x:f>IFERROR(__xludf.DUMMYFUNCTION("""COMPUTED_VALUE"""),"2006")</x:f>
      </x:c>
    </x:row>
    <x:row r="5514" spans="1:10">
      <x:c r="A5514" s="1" t="s">
        <x:v>5523</x:v>
      </x:c>
      <x:c r="B5514" s="1">
        <x:f>IFERROR(__xludf.DUMMYFUNCTION("""COMPUTED_VALUE"""),"Premonition")</x:f>
      </x:c>
      <x:c r="C5514" s="1">
        <x:f>IFERROR(__xludf.DUMMYFUNCTION("""COMPUTED_VALUE"""),"2004")</x:f>
      </x:c>
    </x:row>
    <x:row r="5515" spans="1:10">
      <x:c r="A5515" s="1" t="s">
        <x:v>5524</x:v>
      </x:c>
      <x:c r="B5515" s="1">
        <x:f>IFERROR(__xludf.DUMMYFUNCTION("""COMPUTED_VALUE"""),"Premonition (7 dies)")</x:f>
      </x:c>
      <x:c r="C5515" s="1">
        <x:f>IFERROR(__xludf.DUMMYFUNCTION("""COMPUTED_VALUE"""),"2007")</x:f>
      </x:c>
    </x:row>
    <x:row r="5516" spans="1:10">
      <x:c r="A5516" s="1" t="s">
        <x:v>5525</x:v>
      </x:c>
      <x:c r="B5516" s="1">
        <x:f>IFERROR(__xludf.DUMMYFUNCTION("""COMPUTED_VALUE"""),"Presa d'una obsessió")</x:f>
      </x:c>
      <x:c r="C5516" s="1">
        <x:f>IFERROR(__xludf.DUMMYFUNCTION("""COMPUTED_VALUE"""),"2017")</x:f>
      </x:c>
    </x:row>
    <x:row r="5517" spans="1:10">
      <x:c r="A5517" s="1" t="s">
        <x:v>5526</x:v>
      </x:c>
      <x:c r="B5517" s="1">
        <x:f>IFERROR(__xludf.DUMMYFUNCTION("""COMPUTED_VALUE"""),"Presa valuosa")</x:f>
      </x:c>
      <x:c r="C5517" s="1">
        <x:f>IFERROR(__xludf.DUMMYFUNCTION("""COMPUTED_VALUE"""),"1957")</x:f>
      </x:c>
    </x:row>
    <x:row r="5518" spans="1:10">
      <x:c r="A5518" s="1" t="s">
        <x:v>5527</x:v>
      </x:c>
      <x:c r="B5518" s="1">
        <x:f>IFERROR(__xludf.DUMMYFUNCTION("""COMPUTED_VALUE"""),"Presoners")</x:f>
      </x:c>
      <x:c r="C5518" s="1">
        <x:f>IFERROR(__xludf.DUMMYFUNCTION("""COMPUTED_VALUE"""),"2013")</x:f>
      </x:c>
    </x:row>
    <x:row r="5519" spans="1:10">
      <x:c r="A5519" s="1" t="s">
        <x:v>5528</x:v>
      </x:c>
      <x:c r="B5519" s="1">
        <x:f>IFERROR(__xludf.DUMMYFUNCTION("""COMPUTED_VALUE"""),"Presumpte innocent")</x:f>
      </x:c>
      <x:c r="C5519" s="1">
        <x:f>IFERROR(__xludf.DUMMYFUNCTION("""COMPUTED_VALUE"""),"1990")</x:f>
      </x:c>
    </x:row>
    <x:row r="5520" spans="1:10">
      <x:c r="A5520" s="1" t="s">
        <x:v>5529</x:v>
      </x:c>
      <x:c r="B5520" s="1">
        <x:f>IFERROR(__xludf.DUMMYFUNCTION("""COMPUTED_VALUE"""),"Presumptes culpables. Els altres Altsasu")</x:f>
      </x:c>
      <x:c r="C5520" s="1">
        <x:f>IFERROR(__xludf.DUMMYFUNCTION("""COMPUTED_VALUE"""),"2022")</x:f>
      </x:c>
    </x:row>
    <x:row r="5521" spans="1:10">
      <x:c r="A5521" s="1" t="s">
        <x:v>5530</x:v>
      </x:c>
      <x:c r="B5521" s="1">
        <x:f>IFERROR(__xludf.DUMMYFUNCTION("""COMPUTED_VALUE"""),"Prim, l'assassinat del carrer del Turco")</x:f>
      </x:c>
      <x:c r="C5521" s="1">
        <x:f>IFERROR(__xludf.DUMMYFUNCTION("""COMPUTED_VALUE"""),"2014")</x:f>
      </x:c>
    </x:row>
    <x:row r="5522" spans="1:10">
      <x:c r="A5522" s="1" t="s">
        <x:v>5531</x:v>
      </x:c>
      <x:c r="B5522" s="1">
        <x:f>IFERROR(__xludf.DUMMYFUNCTION("""COMPUTED_VALUE"""),"Primavera a Beechwood")</x:f>
      </x:c>
      <x:c r="C5522" s="1">
        <x:f>IFERROR(__xludf.DUMMYFUNCTION("""COMPUTED_VALUE"""),"2021")</x:f>
      </x:c>
    </x:row>
    <x:row r="5523" spans="1:10">
      <x:c r="A5523" s="1" t="s">
        <x:v>5532</x:v>
      </x:c>
      <x:c r="B5523" s="1">
        <x:f>IFERROR(__xludf.DUMMYFUNCTION("""COMPUTED_VALUE"""),"Primavera del 41")</x:f>
      </x:c>
      <x:c r="C5523" s="1">
        <x:f>IFERROR(__xludf.DUMMYFUNCTION("""COMPUTED_VALUE"""),"2007")</x:f>
      </x:c>
    </x:row>
    <x:row r="5524" spans="1:10">
      <x:c r="A5524" s="1" t="s">
        <x:v>5533</x:v>
      </x:c>
      <x:c r="B5524" s="1">
        <x:f>IFERROR(__xludf.DUMMYFUNCTION("""COMPUTED_VALUE"""),"Primer")</x:f>
      </x:c>
      <x:c r="C5524" s="1">
        <x:f>IFERROR(__xludf.DUMMYFUNCTION("""COMPUTED_VALUE"""),"2004")</x:f>
      </x:c>
    </x:row>
    <x:row r="5525" spans="1:10">
      <x:c r="A5525" s="1" t="s">
        <x:v>5534</x:v>
      </x:c>
      <x:c r="B5525" s="1">
        <x:f>IFERROR(__xludf.DUMMYFUNCTION("""COMPUTED_VALUE"""),"Primera plana")</x:f>
      </x:c>
      <x:c r="C5525" s="1">
        <x:f>IFERROR(__xludf.DUMMYFUNCTION("""COMPUTED_VALUE"""),"1931")</x:f>
      </x:c>
    </x:row>
    <x:row r="5526" spans="1:10">
      <x:c r="A5526" s="1" t="s">
        <x:v>5535</x:v>
      </x:c>
      <x:c r="B5526" s="1">
        <x:f>IFERROR(__xludf.DUMMYFUNCTION("""COMPUTED_VALUE"""),"Princess of the Row")</x:f>
      </x:c>
      <x:c r="C5526" s="1">
        <x:f>IFERROR(__xludf.DUMMYFUNCTION("""COMPUTED_VALUE"""),"2019")</x:f>
      </x:c>
    </x:row>
    <x:row r="5527" spans="1:10">
      <x:c r="A5527" s="1" t="s">
        <x:v>5536</x:v>
      </x:c>
      <x:c r="B5527" s="1">
        <x:f>IFERROR(__xludf.DUMMYFUNCTION("""COMPUTED_VALUE"""),"Priscil·la, reina del desert")</x:f>
      </x:c>
      <x:c r="C5527" s="1">
        <x:f>IFERROR(__xludf.DUMMYFUNCTION("""COMPUTED_VALUE"""),"1994")</x:f>
      </x:c>
    </x:row>
    <x:row r="5528" spans="1:10">
      <x:c r="A5528" s="1" t="s">
        <x:v>5537</x:v>
      </x:c>
      <x:c r="B5528" s="1">
        <x:f>IFERROR(__xludf.DUMMYFUNCTION("""COMPUTED_VALUE"""),"Prodigiosa Ladybug. El món prodigiós: Nova York, herois units")</x:f>
      </x:c>
      <x:c r="C5528" s="1">
        <x:f>IFERROR(__xludf.DUMMYFUNCTION("""COMPUTED_VALUE"""),"2020")</x:f>
      </x:c>
    </x:row>
    <x:row r="5529" spans="1:10">
      <x:c r="A5529" s="1" t="s">
        <x:v>5538</x:v>
      </x:c>
      <x:c r="B5529" s="1">
        <x:f>IFERROR(__xludf.DUMMYFUNCTION("""COMPUTED_VALUE"""),"Prodigiosa Ladybug. El món prodigiós. Xangai, la llegenda de Ladydragon")</x:f>
      </x:c>
      <x:c r="C5529" s="1">
        <x:f>IFERROR(__xludf.DUMMYFUNCTION("""COMPUTED_VALUE"""),"2021")</x:f>
      </x:c>
    </x:row>
    <x:row r="5530" spans="1:10">
      <x:c r="A5530" s="1" t="s">
        <x:v>5539</x:v>
      </x:c>
      <x:c r="B5530" s="1">
        <x:f>IFERROR(__xludf.DUMMYFUNCTION("""COMPUTED_VALUE"""),"Prodigiosa Les aventures de Ladybug i Gat Noir – Especial Acció")</x:f>
      </x:c>
      <x:c r="C5530" s="1">
        <x:f>IFERROR(__xludf.DUMMYFUNCTION("""COMPUTED_VALUE"""),"2022")</x:f>
      </x:c>
    </x:row>
    <x:row r="5531" spans="1:10">
      <x:c r="A5531" s="1" t="s">
        <x:v>5540</x:v>
      </x:c>
      <x:c r="B5531" s="1">
        <x:f>IFERROR(__xludf.DUMMYFUNCTION("""COMPUTED_VALUE"""),"Professor a Groenlàndia")</x:f>
      </x:c>
      <x:c r="C5531" s="1">
        <x:f>IFERROR(__xludf.DUMMYFUNCTION("""COMPUTED_VALUE"""),"2018")</x:f>
      </x:c>
    </x:row>
    <x:row r="5532" spans="1:10">
      <x:c r="A5532" s="1" t="s">
        <x:v>5541</x:v>
      </x:c>
      <x:c r="B5532" s="1">
        <x:f>IFERROR(__xludf.DUMMYFUNCTION("""COMPUTED_VALUE"""),"Professor Lazhar")</x:f>
      </x:c>
      <x:c r="C5532" s="1">
        <x:f>IFERROR(__xludf.DUMMYFUNCTION("""COMPUTED_VALUE"""),"2011")</x:f>
      </x:c>
    </x:row>
    <x:row r="5533" spans="1:10">
      <x:c r="A5533" s="1" t="s">
        <x:v>5542</x:v>
      </x:c>
      <x:c r="B5533" s="1">
        <x:f>IFERROR(__xludf.DUMMYFUNCTION("""COMPUTED_VALUE"""),"Projecte Brainstorm")</x:f>
      </x:c>
      <x:c r="C5533" s="1">
        <x:f>IFERROR(__xludf.DUMMYFUNCTION("""COMPUTED_VALUE"""),"1983")</x:f>
      </x:c>
    </x:row>
    <x:row r="5534" spans="1:10">
      <x:c r="A5534" s="1" t="s">
        <x:v>5543</x:v>
      </x:c>
      <x:c r="B5534" s="1">
        <x:f>IFERROR(__xludf.DUMMYFUNCTION("""COMPUTED_VALUE"""),"Projecte Llàtzer")</x:f>
      </x:c>
      <x:c r="C5534" s="1">
        <x:f>IFERROR(__xludf.DUMMYFUNCTION("""COMPUTED_VALUE"""),"2016")</x:f>
      </x:c>
    </x:row>
    <x:row r="5535" spans="1:10">
      <x:c r="A5535" s="1" t="s">
        <x:v>5544</x:v>
      </x:c>
      <x:c r="B5535" s="1">
        <x:f>IFERROR(__xludf.DUMMYFUNCTION("""COMPUTED_VALUE"""),"Projecte X")</x:f>
      </x:c>
      <x:c r="C5535" s="1">
        <x:f>IFERROR(__xludf.DUMMYFUNCTION("""COMPUTED_VALUE"""),"2012")</x:f>
      </x:c>
    </x:row>
    <x:row r="5536" spans="1:10">
      <x:c r="A5536" s="1" t="s">
        <x:v>5545</x:v>
      </x:c>
      <x:c r="B5536" s="1">
        <x:f>IFERROR(__xludf.DUMMYFUNCTION("""COMPUTED_VALUE"""),"Promare")</x:f>
      </x:c>
      <x:c r="C5536" s="1">
        <x:f>IFERROR(__xludf.DUMMYFUNCTION("""COMPUTED_VALUE"""),"2019")</x:f>
      </x:c>
    </x:row>
    <x:row r="5537" spans="1:10">
      <x:c r="A5537" s="1" t="s">
        <x:v>5546</x:v>
      </x:c>
      <x:c r="B5537" s="1">
        <x:f>IFERROR(__xludf.DUMMYFUNCTION("""COMPUTED_VALUE"""),"Promesa a l'alba")</x:f>
      </x:c>
      <x:c r="C5537" s="1">
        <x:f>IFERROR(__xludf.DUMMYFUNCTION("""COMPUTED_VALUE"""),"2017")</x:f>
      </x:c>
    </x:row>
    <x:row r="5538" spans="1:10">
      <x:c r="A5538" s="1" t="s">
        <x:v>5547</x:v>
      </x:c>
      <x:c r="B5538" s="1">
        <x:f>IFERROR(__xludf.DUMMYFUNCTION("""COMPUTED_VALUE"""),"Promeses a París")</x:f>
      </x:c>
      <x:c r="C5538" s="1">
        <x:f>IFERROR(__xludf.DUMMYFUNCTION("""COMPUTED_VALUE"""),"2021")</x:f>
      </x:c>
    </x:row>
    <x:row r="5539" spans="1:10">
      <x:c r="A5539" s="1" t="s">
        <x:v>5548</x:v>
      </x:c>
      <x:c r="B5539" s="1">
        <x:f>IFERROR(__xludf.DUMMYFUNCTION("""COMPUTED_VALUE"""),"Promeses de l'est")</x:f>
      </x:c>
      <x:c r="C5539" s="1">
        <x:f>IFERROR(__xludf.DUMMYFUNCTION("""COMPUTED_VALUE"""),"2007")</x:f>
      </x:c>
    </x:row>
    <x:row r="5540" spans="1:10">
      <x:c r="A5540" s="1" t="s">
        <x:v>5549</x:v>
      </x:c>
      <x:c r="B5540" s="1">
        <x:f>IFERROR(__xludf.DUMMYFUNCTION("""COMPUTED_VALUE"""),"Promeses incomplides")</x:f>
      </x:c>
      <x:c r="C5540" s="1">
        <x:f>IFERROR(__xludf.DUMMYFUNCTION("""COMPUTED_VALUE"""),"1998")</x:f>
      </x:c>
    </x:row>
    <x:row r="5541" spans="1:10">
      <x:c r="A5541" s="1" t="s">
        <x:v>5550</x:v>
      </x:c>
      <x:c r="B5541" s="1">
        <x:f>IFERROR(__xludf.DUMMYFUNCTION("""COMPUTED_VALUE"""),"Promet-me")</x:f>
      </x:c>
      <x:c r="C5541" s="1">
        <x:f>IFERROR(__xludf.DUMMYFUNCTION("""COMPUTED_VALUE"""),"2007")</x:f>
      </x:c>
    </x:row>
    <x:row r="5542" spans="1:10">
      <x:c r="A5542" s="1" t="s">
        <x:v>5551</x:v>
      </x:c>
      <x:c r="B5542" s="1">
        <x:f>IFERROR(__xludf.DUMMYFUNCTION("""COMPUTED_VALUE"""),"Prometo fer bondat")</x:f>
      </x:c>
      <x:c r="C5542" s="1">
        <x:f>IFERROR(__xludf.DUMMYFUNCTION("""COMPUTED_VALUE"""),"2019")</x:f>
      </x:c>
    </x:row>
    <x:row r="5543" spans="1:10">
      <x:c r="A5543" s="1" t="s">
        <x:v>5552</x:v>
      </x:c>
      <x:c r="B5543" s="1">
        <x:f>IFERROR(__xludf.DUMMYFUNCTION("""COMPUTED_VALUE"""),"Promoció fantasma")</x:f>
      </x:c>
      <x:c r="C5543" s="1">
        <x:f>IFERROR(__xludf.DUMMYFUNCTION("""COMPUTED_VALUE"""),"2012")</x:f>
      </x:c>
    </x:row>
    <x:row r="5544" spans="1:10">
      <x:c r="A5544" s="1" t="s">
        <x:v>5553</x:v>
      </x:c>
      <x:c r="B5544" s="1">
        <x:f>IFERROR(__xludf.DUMMYFUNCTION("""COMPUTED_VALUE"""),"Protegits pel seu enemic")</x:f>
      </x:c>
      <x:c r="C5544" s="1">
        <x:f>IFERROR(__xludf.DUMMYFUNCTION("""COMPUTED_VALUE"""),"2008")</x:f>
      </x:c>
    </x:row>
    <x:row r="5545" spans="1:10">
      <x:c r="A5545" s="1" t="s">
        <x:v>5554</x:v>
      </x:c>
      <x:c r="B5545" s="1">
        <x:f>IFERROR(__xludf.DUMMYFUNCTION("""COMPUTED_VALUE"""),"Prova irrefutable")</x:f>
      </x:c>
      <x:c r="C5545" s="1">
        <x:f>IFERROR(__xludf.DUMMYFUNCTION("""COMPUTED_VALUE"""),"2015")</x:f>
      </x:c>
    </x:row>
    <x:row r="5546" spans="1:10">
      <x:c r="A5546" s="1" t="s">
        <x:v>5555</x:v>
      </x:c>
      <x:c r="B5546" s="1">
        <x:f>IFERROR(__xludf.DUMMYFUNCTION("""COMPUTED_VALUE"""),"Psicosi")</x:f>
      </x:c>
      <x:c r="C5546" s="1">
        <x:f>IFERROR(__xludf.DUMMYFUNCTION("""COMPUTED_VALUE"""),"1960")</x:f>
      </x:c>
    </x:row>
    <x:row r="5547" spans="1:10">
      <x:c r="A5547" s="1" t="s">
        <x:v>5556</x:v>
      </x:c>
      <x:c r="B5547" s="1">
        <x:f>IFERROR(__xludf.DUMMYFUNCTION("""COMPUTED_VALUE"""),"Pugem a Núria amb cremallera")</x:f>
      </x:c>
      <x:c r="C5547" s="1">
        <x:f>IFERROR(__xludf.DUMMYFUNCTION("""COMPUTED_VALUE"""),"2020")</x:f>
      </x:c>
    </x:row>
    <x:row r="5548" spans="1:10">
      <x:c r="A5548" s="1" t="s">
        <x:v>5557</x:v>
      </x:c>
      <x:c r="B5548" s="1">
        <x:f>IFERROR(__xludf.DUMMYFUNCTION("""COMPUTED_VALUE"""),"Puig Antich. El llibre vermell")</x:f>
      </x:c>
      <x:c r="C5548" s="1">
        <x:f>IFERROR(__xludf.DUMMYFUNCTION("""COMPUTED_VALUE"""),"2024")</x:f>
      </x:c>
    </x:row>
    <x:row r="5549" spans="1:10">
      <x:c r="A5549" s="1" t="s">
        <x:v>5558</x:v>
      </x:c>
      <x:c r="B5549" s="1">
        <x:f>IFERROR(__xludf.DUMMYFUNCTION("""COMPUTED_VALUE"""),"Pujol, vist per a sentència")</x:f>
      </x:c>
      <x:c r="C5549" s="1">
        <x:f>IFERROR(__xludf.DUMMYFUNCTION("""COMPUTED_VALUE"""),"2026")</x:f>
      </x:c>
    </x:row>
    <x:row r="5550" spans="1:10">
      <x:c r="A5550" s="1" t="s">
        <x:v>5559</x:v>
      </x:c>
      <x:c r="B5550" s="1">
        <x:f>IFERROR(__xludf.DUMMYFUNCTION("""COMPUTED_VALUE"""),"Pulp Fiction")</x:f>
      </x:c>
      <x:c r="C5550" s="1">
        <x:f>IFERROR(__xludf.DUMMYFUNCTION("""COMPUTED_VALUE"""),"1994")</x:f>
      </x:c>
    </x:row>
    <x:row r="5551" spans="1:10">
      <x:c r="A5551" s="1" t="s">
        <x:v>5560</x:v>
      </x:c>
      <x:c r="B5551" s="1">
        <x:f>IFERROR(__xludf.DUMMYFUNCTION("""COMPUTED_VALUE"""),"Pulp: Vida, mort i supermercats [VOSC]")</x:f>
      </x:c>
      <x:c r="C5551" s="1">
        <x:f>IFERROR(__xludf.DUMMYFUNCTION("""COMPUTED_VALUE"""),"2014")</x:f>
      </x:c>
    </x:row>
    <x:row r="5552" spans="1:10">
      <x:c r="A5552" s="1" t="s">
        <x:v>5561</x:v>
      </x:c>
      <x:c r="B5552" s="1">
        <x:f>IFERROR(__xludf.DUMMYFUNCTION("""COMPUTED_VALUE"""),"Pulse")</x:f>
      </x:c>
      <x:c r="C5552" s="1">
        <x:f>IFERROR(__xludf.DUMMYFUNCTION("""COMPUTED_VALUE"""),"2006")</x:f>
      </x:c>
    </x:row>
    <x:row r="5553" spans="1:10">
      <x:c r="A5553" s="1" t="s">
        <x:v>5562</x:v>
      </x:c>
      <x:c r="B5553" s="1">
        <x:f>IFERROR(__xludf.DUMMYFUNCTION("""COMPUTED_VALUE"""),"Pulsió")</x:f>
      </x:c>
      <x:c r="C5553" s="1">
        <x:f>IFERROR(__xludf.DUMMYFUNCTION("""COMPUTED_VALUE"""),"2000")</x:f>
      </x:c>
    </x:row>
    <x:row r="5554" spans="1:10">
      <x:c r="A5554" s="1" t="s">
        <x:v>5563</x:v>
      </x:c>
      <x:c r="B5554" s="1">
        <x:f>IFERROR(__xludf.DUMMYFUNCTION("""COMPUTED_VALUE"""),"Punt límit")</x:f>
      </x:c>
      <x:c r="C5554" s="1">
        <x:f>IFERROR(__xludf.DUMMYFUNCTION("""COMPUTED_VALUE"""),"1964")</x:f>
      </x:c>
    </x:row>
    <x:row r="5555" spans="1:10">
      <x:c r="A5555" s="1" t="s">
        <x:v>5564</x:v>
      </x:c>
      <x:c r="B5555" s="1">
        <x:f>IFERROR(__xludf.DUMMYFUNCTION("""COMPUTED_VALUE"""),"Punyals per l'esquena")</x:f>
      </x:c>
      <x:c r="C5555" s="1">
        <x:f>IFERROR(__xludf.DUMMYFUNCTION("""COMPUTED_VALUE"""),"2019")</x:f>
      </x:c>
    </x:row>
    <x:row r="5556" spans="1:10">
      <x:c r="A5556" s="1" t="s">
        <x:v>5565</x:v>
      </x:c>
      <x:c r="B5556" s="1">
        <x:f>IFERROR(__xludf.DUMMYFUNCTION("""COMPUTED_VALUE"""),"Pur vici")</x:f>
      </x:c>
      <x:c r="C5556" s="1">
        <x:f>IFERROR(__xludf.DUMMYFUNCTION("""COMPUTED_VALUE"""),"2014")</x:f>
      </x:c>
    </x:row>
    <x:row r="5557" spans="1:10">
      <x:c r="A5557" s="1" t="s">
        <x:v>5566</x:v>
      </x:c>
      <x:c r="B5557" s="1">
        <x:f>IFERROR(__xludf.DUMMYFUNCTION("""COMPUTED_VALUE"""),"Push")</x:f>
      </x:c>
      <x:c r="C5557" s="1">
        <x:f>IFERROR(__xludf.DUMMYFUNCTION("""COMPUTED_VALUE"""),"2009")</x:f>
      </x:c>
    </x:row>
    <x:row r="5558" spans="1:10">
      <x:c r="A5558" s="1" t="s">
        <x:v>5567</x:v>
      </x:c>
      <x:c r="B5558" s="1">
        <x:f>IFERROR(__xludf.DUMMYFUNCTION("""COMPUTED_VALUE"""),"Puta misèria!")</x:f>
      </x:c>
      <x:c r="C5558" s="1">
        <x:f>IFERROR(__xludf.DUMMYFUNCTION("""COMPUTED_VALUE"""),"1989")</x:f>
      </x:c>
    </x:row>
    <x:row r="5559" spans="1:10">
      <x:c r="A5559" s="1" t="s">
        <x:v>5568</x:v>
      </x:c>
      <x:c r="B5559" s="1">
        <x:f>IFERROR(__xludf.DUMMYFUNCTION("""COMPUTED_VALUE"""),"Qualsevol altra cosa")</x:f>
      </x:c>
      <x:c r="C5559" s="1">
        <x:f>IFERROR(__xludf.DUMMYFUNCTION("""COMPUTED_VALUE"""),"2003")</x:f>
      </x:c>
    </x:row>
    <x:row r="5560" spans="1:10">
      <x:c r="A5560" s="1" t="s">
        <x:v>5569</x:v>
      </x:c>
      <x:c r="B5560" s="1">
        <x:f>IFERROR(__xludf.DUMMYFUNCTION("""COMPUTED_VALUE"""),"Quan cau la neu")</x:f>
      </x:c>
      <x:c r="C5560" s="1">
        <x:f>IFERROR(__xludf.DUMMYFUNCTION("""COMPUTED_VALUE"""),"2016")</x:f>
      </x:c>
    </x:row>
    <x:row r="5561" spans="1:10">
      <x:c r="A5561" s="1" t="s">
        <x:v>5570</x:v>
      </x:c>
      <x:c r="B5561" s="1">
        <x:f>IFERROR(__xludf.DUMMYFUNCTION("""COMPUTED_VALUE"""),"Quan cau la nit")</x:f>
      </x:c>
      <x:c r="C5561" s="1">
        <x:f>IFERROR(__xludf.DUMMYFUNCTION("""COMPUTED_VALUE"""),"2002")</x:f>
      </x:c>
    </x:row>
    <x:row r="5562" spans="1:10">
      <x:c r="A5562" s="1" t="s">
        <x:v>5571</x:v>
      </x:c>
      <x:c r="B5562" s="1">
        <x:f>IFERROR(__xludf.DUMMYFUNCTION("""COMPUTED_VALUE"""),"Quan els dinosaures dominaven la Terra")</x:f>
      </x:c>
      <x:c r="C5562" s="1">
        <x:f>IFERROR(__xludf.DUMMYFUNCTION("""COMPUTED_VALUE"""),"1970")</x:f>
      </x:c>
    </x:row>
    <x:row r="5563" spans="1:10">
      <x:c r="A5563" s="1" t="s">
        <x:v>5572</x:v>
      </x:c>
      <x:c r="B5563" s="1">
        <x:f>IFERROR(__xludf.DUMMYFUNCTION("""COMPUTED_VALUE"""),"Quan érem soldats")</x:f>
      </x:c>
      <x:c r="C5563" s="1">
        <x:f>IFERROR(__xludf.DUMMYFUNCTION("""COMPUTED_VALUE"""),"2002")</x:f>
      </x:c>
    </x:row>
    <x:row r="5564" spans="1:10">
      <x:c r="A5564" s="1" t="s">
        <x:v>5573</x:v>
      </x:c>
      <x:c r="B5564" s="1">
        <x:f>IFERROR(__xludf.DUMMYFUNCTION("""COMPUTED_VALUE"""),"Quan Hitler em va robar el conillet rosa")</x:f>
      </x:c>
      <x:c r="C5564" s="1">
        <x:f>IFERROR(__xludf.DUMMYFUNCTION("""COMPUTED_VALUE"""),"2019")</x:f>
      </x:c>
    </x:row>
    <x:row r="5565" spans="1:10">
      <x:c r="A5565" s="1" t="s">
        <x:v>5574</x:v>
      </x:c>
      <x:c r="B5565" s="1">
        <x:f>IFERROR(__xludf.DUMMYFUNCTION("""COMPUTED_VALUE"""),"Quan jo no hi sigui")</x:f>
      </x:c>
      <x:c r="C5565" s="1">
        <x:f>IFERROR(__xludf.DUMMYFUNCTION("""COMPUTED_VALUE"""),"2016")</x:f>
      </x:c>
    </x:row>
    <x:row r="5566" spans="1:10">
      <x:c r="A5566" s="1" t="s">
        <x:v>5575</x:v>
      </x:c>
      <x:c r="B5566" s="1">
        <x:f>IFERROR(__xludf.DUMMYFUNCTION("""COMPUTED_VALUE"""),"Quan l'algoritme mata")</x:f>
      </x:c>
      <x:c r="C5566" s="1">
        <x:f>IFERROR(__xludf.DUMMYFUNCTION("""COMPUTED_VALUE"""),"2026")</x:f>
      </x:c>
    </x:row>
    <x:row r="5567" spans="1:10">
      <x:c r="A5567" s="1" t="s">
        <x:v>5576</x:v>
      </x:c>
      <x:c r="B5567" s="1">
        <x:f>IFERROR(__xludf.DUMMYFUNCTION("""COMPUTED_VALUE"""),"Quan menys t'ho esperes")</x:f>
      </x:c>
      <x:c r="C5567" s="1">
        <x:f>IFERROR(__xludf.DUMMYFUNCTION("""COMPUTED_VALUE"""),"2003")</x:f>
      </x:c>
    </x:row>
    <x:row r="5568" spans="1:10">
      <x:c r="A5568" s="1" t="s">
        <x:v>5577</x:v>
      </x:c>
      <x:c r="B5568" s="1">
        <x:f>IFERROR(__xludf.DUMMYFUNCTION("""COMPUTED_VALUE"""),"Quan rugix la marabunta")</x:f>
      </x:c>
      <x:c r="C5568" s="1">
        <x:f>IFERROR(__xludf.DUMMYFUNCTION("""COMPUTED_VALUE"""),"1954")</x:f>
      </x:c>
    </x:row>
    <x:row r="5569" spans="1:10">
      <x:c r="A5569" s="1" t="s">
        <x:v>5578</x:v>
      </x:c>
      <x:c r="B5569" s="1">
        <x:f>IFERROR(__xludf.DUMMYFUNCTION("""COMPUTED_VALUE"""),"Quant m'estimes?")</x:f>
      </x:c>
      <x:c r="C5569" s="1">
        <x:f>IFERROR(__xludf.DUMMYFUNCTION("""COMPUTED_VALUE"""),"2005")</x:f>
      </x:c>
    </x:row>
    <x:row r="5570" spans="1:10">
      <x:c r="A5570" s="1" t="s">
        <x:v>5579</x:v>
      </x:c>
      <x:c r="B5570" s="1">
        <x:f>IFERROR(__xludf.DUMMYFUNCTION("""COMPUTED_VALUE"""),"Quant temps em queda?")</x:f>
      </x:c>
      <x:c r="C5570" s="1">
        <x:f>IFERROR(__xludf.DUMMYFUNCTION("""COMPUTED_VALUE"""),"2022")</x:f>
      </x:c>
    </x:row>
    <x:row r="5571" spans="1:10">
      <x:c r="A5571" s="1" t="s">
        <x:v>5580</x:v>
      </x:c>
      <x:c r="B5571" s="1">
        <x:f>IFERROR(__xludf.DUMMYFUNCTION("""COMPUTED_VALUE"""),"Quantum of Solace")</x:f>
      </x:c>
      <x:c r="C5571" s="1">
        <x:f>IFERROR(__xludf.DUMMYFUNCTION("""COMPUTED_VALUE"""),"2008")</x:f>
      </x:c>
    </x:row>
    <x:row r="5572" spans="1:10">
      <x:c r="A5572" s="1" t="s">
        <x:v>5581</x:v>
      </x:c>
      <x:c r="B5572" s="1">
        <x:f>IFERROR(__xludf.DUMMYFUNCTION("""COMPUTED_VALUE"""),"Quarantine")</x:f>
      </x:c>
      <x:c r="C5572" s="1">
        <x:f>IFERROR(__xludf.DUMMYFUNCTION("""COMPUTED_VALUE"""),"2008")</x:f>
      </x:c>
    </x:row>
    <x:row r="5573" spans="1:10">
      <x:c r="A5573" s="1" t="s">
        <x:v>5582</x:v>
      </x:c>
      <x:c r="B5573" s="1">
        <x:f>IFERROR(__xludf.DUMMYFUNCTION("""COMPUTED_VALUE"""),"Quasi humans")</x:f>
      </x:c>
      <x:c r="C5573" s="1">
        <x:f>IFERROR(__xludf.DUMMYFUNCTION("""COMPUTED_VALUE"""),"2013")</x:f>
      </x:c>
    </x:row>
    <x:row r="5574" spans="1:10">
      <x:c r="A5574" s="1" t="s">
        <x:v>5583</x:v>
      </x:c>
      <x:c r="B5574" s="1">
        <x:f>IFERROR(__xludf.DUMMYFUNCTION("""COMPUTED_VALUE"""),"Quatermass 2")</x:f>
      </x:c>
      <x:c r="C5574" s="1">
        <x:f>IFERROR(__xludf.DUMMYFUNCTION("""COMPUTED_VALUE"""),"1957")</x:f>
      </x:c>
    </x:row>
    <x:row r="5575" spans="1:10">
      <x:c r="A5575" s="1" t="s">
        <x:v>5584</x:v>
      </x:c>
      <x:c r="B5575" s="1">
        <x:f>IFERROR(__xludf.DUMMYFUNCTION("""COMPUTED_VALUE"""),"Quatre bodes i un funeral")</x:f>
      </x:c>
      <x:c r="C5575" s="1">
        <x:f>IFERROR(__xludf.DUMMYFUNCTION("""COMPUTED_VALUE"""),"1994")</x:f>
      </x:c>
    </x:row>
    <x:row r="5576" spans="1:10">
      <x:c r="A5576" s="1" t="s">
        <x:v>5585</x:v>
      </x:c>
      <x:c r="B5576" s="1">
        <x:f>IFERROR(__xludf.DUMMYFUNCTION("""COMPUTED_VALUE"""),"Quatre estacions")</x:f>
      </x:c>
      <x:c r="C5576" s="1">
        <x:f>IFERROR(__xludf.DUMMYFUNCTION("""COMPUTED_VALUE"""),"2010")</x:f>
      </x:c>
    </x:row>
    <x:row r="5577" spans="1:10">
      <x:c r="A5577" s="1" t="s">
        <x:v>5586</x:v>
      </x:c>
      <x:c r="B5577" s="1">
        <x:f>IFERROR(__xludf.DUMMYFUNCTION("""COMPUTED_VALUE"""),"Quatre minuts")</x:f>
      </x:c>
      <x:c r="C5577" s="1">
        <x:f>IFERROR(__xludf.DUMMYFUNCTION("""COMPUTED_VALUE"""),"2006")</x:f>
      </x:c>
    </x:row>
    <x:row r="5578" spans="1:10">
      <x:c r="A5578" s="1" t="s">
        <x:v>5587</x:v>
      </x:c>
      <x:c r="B5578" s="1">
        <x:f>IFERROR(__xludf.DUMMYFUNCTION("""COMPUTED_VALUE"""),"Quatre tipus de Texas")</x:f>
      </x:c>
      <x:c r="C5578" s="1">
        <x:f>IFERROR(__xludf.DUMMYFUNCTION("""COMPUTED_VALUE"""),"1963")</x:f>
      </x:c>
    </x:row>
    <x:row r="5579" spans="1:10">
      <x:c r="A5579" s="1" t="s">
        <x:v>5588</x:v>
      </x:c>
      <x:c r="B5579" s="1">
        <x:f>IFERROR(__xludf.DUMMYFUNCTION("""COMPUTED_VALUE"""),"Quatre vides")</x:f>
      </x:c>
      <x:c r="C5579" s="1">
        <x:f>IFERROR(__xludf.DUMMYFUNCTION("""COMPUTED_VALUE"""),"2007")</x:f>
      </x:c>
    </x:row>
    <x:row r="5580" spans="1:10">
      <x:c r="A5580" s="1" t="s">
        <x:v>5589</x:v>
      </x:c>
      <x:c r="B5580" s="1">
        <x:f>IFERROR(__xludf.DUMMYFUNCTION("""COMPUTED_VALUE"""),"Quatretondeta")</x:f>
      </x:c>
      <x:c r="C5580" s="1">
        <x:f>IFERROR(__xludf.DUMMYFUNCTION("""COMPUTED_VALUE"""),"2016")</x:f>
      </x:c>
    </x:row>
    <x:row r="5581" spans="1:10">
      <x:c r="A5581" s="1" t="s">
        <x:v>5590</x:v>
      </x:c>
      <x:c r="B5581" s="1">
        <x:f>IFERROR(__xludf.DUMMYFUNCTION("""COMPUTED_VALUE"""),"Que bonic que és viure")</x:f>
      </x:c>
      <x:c r="C5581" s="1">
        <x:f>IFERROR(__xludf.DUMMYFUNCTION("""COMPUTED_VALUE"""),"1946")</x:f>
      </x:c>
    </x:row>
    <x:row r="5582" spans="1:10">
      <x:c r="A5582" s="1" t="s">
        <x:v>5591</x:v>
      </x:c>
      <x:c r="B5582" s="1">
        <x:f>IFERROR(__xludf.DUMMYFUNCTION("""COMPUTED_VALUE"""),"Que dormis bé")</x:f>
      </x:c>
      <x:c r="C5582" s="1">
        <x:f>IFERROR(__xludf.DUMMYFUNCTION("""COMPUTED_VALUE"""),"2016")</x:f>
      </x:c>
    </x:row>
    <x:row r="5583" spans="1:10">
      <x:c r="A5583" s="1" t="s">
        <x:v>5592</x:v>
      </x:c>
      <x:c r="B5583" s="1">
        <x:f>IFERROR(__xludf.DUMMYFUNCTION("""COMPUTED_VALUE"""),"Què els passa als homes?")</x:f>
      </x:c>
      <x:c r="C5583" s="1">
        <x:f>IFERROR(__xludf.DUMMYFUNCTION("""COMPUTED_VALUE"""),"2009")</x:f>
      </x:c>
    </x:row>
    <x:row r="5584" spans="1:10">
      <x:c r="A5584" s="1" t="s">
        <x:v>5593</x:v>
      </x:c>
      <x:c r="B5584" s="1">
        <x:f>IFERROR(__xludf.DUMMYFUNCTION("""COMPUTED_VALUE"""),"Què em passa, doctor?")</x:f>
      </x:c>
      <x:c r="C5584" s="1">
        <x:f>IFERROR(__xludf.DUMMYFUNCTION("""COMPUTED_VALUE"""),"1972")</x:f>
      </x:c>
    </x:row>
    <x:row r="5585" spans="1:10">
      <x:c r="A5585" s="1" t="s">
        <x:v>5594</x:v>
      </x:c>
      <x:c r="B5585" s="1">
        <x:f>IFERROR(__xludf.DUMMYFUNCTION("""COMPUTED_VALUE"""),"Què està passant a les presons?")</x:f>
      </x:c>
      <x:c r="C5585" s="1">
        <x:f>IFERROR(__xludf.DUMMYFUNCTION("""COMPUTED_VALUE"""),"2026")</x:f>
      </x:c>
    </x:row>
    <x:row r="5586" spans="1:10">
      <x:c r="A5586" s="1" t="s">
        <x:v>5595</x:v>
      </x:c>
      <x:c r="B5586" s="1">
        <x:f>IFERROR(__xludf.DUMMYFUNCTION("""COMPUTED_VALUE"""),"Què fem, amb la Maisie?")</x:f>
      </x:c>
      <x:c r="C5586" s="1">
        <x:f>IFERROR(__xludf.DUMMYFUNCTION("""COMPUTED_VALUE"""),"2012")</x:f>
      </x:c>
    </x:row>
    <x:row r="5587" spans="1:10">
      <x:c r="A5587" s="1" t="s">
        <x:v>5596</x:v>
      </x:c>
      <x:c r="B5587" s="1">
        <x:f>IFERROR(__xludf.DUMMYFUNCTION("""COMPUTED_VALUE"""),"Què ha passat")</x:f>
      </x:c>
      <x:c r="C5587" s="1">
        <x:f>IFERROR(__xludf.DUMMYFUNCTION("""COMPUTED_VALUE"""),"2008")</x:f>
      </x:c>
    </x:row>
    <x:row r="5588" spans="1:10">
      <x:c r="A5588" s="1" t="s">
        <x:v>5597</x:v>
      </x:c>
      <x:c r="B5588" s="1">
        <x:f>IFERROR(__xludf.DUMMYFUNCTION("""COMPUTED_VALUE"""),"Què li passa, a la meva família?")</x:f>
      </x:c>
      <x:c r="C5588" s="1">
        <x:f>IFERROR(__xludf.DUMMYFUNCTION("""COMPUTED_VALUE"""),"2022")</x:f>
      </x:c>
    </x:row>
    <x:row r="5589" spans="1:10">
      <x:c r="A5589" s="1" t="s">
        <x:v>5598</x:v>
      </x:c>
      <x:c r="B5589" s="1">
        <x:f>IFERROR(__xludf.DUMMYFUNCTION("""COMPUTED_VALUE"""),"Què se n'ha fet, dels Morgan")</x:f>
      </x:c>
      <x:c r="C5589" s="1">
        <x:f>IFERROR(__xludf.DUMMYFUNCTION("""COMPUTED_VALUE"""),"2009")</x:f>
      </x:c>
    </x:row>
    <x:row r="5590" spans="1:10">
      <x:c r="A5590" s="1" t="s">
        <x:v>5599</x:v>
      </x:c>
      <x:c r="B5590" s="1">
        <x:f>IFERROR(__xludf.DUMMYFUNCTION("""COMPUTED_VALUE"""),"Que se sàpiga")</x:f>
      </x:c>
      <x:c r="C5590" s="1">
        <x:f>IFERROR(__xludf.DUMMYFUNCTION("""COMPUTED_VALUE"""),"2024")</x:f>
      </x:c>
    </x:row>
    <x:row r="5591" spans="1:10">
      <x:c r="A5591" s="1" t="s">
        <x:v>5600</x:v>
      </x:c>
      <x:c r="B5591" s="1">
        <x:f>IFERROR(__xludf.DUMMYFUNCTION("""COMPUTED_VALUE"""),"Que soni la música!")</x:f>
      </x:c>
      <x:c r="C5591" s="1">
        <x:f>IFERROR(__xludf.DUMMYFUNCTION("""COMPUTED_VALUE"""),"2019")</x:f>
      </x:c>
    </x:row>
    <x:row r="5592" spans="1:10">
      <x:c r="A5592" s="1" t="s">
        <x:v>5601</x:v>
      </x:c>
      <x:c r="B5592" s="1">
        <x:f>IFERROR(__xludf.DUMMYFUNCTION("""COMPUTED_VALUE"""),"Què t'hi jugues, Mari Pili?")</x:f>
      </x:c>
      <x:c r="C5592" s="1">
        <x:f>IFERROR(__xludf.DUMMYFUNCTION("""COMPUTED_VALUE"""),"1991")</x:f>
      </x:c>
    </x:row>
    <x:row r="5593" spans="1:10">
      <x:c r="A5593" s="1" t="s">
        <x:v>5602</x:v>
      </x:c>
      <x:c r="B5593" s="1">
        <x:f>IFERROR(__xludf.DUMMYFUNCTION("""COMPUTED_VALUE"""),"Què va passar entre el meu pare i la teva mare?")</x:f>
      </x:c>
      <x:c r="C5593" s="1">
        <x:f>IFERROR(__xludf.DUMMYFUNCTION("""COMPUTED_VALUE"""),"1972")</x:f>
      </x:c>
    </x:row>
    <x:row r="5594" spans="1:10">
      <x:c r="A5594" s="1" t="s">
        <x:v>5603</x:v>
      </x:c>
      <x:c r="B5594" s="1">
        <x:f>IFERROR(__xludf.DUMMYFUNCTION("""COMPUTED_VALUE"""),"Que ve el llop!")</x:f>
      </x:c>
      <x:c r="C5594" s="1">
        <x:f>IFERROR(__xludf.DUMMYFUNCTION("""COMPUTED_VALUE"""),"2021")</x:f>
      </x:c>
    </x:row>
    <x:row r="5595" spans="1:10">
      <x:c r="A5595" s="1" t="s">
        <x:v>5604</x:v>
      </x:c>
      <x:c r="B5595" s="1">
        <x:f>IFERROR(__xludf.DUMMYFUNCTION("""COMPUTED_VALUE"""),"Que verda era la meva vall")</x:f>
      </x:c>
      <x:c r="C5595" s="1">
        <x:f>IFERROR(__xludf.DUMMYFUNCTION("""COMPUTED_VALUE"""),"1941")</x:f>
      </x:c>
    </x:row>
    <x:row r="5596" spans="1:10">
      <x:c r="A5596" s="1" t="s">
        <x:v>5605</x:v>
      </x:c>
      <x:c r="B5596" s="1">
        <x:f>IFERROR(__xludf.DUMMYFUNCTION("""COMPUTED_VALUE"""),"Queda't al meu costat")</x:f>
      </x:c>
      <x:c r="C5596" s="1">
        <x:f>IFERROR(__xludf.DUMMYFUNCTION("""COMPUTED_VALUE"""),"1998")</x:f>
      </x:c>
    </x:row>
    <x:row r="5597" spans="1:10">
      <x:c r="A5597" s="1" t="s">
        <x:v>5606</x:v>
      </x:c>
      <x:c r="B5597" s="1">
        <x:f>IFERROR(__xludf.DUMMYFUNCTION("""COMPUTED_VALUE"""),"Queen - Live at Wembley Stadium")</x:f>
      </x:c>
      <x:c r="C5597" s="1">
        <x:f>IFERROR(__xludf.DUMMYFUNCTION("""COMPUTED_VALUE"""),"1986")</x:f>
      </x:c>
    </x:row>
    <x:row r="5598" spans="1:10">
      <x:c r="A5598" s="1" t="s">
        <x:v>5607</x:v>
      </x:c>
      <x:c r="B5598" s="1">
        <x:f>IFERROR(__xludf.DUMMYFUNCTION("""COMPUTED_VALUE"""),"Queen i Slim")</x:f>
      </x:c>
      <x:c r="C5598" s="1">
        <x:f>IFERROR(__xludf.DUMMYFUNCTION("""COMPUTED_VALUE"""),"2019")</x:f>
      </x:c>
    </x:row>
    <x:row r="5599" spans="1:10">
      <x:c r="A5599" s="1" t="s">
        <x:v>5608</x:v>
      </x:c>
      <x:c r="B5599" s="1">
        <x:f>IFERROR(__xludf.DUMMYFUNCTION("""COMPUTED_VALUE"""),"Queen Live in Budapest")</x:f>
      </x:c>
      <x:c r="C5599" s="1">
        <x:f>IFERROR(__xludf.DUMMYFUNCTION("""COMPUTED_VALUE"""),"1986")</x:f>
      </x:c>
    </x:row>
    <x:row r="5600" spans="1:10">
      <x:c r="A5600" s="1" t="s">
        <x:v>5609</x:v>
      </x:c>
      <x:c r="B5600" s="1">
        <x:f>IFERROR(__xludf.DUMMYFUNCTION("""COMPUTED_VALUE"""),"Quest")</x:f>
      </x:c>
      <x:c r="C5600" s="1">
        <x:f>IFERROR(__xludf.DUMMYFUNCTION("""COMPUTED_VALUE"""),"2023")</x:f>
      </x:c>
    </x:row>
    <x:row r="5601" spans="1:10">
      <x:c r="A5601" s="1" t="s">
        <x:v>5610</x:v>
      </x:c>
      <x:c r="B5601" s="1">
        <x:f>IFERROR(__xludf.DUMMYFUNCTION("""COMPUTED_VALUE"""),"Qüestió de paciència")</x:f>
      </x:c>
      <x:c r="C5601" s="1">
        <x:f>IFERROR(__xludf.DUMMYFUNCTION("""COMPUTED_VALUE"""),"2022")</x:f>
      </x:c>
    </x:row>
    <x:row r="5602" spans="1:10">
      <x:c r="A5602" s="1" t="s">
        <x:v>5611</x:v>
      </x:c>
      <x:c r="B5602" s="1">
        <x:f>IFERROR(__xludf.DUMMYFUNCTION("""COMPUTED_VALUE"""),"Qüestió de pilotes")</x:f>
      </x:c>
      <x:c r="C5602" s="1">
        <x:f>IFERROR(__xludf.DUMMYFUNCTION("""COMPUTED_VALUE"""),"2007")</x:f>
      </x:c>
    </x:row>
    <x:row r="5603" spans="1:10">
      <x:c r="A5603" s="1" t="s">
        <x:v>5612</x:v>
      </x:c>
      <x:c r="B5603" s="1">
        <x:f>IFERROR(__xludf.DUMMYFUNCTION("""COMPUTED_VALUE"""),"Qui controla la policia?")</x:f>
      </x:c>
      <x:c r="C5603" s="1">
        <x:f>IFERROR(__xludf.DUMMYFUNCTION("""COMPUTED_VALUE"""),"2020")</x:f>
      </x:c>
    </x:row>
    <x:row r="5604" spans="1:10">
      <x:c r="A5604" s="1" t="s">
        <x:v>5613</x:v>
      </x:c>
      <x:c r="B5604" s="1">
        <x:f>IFERROR(__xludf.DUMMYFUNCTION("""COMPUTED_VALUE"""),"Qui ha enredat en Roger Rabbit?")</x:f>
      </x:c>
      <x:c r="C5604" s="1">
        <x:f>IFERROR(__xludf.DUMMYFUNCTION("""COMPUTED_VALUE"""),"1988")</x:f>
      </x:c>
    </x:row>
    <x:row r="5605" spans="1:10">
      <x:c r="A5605" s="1" t="s">
        <x:v>5614</x:v>
      </x:c>
      <x:c r="B5605" s="1">
        <x:f>IFERROR(__xludf.DUMMYFUNCTION("""COMPUTED_VALUE"""),"Qui m'estimi que em segueixi!")</x:f>
      </x:c>
      <x:c r="C5605" s="1">
        <x:f>IFERROR(__xludf.DUMMYFUNCTION("""COMPUTED_VALUE"""),"2019")</x:f>
      </x:c>
    </x:row>
    <x:row r="5606" spans="1:10">
      <x:c r="A5606" s="1" t="s">
        <x:v>5615</x:v>
      </x:c>
      <x:c r="B5606" s="1">
        <x:f>IFERROR(__xludf.DUMMYFUNCTION("""COMPUTED_VALUE"""),"Qui va matar en Bambi?")</x:f>
      </x:c>
      <x:c r="C5606" s="1">
        <x:f>IFERROR(__xludf.DUMMYFUNCTION("""COMPUTED_VALUE"""),"2013")</x:f>
      </x:c>
    </x:row>
    <x:row r="5607" spans="1:10">
      <x:c r="A5607" s="1" t="s">
        <x:v>5616</x:v>
      </x:c>
      <x:c r="B5607" s="1">
        <x:f>IFERROR(__xludf.DUMMYFUNCTION("""COMPUTED_VALUE"""),"Qui va matar Walter Benjamin?")</x:f>
      </x:c>
      <x:c r="C5607" s="1">
        <x:f>IFERROR(__xludf.DUMMYFUNCTION("""COMPUTED_VALUE"""),"2005")</x:f>
      </x:c>
    </x:row>
    <x:row r="5608" spans="1:10">
      <x:c r="A5608" s="1" t="s">
        <x:v>5617</x:v>
      </x:c>
      <x:c r="B5608" s="1">
        <x:f>IFERROR(__xludf.DUMMYFUNCTION("""COMPUTED_VALUE"""),"Quia")</x:f>
      </x:c>
      <x:c r="C5608" s="1">
        <x:f>IFERROR(__xludf.DUMMYFUNCTION("""COMPUTED_VALUE"""),"2001")</x:f>
      </x:c>
    </x:row>
    <x:row r="5609" spans="1:10">
      <x:c r="A5609" s="1" t="s">
        <x:v>5618</x:v>
      </x:c>
      <x:c r="B5609" s="1">
        <x:f>IFERROR(__xludf.DUMMYFUNCTION("""COMPUTED_VALUE"""),"Quico Sabaté. Sense destí")</x:f>
      </x:c>
      <x:c r="C5609" s="1">
        <x:f>IFERROR(__xludf.DUMMYFUNCTION("""COMPUTED_VALUE"""),"2022")</x:f>
      </x:c>
    </x:row>
    <x:row r="5610" spans="1:10">
      <x:c r="A5610" s="1" t="s">
        <x:v>5619</x:v>
      </x:c>
      <x:c r="B5610" s="1">
        <x:f>IFERROR(__xludf.DUMMYFUNCTION("""COMPUTED_VALUE"""),"Quimica i prou")</x:f>
      </x:c>
      <x:c r="C5610" s="1">
        <x:f>IFERROR(__xludf.DUMMYFUNCTION("""COMPUTED_VALUE"""),"2015")</x:f>
      </x:c>
    </x:row>
    <x:row r="5611" spans="1:10">
      <x:c r="A5611" s="1" t="s">
        <x:v>5620</x:v>
      </x:c>
      <x:c r="B5611" s="1">
        <x:f>IFERROR(__xludf.DUMMYFUNCTION("""COMPUTED_VALUE"""),"Quin fenomen")</x:f>
      </x:c>
      <x:c r="C5611" s="1">
        <x:f>IFERROR(__xludf.DUMMYFUNCTION("""COMPUTED_VALUE"""),"2013")</x:f>
      </x:c>
    </x:row>
    <x:row r="5612" spans="1:10">
      <x:c r="A5612" s="1" t="s">
        <x:v>5621</x:v>
      </x:c>
      <x:c r="B5612" s="1">
        <x:f>IFERROR(__xludf.DUMMYFUNCTION("""COMPUTED_VALUE"""),"Quin parell de polis")</x:f>
      </x:c>
      <x:c r="C5612" s="1">
        <x:f>IFERROR(__xludf.DUMMYFUNCTION("""COMPUTED_VALUE"""),"2010")</x:f>
      </x:c>
    </x:row>
    <x:row r="5613" spans="1:10">
      <x:c r="A5613" s="1" t="s">
        <x:v>5622</x:v>
      </x:c>
      <x:c r="B5613" s="1">
        <x:f>IFERROR(__xludf.DUMMYFUNCTION("""COMPUTED_VALUE"""),"Quines bestioles!")</x:f>
      </x:c>
      <x:c r="C5613" s="1">
        <x:f>IFERROR(__xludf.DUMMYFUNCTION("""COMPUTED_VALUE"""),"2017")</x:f>
      </x:c>
    </x:row>
    <x:row r="5614" spans="1:10">
      <x:c r="A5614" s="1" t="s">
        <x:v>5623</x:v>
      </x:c>
      <x:c r="B5614" s="1">
        <x:f>IFERROR(__xludf.DUMMYFUNCTION("""COMPUTED_VALUE"""),"Quines vacances!")</x:f>
      </x:c>
      <x:c r="C5614" s="1">
        <x:f>IFERROR(__xludf.DUMMYFUNCTION("""COMPUTED_VALUE"""),"2006")</x:f>
      </x:c>
    </x:row>
    <x:row r="5615" spans="1:10">
      <x:c r="A5615" s="1" t="s">
        <x:v>5624</x:v>
      </x:c>
      <x:c r="B5615" s="1">
        <x:f>IFERROR(__xludf.DUMMYFUNCTION("""COMPUTED_VALUE"""),"Quo Vadis")</x:f>
      </x:c>
      <x:c r="C5615" s="1">
        <x:f>IFERROR(__xludf.DUMMYFUNCTION("""COMPUTED_VALUE"""),"1951")</x:f>
      </x:c>
    </x:row>
    <x:row r="5616" spans="1:10">
      <x:c r="A5616" s="1" t="s">
        <x:v>5625</x:v>
      </x:c>
      <x:c r="B5616" s="1">
        <x:f>IFERROR(__xludf.DUMMYFUNCTION("""COMPUTED_VALUE"""),"R2 i el cas del cadàver sense cap")</x:f>
      </x:c>
      <x:c r="C5616" s="1">
        <x:f>IFERROR(__xludf.DUMMYFUNCTION("""COMPUTED_VALUE"""),"2005")</x:f>
      </x:c>
    </x:row>
    <x:row r="5617" spans="1:10">
      <x:c r="A5617" s="1" t="s">
        <x:v>5626</x:v>
      </x:c>
      <x:c r="B5617" s="1">
        <x:f>IFERROR(__xludf.DUMMYFUNCTION("""COMPUTED_VALUE"""),"Rabbit School: els guardians de l'ou d'or")</x:f>
      </x:c>
      <x:c r="C5617" s="1">
        <x:f>IFERROR(__xludf.DUMMYFUNCTION("""COMPUTED_VALUE"""),"2017")</x:f>
      </x:c>
    </x:row>
    <x:row r="5618" spans="1:10">
      <x:c r="A5618" s="1" t="s">
        <x:v>5627</x:v>
      </x:c>
      <x:c r="B5618" s="1">
        <x:f>IFERROR(__xludf.DUMMYFUNCTION("""COMPUTED_VALUE"""),"Ràbia")</x:f>
      </x:c>
      <x:c r="C5618" s="1">
        <x:f>IFERROR(__xludf.DUMMYFUNCTION("""COMPUTED_VALUE"""),"1977")</x:f>
      </x:c>
    </x:row>
    <x:row r="5619" spans="1:10">
      <x:c r="A5619" s="1" t="s">
        <x:v>5628</x:v>
      </x:c>
      <x:c r="B5619" s="1">
        <x:f>IFERROR(__xludf.DUMMYFUNCTION("""COMPUTED_VALUE"""),"Rachel i el foraster")</x:f>
      </x:c>
      <x:c r="C5619" s="1">
        <x:f>IFERROR(__xludf.DUMMYFUNCTION("""COMPUTED_VALUE"""),"1948")</x:f>
      </x:c>
    </x:row>
    <x:row r="5620" spans="1:10">
      <x:c r="A5620" s="1" t="s">
        <x:v>5629</x:v>
      </x:c>
      <x:c r="B5620" s="1">
        <x:f>IFERROR(__xludf.DUMMYFUNCTION("""COMPUTED_VALUE"""),"Radiacions")</x:f>
      </x:c>
      <x:c r="C5620" s="1">
        <x:f>IFERROR(__xludf.DUMMYFUNCTION("""COMPUTED_VALUE"""),"2012")</x:f>
      </x:c>
    </x:row>
    <x:row r="5621" spans="1:10">
      <x:c r="A5621" s="1" t="s">
        <x:v>5630</x:v>
      </x:c>
      <x:c r="B5621" s="1">
        <x:f>IFERROR(__xludf.DUMMYFUNCTION("""COMPUTED_VALUE"""),"RAF: facció de l'Exèrcit Roig")</x:f>
      </x:c>
      <x:c r="C5621" s="1">
        <x:f>IFERROR(__xludf.DUMMYFUNCTION("""COMPUTED_VALUE"""),"2008")</x:f>
      </x:c>
    </x:row>
    <x:row r="5622" spans="1:10">
      <x:c r="A5622" s="1" t="s">
        <x:v>5631</x:v>
      </x:c>
      <x:c r="B5622" s="1">
        <x:f>IFERROR(__xludf.DUMMYFUNCTION("""COMPUTED_VALUE"""),"Ragtime")</x:f>
      </x:c>
      <x:c r="C5622" s="1">
        <x:f>IFERROR(__xludf.DUMMYFUNCTION("""COMPUTED_VALUE"""),"1981")</x:f>
      </x:c>
    </x:row>
    <x:row r="5623" spans="1:10">
      <x:c r="A5623" s="1" t="s">
        <x:v>5632</x:v>
      </x:c>
      <x:c r="B5623" s="1">
        <x:f>IFERROR(__xludf.DUMMYFUNCTION("""COMPUTED_VALUE"""),"Raimon al Liceu")</x:f>
      </x:c>
      <x:c r="C5623" s="1">
        <x:f>IFERROR(__xludf.DUMMYFUNCTION("""COMPUTED_VALUE"""),"2012")</x:f>
      </x:c>
    </x:row>
    <x:row r="5624" spans="1:10">
      <x:c r="A5624" s="1" t="s">
        <x:v>5633</x:v>
      </x:c>
      <x:c r="B5624" s="1">
        <x:f>IFERROR(__xludf.DUMMYFUNCTION("""COMPUTED_VALUE"""),"Raimon Memòria de 50 anys")</x:f>
      </x:c>
      <x:c r="C5624" s="1">
        <x:f>IFERROR(__xludf.DUMMYFUNCTION("""COMPUTED_VALUE"""),"2012")</x:f>
      </x:c>
    </x:row>
    <x:row r="5625" spans="1:10">
      <x:c r="A5625" s="1" t="s">
        <x:v>5634</x:v>
      </x:c>
      <x:c r="B5625" s="1">
        <x:f>IFERROR(__xludf.DUMMYFUNCTION("""COMPUTED_VALUE"""),"Raimon trenta anys d'Al vent")</x:f>
      </x:c>
      <x:c r="C5625" s="1">
        <x:f>IFERROR(__xludf.DUMMYFUNCTION("""COMPUTED_VALUE"""),"1993")</x:f>
      </x:c>
    </x:row>
    <x:row r="5626" spans="1:10">
      <x:c r="A5626" s="1" t="s">
        <x:v>5635</x:v>
      </x:c>
      <x:c r="B5626" s="1">
        <x:f>IFERROR(__xludf.DUMMYFUNCTION("""COMPUTED_VALUE"""),"Raimon, l'home que diu no")</x:f>
      </x:c>
      <x:c r="C5626" s="1">
        <x:f>IFERROR(__xludf.DUMMYFUNCTION("""COMPUTED_VALUE"""),"2023")</x:f>
      </x:c>
    </x:row>
    <x:row r="5627" spans="1:10">
      <x:c r="A5627" s="1" t="s">
        <x:v>5636</x:v>
      </x:c>
      <x:c r="B5627" s="1">
        <x:f>IFERROR(__xludf.DUMMYFUNCTION("""COMPUTED_VALUE"""),"Raimon: comiat al Palau")</x:f>
      </x:c>
      <x:c r="C5627" s="1">
        <x:f>IFERROR(__xludf.DUMMYFUNCTION("""COMPUTED_VALUE"""),"2017")</x:f>
      </x:c>
    </x:row>
    <x:row r="5628" spans="1:10">
      <x:c r="A5628" s="1" t="s">
        <x:v>5637</x:v>
      </x:c>
      <x:c r="B5628" s="1">
        <x:f>IFERROR(__xludf.DUMMYFUNCTION("""COMPUTED_VALUE"""),"Rain man")</x:f>
      </x:c>
      <x:c r="C5628" s="1">
        <x:f>IFERROR(__xludf.DUMMYFUNCTION("""COMPUTED_VALUE"""),"1988")</x:f>
      </x:c>
    </x:row>
    <x:row r="5629" spans="1:10">
      <x:c r="A5629" s="1" t="s">
        <x:v>5638</x:v>
      </x:c>
      <x:c r="B5629" s="1">
        <x:f>IFERROR(__xludf.DUMMYFUNCTION("""COMPUTED_VALUE"""),"Rams")</x:f>
      </x:c>
      <x:c r="C5629" s="1">
        <x:f>IFERROR(__xludf.DUMMYFUNCTION("""COMPUTED_VALUE"""),"2020")</x:f>
      </x:c>
    </x:row>
    <x:row r="5630" spans="1:10">
      <x:c r="A5630" s="1" t="s">
        <x:v>5639</x:v>
      </x:c>
      <x:c r="B5630" s="1">
        <x:f>IFERROR(__xludf.DUMMYFUNCTION("""COMPUTED_VALUE"""),"Rape Zombie 1: La luxúria dels morts vivents [VOSC]")</x:f>
      </x:c>
      <x:c r="C5630" s="1">
        <x:f>IFERROR(__xludf.DUMMYFUNCTION("""COMPUTED_VALUE"""),"2012")</x:f>
      </x:c>
    </x:row>
    <x:row r="5631" spans="1:10">
      <x:c r="A5631" s="1" t="s">
        <x:v>5640</x:v>
      </x:c>
      <x:c r="B5631" s="1">
        <x:f>IFERROR(__xludf.DUMMYFUNCTION("""COMPUTED_VALUE"""),"Rape Zombie 2: L'èxtasi dels morts vivents [VOSC]")</x:f>
      </x:c>
      <x:c r="C5631" s="1">
        <x:f>IFERROR(__xludf.DUMMYFUNCTION("""COMPUTED_VALUE"""),"2013")</x:f>
      </x:c>
    </x:row>
    <x:row r="5632" spans="1:10">
      <x:c r="A5632" s="1" t="s">
        <x:v>5641</x:v>
      </x:c>
      <x:c r="B5632" s="1">
        <x:f>IFERROR(__xludf.DUMMYFUNCTION("""COMPUTED_VALUE"""),"Rape Zombie 3: Apocalipsi final [VOSC]")</x:f>
      </x:c>
      <x:c r="C5632" s="1">
        <x:f>IFERROR(__xludf.DUMMYFUNCTION("""COMPUTED_VALUE"""),"2013")</x:f>
      </x:c>
    </x:row>
    <x:row r="5633" spans="1:10">
      <x:c r="A5633" s="1" t="s">
        <x:v>5642</x:v>
      </x:c>
      <x:c r="B5633" s="1">
        <x:f>IFERROR(__xludf.DUMMYFUNCTION("""COMPUTED_VALUE"""),"Ràpida i mortal")</x:f>
      </x:c>
      <x:c r="C5633" s="1">
        <x:f>IFERROR(__xludf.DUMMYFUNCTION("""COMPUTED_VALUE"""),"1995")</x:f>
      </x:c>
    </x:row>
    <x:row r="5634" spans="1:10">
      <x:c r="A5634" s="1" t="s">
        <x:v>5643</x:v>
      </x:c>
      <x:c r="B5634" s="1">
        <x:f>IFERROR(__xludf.DUMMYFUNCTION("""COMPUTED_VALUE"""),"Rastre ocult")</x:f>
      </x:c>
      <x:c r="C5634" s="1">
        <x:f>IFERROR(__xludf.DUMMYFUNCTION("""COMPUTED_VALUE"""),"2008")</x:f>
      </x:c>
    </x:row>
    <x:row r="5635" spans="1:10">
      <x:c r="A5635" s="1" t="s">
        <x:v>5644</x:v>
      </x:c>
      <x:c r="B5635" s="1">
        <x:f>IFERROR(__xludf.DUMMYFUNCTION("""COMPUTED_VALUE"""),"Rastres de sàndal")</x:f>
      </x:c>
      <x:c r="C5635" s="1">
        <x:f>IFERROR(__xludf.DUMMYFUNCTION("""COMPUTED_VALUE"""),"2014")</x:f>
      </x:c>
    </x:row>
    <x:row r="5636" spans="1:10">
      <x:c r="A5636" s="1" t="s">
        <x:v>5645</x:v>
      </x:c>
      <x:c r="B5636" s="1">
        <x:f>IFERROR(__xludf.DUMMYFUNCTION("""COMPUTED_VALUE"""),"Ratatouille")</x:f>
      </x:c>
      <x:c r="C5636" s="1">
        <x:f>IFERROR(__xludf.DUMMYFUNCTION("""COMPUTED_VALUE"""),"2007")</x:f>
      </x:c>
    </x:row>
    <x:row r="5637" spans="1:10">
      <x:c r="A5637" s="1" t="s">
        <x:v>5646</x:v>
      </x:c>
      <x:c r="B5637" s="1">
        <x:f>IFERROR(__xludf.DUMMYFUNCTION("""COMPUTED_VALUE"""),"Ratolins i guineus: Una amistat d’un altre món")</x:f>
      </x:c>
      <x:c r="C5637" s="1">
        <x:f>IFERROR(__xludf.DUMMYFUNCTION("""COMPUTED_VALUE"""),"2021")</x:f>
      </x:c>
    </x:row>
    <x:row r="5638" spans="1:10">
      <x:c r="A5638" s="1" t="s">
        <x:v>5647</x:v>
      </x:c>
      <x:c r="B5638" s="1">
        <x:f>IFERROR(__xludf.DUMMYFUNCTION("""COMPUTED_VALUE"""),"Raval, Raval...")</x:f>
      </x:c>
      <x:c r="C5638" s="1">
        <x:f>IFERROR(__xludf.DUMMYFUNCTION("""COMPUTED_VALUE"""),"2006")</x:f>
      </x:c>
    </x:row>
    <x:row r="5639" spans="1:10">
      <x:c r="A5639" s="1" t="s">
        <x:v>5648</x:v>
      </x:c>
      <x:c r="B5639" s="1">
        <x:f>IFERROR(__xludf.DUMMYFUNCTION("""COMPUTED_VALUE"""),"Raya i l’últim drac")</x:f>
      </x:c>
      <x:c r="C5639" s="1">
        <x:f>IFERROR(__xludf.DUMMYFUNCTION("""COMPUTED_VALUE"""),"2021")</x:f>
      </x:c>
    </x:row>
    <x:row r="5640" spans="1:10">
      <x:c r="A5640" s="1" t="s">
        <x:v>5649</x:v>
      </x:c>
      <x:c r="B5640" s="1">
        <x:f>IFERROR(__xludf.DUMMYFUNCTION("""COMPUTED_VALUE"""),"Real Madrid - Barcelona (0-5)")</x:f>
      </x:c>
      <x:c r="C5640" s="1">
        <x:f>IFERROR(__xludf.DUMMYFUNCTION("""COMPUTED_VALUE"""),"1974")</x:f>
      </x:c>
    </x:row>
    <x:row r="5641" spans="1:10">
      <x:c r="A5641" s="1" t="s">
        <x:v>5650</x:v>
      </x:c>
      <x:c r="B5641" s="1">
        <x:f>IFERROR(__xludf.DUMMYFUNCTION("""COMPUTED_VALUE"""),"Rebel")</x:f>
      </x:c>
      <x:c r="C5641" s="1">
        <x:f>IFERROR(__xludf.DUMMYFUNCTION("""COMPUTED_VALUE"""),"2022")</x:f>
      </x:c>
    </x:row>
    <x:row r="5642" spans="1:10">
      <x:c r="A5642" s="1" t="s">
        <x:v>5651</x:v>
      </x:c>
      <x:c r="B5642" s="1">
        <x:f>IFERROR(__xludf.DUMMYFUNCTION("""COMPUTED_VALUE"""),"Rebel sense causa")</x:f>
      </x:c>
      <x:c r="C5642" s="1">
        <x:f>IFERROR(__xludf.DUMMYFUNCTION("""COMPUTED_VALUE"""),"1955")</x:f>
      </x:c>
    </x:row>
    <x:row r="5643" spans="1:10">
      <x:c r="A5643" s="1" t="s">
        <x:v>5652</x:v>
      </x:c>
      <x:c r="B5643" s="1">
        <x:f>IFERROR(__xludf.DUMMYFUNCTION("""COMPUTED_VALUE"""),"Rebel·lió a l'illa")</x:f>
      </x:c>
      <x:c r="C5643" s="1">
        <x:f>IFERROR(__xludf.DUMMYFUNCTION("""COMPUTED_VALUE"""),"2006")</x:f>
      </x:c>
    </x:row>
    <x:row r="5644" spans="1:10">
      <x:c r="A5644" s="1" t="s">
        <x:v>5653</x:v>
      </x:c>
      <x:c r="B5644" s="1">
        <x:f>IFERROR(__xludf.DUMMYFUNCTION("""COMPUTED_VALUE"""),"Rebel·lió Seminola")</x:f>
      </x:c>
      <x:c r="C5644" s="1">
        <x:f>IFERROR(__xludf.DUMMYFUNCTION("""COMPUTED_VALUE"""),"1955")</x:f>
      </x:c>
    </x:row>
    <x:row r="5645" spans="1:10">
      <x:c r="A5645" s="1" t="s">
        <x:v>5654</x:v>
      </x:c>
      <x:c r="B5645" s="1">
        <x:f>IFERROR(__xludf.DUMMYFUNCTION("""COMPUTED_VALUE"""),"Rebels")</x:f>
      </x:c>
      <x:c r="C5645" s="1">
        <x:f>IFERROR(__xludf.DUMMYFUNCTION("""COMPUTED_VALUE"""),"2023")</x:f>
      </x:c>
    </x:row>
    <x:row r="5646" spans="1:10">
      <x:c r="A5646" s="1" t="s">
        <x:v>5655</x:v>
      </x:c>
      <x:c r="B5646" s="1">
        <x:f>IFERROR(__xludf.DUMMYFUNCTION("""COMPUTED_VALUE"""),"REC")</x:f>
      </x:c>
      <x:c r="C5646" s="1">
        <x:f>IFERROR(__xludf.DUMMYFUNCTION("""COMPUTED_VALUE"""),"2007")</x:f>
      </x:c>
    </x:row>
    <x:row r="5647" spans="1:10">
      <x:c r="A5647" s="1" t="s">
        <x:v>5656</x:v>
      </x:c>
      <x:c r="B5647" s="1">
        <x:f>IFERROR(__xludf.DUMMYFUNCTION("""COMPUTED_VALUE"""),"REC 2")</x:f>
      </x:c>
      <x:c r="C5647" s="1">
        <x:f>IFERROR(__xludf.DUMMYFUNCTION("""COMPUTED_VALUE"""),"2009")</x:f>
      </x:c>
    </x:row>
    <x:row r="5648" spans="1:10">
      <x:c r="A5648" s="1" t="s">
        <x:v>5657</x:v>
      </x:c>
      <x:c r="B5648" s="1">
        <x:f>IFERROR(__xludf.DUMMYFUNCTION("""COMPUTED_VALUE"""),"REC 3 Gènesi")</x:f>
      </x:c>
      <x:c r="C5648" s="1">
        <x:f>IFERROR(__xludf.DUMMYFUNCTION("""COMPUTED_VALUE"""),"2012")</x:f>
      </x:c>
    </x:row>
    <x:row r="5649" spans="1:10">
      <x:c r="A5649" s="1" t="s">
        <x:v>5658</x:v>
      </x:c>
      <x:c r="B5649" s="1">
        <x:f>IFERROR(__xludf.DUMMYFUNCTION("""COMPUTED_VALUE"""),"REC 4 Apocalipsi")</x:f>
      </x:c>
      <x:c r="C5649" s="1">
        <x:f>IFERROR(__xludf.DUMMYFUNCTION("""COMPUTED_VALUE"""),"2014")</x:f>
      </x:c>
    </x:row>
    <x:row r="5650" spans="1:10">
      <x:c r="A5650" s="1" t="s">
        <x:v>5659</x:v>
      </x:c>
      <x:c r="B5650" s="1">
        <x:f>IFERROR(__xludf.DUMMYFUNCTION("""COMPUTED_VALUE"""),"Recorda'm")</x:f>
      </x:c>
      <x:c r="C5650" s="1">
        <x:f>IFERROR(__xludf.DUMMYFUNCTION("""COMPUTED_VALUE"""),"2010")</x:f>
      </x:c>
    </x:row>
    <x:row r="5651" spans="1:10">
      <x:c r="A5651" s="1" t="s">
        <x:v>5660</x:v>
      </x:c>
      <x:c r="B5651" s="1">
        <x:f>IFERROR(__xludf.DUMMYFUNCTION("""COMPUTED_VALUE"""),"Red")</x:f>
      </x:c>
      <x:c r="C5651" s="1">
        <x:f>IFERROR(__xludf.DUMMYFUNCTION("""COMPUTED_VALUE"""),"2010")</x:f>
      </x:c>
    </x:row>
    <x:row r="5652" spans="1:10">
      <x:c r="A5652" s="1" t="s">
        <x:v>5661</x:v>
      </x:c>
      <x:c r="B5652" s="1">
        <x:f>IFERROR(__xludf.DUMMYFUNCTION("""COMPUTED_VALUE"""),"Red")</x:f>
      </x:c>
      <x:c r="C5652" s="1">
        <x:f>IFERROR(__xludf.DUMMYFUNCTION("""COMPUTED_VALUE"""),"2022")</x:f>
      </x:c>
    </x:row>
    <x:row r="5653" spans="1:10">
      <x:c r="A5653" s="1" t="s">
        <x:v>5662</x:v>
      </x:c>
      <x:c r="B5653" s="1">
        <x:f>IFERROR(__xludf.DUMMYFUNCTION("""COMPUTED_VALUE"""),"Red 2")</x:f>
      </x:c>
      <x:c r="C5653" s="1">
        <x:f>IFERROR(__xludf.DUMMYFUNCTION("""COMPUTED_VALUE"""),"2013")</x:f>
      </x:c>
    </x:row>
    <x:row r="5654" spans="1:10">
      <x:c r="A5654" s="1" t="s">
        <x:v>5663</x:v>
      </x:c>
      <x:c r="B5654" s="1">
        <x:f>IFERROR(__xludf.DUMMYFUNCTION("""COMPUTED_VALUE"""),"Red Sparrow")</x:f>
      </x:c>
      <x:c r="C5654" s="1">
        <x:f>IFERROR(__xludf.DUMMYFUNCTION("""COMPUTED_VALUE"""),"2018")</x:f>
      </x:c>
    </x:row>
    <x:row r="5655" spans="1:10">
      <x:c r="A5655" s="1" t="s">
        <x:v>5664</x:v>
      </x:c>
      <x:c r="B5655" s="1">
        <x:f>IFERROR(__xludf.DUMMYFUNCTION("""COMPUTED_VALUE"""),"Red State")</x:f>
      </x:c>
      <x:c r="C5655" s="1">
        <x:f>IFERROR(__xludf.DUMMYFUNCTION("""COMPUTED_VALUE"""),"2011")</x:f>
      </x:c>
    </x:row>
    <x:row r="5656" spans="1:10">
      <x:c r="A5656" s="1" t="s">
        <x:v>5665</x:v>
      </x:c>
      <x:c r="B5656" s="1">
        <x:f>IFERROR(__xludf.DUMMYFUNCTION("""COMPUTED_VALUE"""),"Red Wing")</x:f>
      </x:c>
      <x:c r="C5656" s="1">
        <x:f>IFERROR(__xludf.DUMMYFUNCTION("""COMPUTED_VALUE"""),"2013")</x:f>
      </x:c>
    </x:row>
    <x:row r="5657" spans="1:10">
      <x:c r="A5657" s="1" t="s">
        <x:v>5666</x:v>
      </x:c>
      <x:c r="B5657" s="1">
        <x:f>IFERROR(__xludf.DUMMYFUNCTION("""COMPUTED_VALUE"""),"Redacted")</x:f>
      </x:c>
      <x:c r="C5657" s="1">
        <x:f>IFERROR(__xludf.DUMMYFUNCTION("""COMPUTED_VALUE"""),"2007")</x:f>
      </x:c>
    </x:row>
    <x:row r="5658" spans="1:10">
      <x:c r="A5658" s="1" t="s">
        <x:v>5667</x:v>
      </x:c>
      <x:c r="B5658" s="1">
        <x:f>IFERROR(__xludf.DUMMYFUNCTION("""COMPUTED_VALUE"""),"Redemption")</x:f>
      </x:c>
      <x:c r="C5658" s="1">
        <x:f>IFERROR(__xludf.DUMMYFUNCTION("""COMPUTED_VALUE"""),"2013")</x:f>
      </x:c>
    </x:row>
    <x:row r="5659" spans="1:10">
      <x:c r="A5659" s="1" t="s">
        <x:v>5668</x:v>
      </x:c>
      <x:c r="B5659" s="1">
        <x:f>IFERROR(__xludf.DUMMYFUNCTION("""COMPUTED_VALUE"""),"Reflexos en un ull daurat")</x:f>
      </x:c>
      <x:c r="C5659" s="1">
        <x:f>IFERROR(__xludf.DUMMYFUNCTION("""COMPUTED_VALUE"""),"1967")</x:f>
      </x:c>
    </x:row>
    <x:row r="5660" spans="1:10">
      <x:c r="A5660" s="1" t="s">
        <x:v>5669</x:v>
      </x:c>
      <x:c r="B5660" s="1">
        <x:f>IFERROR(__xludf.DUMMYFUNCTION("""COMPUTED_VALUE"""),"Rei de reis")</x:f>
      </x:c>
      <x:c r="C5660" s="1">
        <x:f>IFERROR(__xludf.DUMMYFUNCTION("""COMPUTED_VALUE"""),"1961")</x:f>
      </x:c>
    </x:row>
    <x:row r="5661" spans="1:10">
      <x:c r="A5661" s="1" t="s">
        <x:v>5670</x:v>
      </x:c>
      <x:c r="B5661" s="1">
        <x:f>IFERROR(__xludf.DUMMYFUNCTION("""COMPUTED_VALUE"""),"Reina de cors")</x:f>
      </x:c>
      <x:c r="C5661" s="1">
        <x:f>IFERROR(__xludf.DUMMYFUNCTION("""COMPUTED_VALUE"""),"2019")</x:f>
      </x:c>
    </x:row>
    <x:row r="5662" spans="1:10">
      <x:c r="A5662" s="1" t="s">
        <x:v>5671</x:v>
      </x:c>
      <x:c r="B5662" s="1">
        <x:f>IFERROR(__xludf.DUMMYFUNCTION("""COMPUTED_VALUE"""),"Reina i pàtria")</x:f>
      </x:c>
      <x:c r="C5662" s="1">
        <x:f>IFERROR(__xludf.DUMMYFUNCTION("""COMPUTED_VALUE"""),"2014")</x:f>
      </x:c>
    </x:row>
    <x:row r="5663" spans="1:10">
      <x:c r="A5663" s="1" t="s">
        <x:v>5672</x:v>
      </x:c>
      <x:c r="B5663" s="1">
        <x:f>IFERROR(__xludf.DUMMYFUNCTION("""COMPUTED_VALUE"""),"Reis")</x:f>
      </x:c>
      <x:c r="C5663" s="1">
        <x:f>IFERROR(__xludf.DUMMYFUNCTION("""COMPUTED_VALUE"""),"2017")</x:f>
      </x:c>
    </x:row>
    <x:row r="5664" spans="1:10">
      <x:c r="A5664" s="1" t="s">
        <x:v>5673</x:v>
      </x:c>
      <x:c r="B5664" s="1">
        <x:f>IFERROR(__xludf.DUMMYFUNCTION("""COMPUTED_VALUE"""),"Relative strangers Una família quasi perfecta")</x:f>
      </x:c>
      <x:c r="C5664" s="1">
        <x:f>IFERROR(__xludf.DUMMYFUNCTION("""COMPUTED_VALUE"""),"2006")</x:f>
      </x:c>
    </x:row>
    <x:row r="5665" spans="1:10">
      <x:c r="A5665" s="1" t="s">
        <x:v>5674</x:v>
      </x:c>
      <x:c r="B5665" s="1">
        <x:f>IFERROR(__xludf.DUMMYFUNCTION("""COMPUTED_VALUE"""),"Relic")</x:f>
      </x:c>
      <x:c r="C5665" s="1">
        <x:f>IFERROR(__xludf.DUMMYFUNCTION("""COMPUTED_VALUE"""),"2020")</x:f>
      </x:c>
    </x:row>
    <x:row r="5666" spans="1:10">
      <x:c r="A5666" s="1" t="s">
        <x:v>5675</x:v>
      </x:c>
      <x:c r="B5666" s="1">
        <x:f>IFERROR(__xludf.DUMMYFUNCTION("""COMPUTED_VALUE"""),"Remake")</x:f>
      </x:c>
      <x:c r="C5666" s="1">
        <x:f>IFERROR(__xludf.DUMMYFUNCTION("""COMPUTED_VALUE"""),"2006")</x:f>
      </x:c>
    </x:row>
    <x:row r="5667" spans="1:10">
      <x:c r="A5667" s="1" t="s">
        <x:v>5676</x:v>
      </x:c>
      <x:c r="B5667" s="1">
        <x:f>IFERROR(__xludf.DUMMYFUNCTION("""COMPUTED_VALUE"""),"Remant com un sol home")</x:f>
      </x:c>
      <x:c r="C5667" s="1">
        <x:f>IFERROR(__xludf.DUMMYFUNCTION("""COMPUTED_VALUE"""),"2023")</x:f>
      </x:c>
    </x:row>
    <x:row r="5668" spans="1:10">
      <x:c r="A5668" s="1" t="s">
        <x:v>5677</x:v>
      </x:c>
      <x:c r="B5668" s="1">
        <x:f>IFERROR(__xludf.DUMMYFUNCTION("""COMPUTED_VALUE"""),"Remember")</x:f>
      </x:c>
      <x:c r="C5668" s="1">
        <x:f>IFERROR(__xludf.DUMMYFUNCTION("""COMPUTED_VALUE"""),"2022")</x:f>
      </x:c>
    </x:row>
    <x:row r="5669" spans="1:10">
      <x:c r="A5669" s="1" t="s">
        <x:v>5678</x:v>
      </x:c>
      <x:c r="B5669" s="1">
        <x:f>IFERROR(__xludf.DUMMYFUNCTION("""COMPUTED_VALUE"""),"Rémi: una vida extraordinaria")</x:f>
      </x:c>
      <x:c r="C5669" s="1">
        <x:f>IFERROR(__xludf.DUMMYFUNCTION("""COMPUTED_VALUE"""),"2018")</x:f>
      </x:c>
    </x:row>
    <x:row r="5670" spans="1:10">
      <x:c r="A5670" s="1" t="s">
        <x:v>5679</x:v>
      </x:c>
      <x:c r="B5670" s="1">
        <x:f>IFERROR(__xludf.DUMMYFUNCTION("""COMPUTED_VALUE"""),"Remors")</x:f>
      </x:c>
      <x:c r="C5670" s="1">
        <x:f>IFERROR(__xludf.DUMMYFUNCTION("""COMPUTED_VALUE"""),"2011")</x:f>
      </x:c>
    </x:row>
    <x:row r="5671" spans="1:10">
      <x:c r="A5671" s="1" t="s">
        <x:v>5680</x:v>
      </x:c>
      <x:c r="B5671" s="1">
        <x:f>IFERROR(__xludf.DUMMYFUNCTION("""COMPUTED_VALUE"""),"Rendition")</x:f>
      </x:c>
      <x:c r="C5671" s="1">
        <x:f>IFERROR(__xludf.DUMMYFUNCTION("""COMPUTED_VALUE"""),"2007")</x:f>
      </x:c>
    </x:row>
    <x:row r="5672" spans="1:10">
      <x:c r="A5672" s="1" t="s">
        <x:v>5681</x:v>
      </x:c>
      <x:c r="B5672" s="1">
        <x:f>IFERROR(__xludf.DUMMYFUNCTION("""COMPUTED_VALUE"""),"Renoir")</x:f>
      </x:c>
      <x:c r="C5672" s="1">
        <x:f>IFERROR(__xludf.DUMMYFUNCTION("""COMPUTED_VALUE"""),"2012")</x:f>
      </x:c>
    </x:row>
    <x:row r="5673" spans="1:10">
      <x:c r="A5673" s="1" t="s">
        <x:v>5682</x:v>
      </x:c>
      <x:c r="B5673" s="1">
        <x:f>IFERROR(__xludf.DUMMYFUNCTION("""COMPUTED_VALUE"""),"Rent [VOSC]")</x:f>
      </x:c>
      <x:c r="C5673" s="1">
        <x:f>IFERROR(__xludf.DUMMYFUNCTION("""COMPUTED_VALUE"""),"2005")</x:f>
      </x:c>
    </x:row>
    <x:row r="5674" spans="1:10">
      <x:c r="A5674" s="1" t="s">
        <x:v>5683</x:v>
      </x:c>
      <x:c r="B5674" s="1">
        <x:f>IFERROR(__xludf.DUMMYFUNCTION("""COMPUTED_VALUE"""),"Repli-Kate")</x:f>
      </x:c>
      <x:c r="C5674" s="1">
        <x:f>IFERROR(__xludf.DUMMYFUNCTION("""COMPUTED_VALUE"""),"2002")</x:f>
      </x:c>
    </x:row>
    <x:row r="5675" spans="1:10">
      <x:c r="A5675" s="1" t="s">
        <x:v>5684</x:v>
      </x:c>
      <x:c r="B5675" s="1">
        <x:f>IFERROR(__xludf.DUMMYFUNCTION("""COMPUTED_VALUE"""),"Reporter de guerra")</x:f>
      </x:c>
      <x:c r="C5675" s="1">
        <x:f>IFERROR(__xludf.DUMMYFUNCTION("""COMPUTED_VALUE"""),"2013")</x:f>
      </x:c>
    </x:row>
    <x:row r="5676" spans="1:10">
      <x:c r="A5676" s="1" t="s">
        <x:v>5685</x:v>
      </x:c>
      <x:c r="B5676" s="1">
        <x:f>IFERROR(__xludf.DUMMYFUNCTION("""COMPUTED_VALUE"""),"Repulsió")</x:f>
      </x:c>
      <x:c r="C5676" s="1">
        <x:f>IFERROR(__xludf.DUMMYFUNCTION("""COMPUTED_VALUE"""),"1965")</x:f>
      </x:c>
    </x:row>
    <x:row r="5677" spans="1:10">
      <x:c r="A5677" s="1" t="s">
        <x:v>5686</x:v>
      </x:c>
      <x:c r="B5677" s="1">
        <x:f>IFERROR(__xludf.DUMMYFUNCTION("""COMPUTED_VALUE"""),"Rèquiem per Detroit")</x:f>
      </x:c>
      <x:c r="C5677" s="1">
        <x:f>IFERROR(__xludf.DUMMYFUNCTION("""COMPUTED_VALUE"""),"2012")</x:f>
      </x:c>
    </x:row>
    <x:row r="5678" spans="1:10">
      <x:c r="A5678" s="1" t="s">
        <x:v>5687</x:v>
      </x:c>
      <x:c r="B5678" s="1">
        <x:f>IFERROR(__xludf.DUMMYFUNCTION("""COMPUTED_VALUE"""),"Rèquiem per un camperol")</x:f>
      </x:c>
      <x:c r="C5678" s="1">
        <x:f>IFERROR(__xludf.DUMMYFUNCTION("""COMPUTED_VALUE"""),"1985")</x:f>
      </x:c>
    </x:row>
    <x:row r="5679" spans="1:10">
      <x:c r="A5679" s="1" t="s">
        <x:v>5688</x:v>
      </x:c>
      <x:c r="B5679" s="1">
        <x:f>IFERROR(__xludf.DUMMYFUNCTION("""COMPUTED_VALUE"""),"Rèquiem per un somni")</x:f>
      </x:c>
      <x:c r="C5679" s="1">
        <x:f>IFERROR(__xludf.DUMMYFUNCTION("""COMPUTED_VALUE"""),"2000")</x:f>
      </x:c>
    </x:row>
    <x:row r="5680" spans="1:10">
      <x:c r="A5680" s="1" t="s">
        <x:v>5689</x:v>
      </x:c>
      <x:c r="B5680" s="1">
        <x:f>IFERROR(__xludf.DUMMYFUNCTION("""COMPUTED_VALUE"""),"Requisits per ser una persona normal")</x:f>
      </x:c>
      <x:c r="C5680" s="1">
        <x:f>IFERROR(__xludf.DUMMYFUNCTION("""COMPUTED_VALUE"""),"2015")</x:f>
      </x:c>
    </x:row>
    <x:row r="5681" spans="1:10">
      <x:c r="A5681" s="1" t="s">
        <x:v>5690</x:v>
      </x:c>
      <x:c r="B5681" s="1">
        <x:f>IFERROR(__xludf.DUMMYFUNCTION("""COMPUTED_VALUE"""),"Res a declarar")</x:f>
      </x:c>
      <x:c r="C5681" s="1">
        <x:f>IFERROR(__xludf.DUMMYFUNCTION("""COMPUTED_VALUE"""),"2010")</x:f>
      </x:c>
    </x:row>
    <x:row r="5682" spans="1:10">
      <x:c r="A5682" s="1" t="s">
        <x:v>5691</x:v>
      </x:c>
      <x:c r="B5682" s="1">
        <x:f>IFERROR(__xludf.DUMMYFUNCTION("""COMPUTED_VALUE"""),"Res a perdre")</x:f>
      </x:c>
      <x:c r="C5682" s="1">
        <x:f>IFERROR(__xludf.DUMMYFUNCTION("""COMPUTED_VALUE"""),"2023")</x:f>
      </x:c>
    </x:row>
    <x:row r="5683" spans="1:10">
      <x:c r="A5683" s="1" t="s">
        <x:v>5692</x:v>
      </x:c>
      <x:c r="B5683" s="1">
        <x:f>IFERROR(__xludf.DUMMYFUNCTION("""COMPUTED_VALUE"""),"Res no tornarà a ser com abans")</x:f>
      </x:c>
      <x:c r="C5683" s="1">
        <x:f>IFERROR(__xludf.DUMMYFUNCTION("""COMPUTED_VALUE"""),"2015")</x:f>
      </x:c>
    </x:row>
    <x:row r="5684" spans="1:10">
      <x:c r="A5684" s="1" t="s">
        <x:v>5693</x:v>
      </x:c>
      <x:c r="B5684" s="1">
        <x:f>IFERROR(__xludf.DUMMYFUNCTION("""COMPUTED_VALUE"""),"Rescat")</x:f>
      </x:c>
      <x:c r="C5684" s="1">
        <x:f>IFERROR(__xludf.DUMMYFUNCTION("""COMPUTED_VALUE"""),"1996")</x:f>
      </x:c>
    </x:row>
    <x:row r="5685" spans="1:10">
      <x:c r="A5685" s="1" t="s">
        <x:v>5694</x:v>
      </x:c>
      <x:c r="B5685" s="1">
        <x:f>IFERROR(__xludf.DUMMYFUNCTION("""COMPUTED_VALUE"""),"Rescat")</x:f>
      </x:c>
      <x:c r="C5685" s="1">
        <x:f>IFERROR(__xludf.DUMMYFUNCTION("""COMPUTED_VALUE"""),"2009")</x:f>
      </x:c>
    </x:row>
    <x:row r="5686" spans="1:10">
      <x:c r="A5686" s="1" t="s">
        <x:v>5695</x:v>
      </x:c>
      <x:c r="B5686" s="1">
        <x:f>IFERROR(__xludf.DUMMYFUNCTION("""COMPUTED_VALUE"""),"Reservoir dogs")</x:f>
      </x:c>
      <x:c r="C5686" s="1">
        <x:f>IFERROR(__xludf.DUMMYFUNCTION("""COMPUTED_VALUE"""),"1992")</x:f>
      </x:c>
    </x:row>
    <x:row r="5687" spans="1:10">
      <x:c r="A5687" s="1" t="s">
        <x:v>5696</x:v>
      </x:c>
      <x:c r="B5687" s="1">
        <x:f>IFERROR(__xludf.DUMMYFUNCTION("""COMPUTED_VALUE"""),"Resident Evil")</x:f>
      </x:c>
      <x:c r="C5687" s="1">
        <x:f>IFERROR(__xludf.DUMMYFUNCTION("""COMPUTED_VALUE"""),"2002")</x:f>
      </x:c>
    </x:row>
    <x:row r="5688" spans="1:10">
      <x:c r="A5688" s="1" t="s">
        <x:v>5697</x:v>
      </x:c>
      <x:c r="B5688" s="1">
        <x:f>IFERROR(__xludf.DUMMYFUNCTION("""COMPUTED_VALUE"""),"Resident Evil 2: Apocalipsi")</x:f>
      </x:c>
      <x:c r="C5688" s="1">
        <x:f>IFERROR(__xludf.DUMMYFUNCTION("""COMPUTED_VALUE"""),"2004")</x:f>
      </x:c>
    </x:row>
    <x:row r="5689" spans="1:10">
      <x:c r="A5689" s="1" t="s">
        <x:v>5698</x:v>
      </x:c>
      <x:c r="B5689" s="1">
        <x:f>IFERROR(__xludf.DUMMYFUNCTION("""COMPUTED_VALUE"""),"Resident Evil: Extinció")</x:f>
      </x:c>
      <x:c r="C5689" s="1">
        <x:f>IFERROR(__xludf.DUMMYFUNCTION("""COMPUTED_VALUE"""),"2007")</x:f>
      </x:c>
    </x:row>
    <x:row r="5690" spans="1:10">
      <x:c r="A5690" s="1" t="s">
        <x:v>5699</x:v>
      </x:c>
      <x:c r="B5690" s="1">
        <x:f>IFERROR(__xludf.DUMMYFUNCTION("""COMPUTED_VALUE"""),"Resident Evil: Ultratomba")</x:f>
      </x:c>
      <x:c r="C5690" s="1">
        <x:f>IFERROR(__xludf.DUMMYFUNCTION("""COMPUTED_VALUE"""),"2010")</x:f>
      </x:c>
    </x:row>
    <x:row r="5691" spans="1:10">
      <x:c r="A5691" s="1" t="s">
        <x:v>5700</x:v>
      </x:c>
      <x:c r="B5691" s="1">
        <x:f>IFERROR(__xludf.DUMMYFUNCTION("""COMPUTED_VALUE"""),"Resident Evil: Venjança")</x:f>
      </x:c>
      <x:c r="C5691" s="1">
        <x:f>IFERROR(__xludf.DUMMYFUNCTION("""COMPUTED_VALUE"""),"2012")</x:f>
      </x:c>
    </x:row>
    <x:row r="5692" spans="1:10">
      <x:c r="A5692" s="1" t="s">
        <x:v>5701</x:v>
      </x:c>
      <x:c r="B5692" s="1">
        <x:f>IFERROR(__xludf.DUMMYFUNCTION("""COMPUTED_VALUE"""),"Resistència")</x:f>
      </x:c>
      <x:c r="C5692" s="1">
        <x:f>IFERROR(__xludf.DUMMYFUNCTION("""COMPUTED_VALUE"""),"2008")</x:f>
      </x:c>
    </x:row>
    <x:row r="5693" spans="1:10">
      <x:c r="A5693" s="1" t="s">
        <x:v>5702</x:v>
      </x:c>
      <x:c r="B5693" s="1">
        <x:f>IFERROR(__xludf.DUMMYFUNCTION("""COMPUTED_VALUE"""),"Respect")</x:f>
      </x:c>
      <x:c r="C5693" s="1">
        <x:f>IFERROR(__xludf.DUMMYFUNCTION("""COMPUTED_VALUE"""),"2021")</x:f>
      </x:c>
    </x:row>
    <x:row r="5694" spans="1:10">
      <x:c r="A5694" s="1" t="s">
        <x:v>5703</x:v>
      </x:c>
      <x:c r="B5694" s="1">
        <x:f>IFERROR(__xludf.DUMMYFUNCTION("""COMPUTED_VALUE"""),"Respira")</x:f>
      </x:c>
      <x:c r="C5694" s="1">
        <x:f>IFERROR(__xludf.DUMMYFUNCTION("""COMPUTED_VALUE"""),"2017")</x:f>
      </x:c>
    </x:row>
    <x:row r="5695" spans="1:10">
      <x:c r="A5695" s="1" t="s">
        <x:v>5704</x:v>
      </x:c>
      <x:c r="B5695" s="1">
        <x:f>IFERROR(__xludf.DUMMYFUNCTION("""COMPUTED_VALUE"""),"Respira, mama")</x:f>
      </x:c>
      <x:c r="C5695" s="1">
        <x:f>IFERROR(__xludf.DUMMYFUNCTION("""COMPUTED_VALUE"""),"2024")</x:f>
      </x:c>
    </x:row>
    <x:row r="5696" spans="1:10">
      <x:c r="A5696" s="1" t="s">
        <x:v>5705</x:v>
      </x:c>
      <x:c r="B5696" s="1">
        <x:f>IFERROR(__xludf.DUMMYFUNCTION("""COMPUTED_VALUE"""),"Ressaca a Las Vegas I")</x:f>
      </x:c>
      <x:c r="C5696" s="1">
        <x:f>IFERROR(__xludf.DUMMYFUNCTION("""COMPUTED_VALUE"""),"2009")</x:f>
      </x:c>
    </x:row>
    <x:row r="5697" spans="1:10">
      <x:c r="A5697" s="1" t="s">
        <x:v>5706</x:v>
      </x:c>
      <x:c r="B5697" s="1">
        <x:f>IFERROR(__xludf.DUMMYFUNCTION("""COMPUTED_VALUE"""),"Ressaca II Ara a Tailàndia")</x:f>
      </x:c>
      <x:c r="C5697" s="1">
        <x:f>IFERROR(__xludf.DUMMYFUNCTION("""COMPUTED_VALUE"""),"2011")</x:f>
      </x:c>
    </x:row>
    <x:row r="5698" spans="1:10">
      <x:c r="A5698" s="1" t="s">
        <x:v>5707</x:v>
      </x:c>
      <x:c r="B5698" s="1">
        <x:f>IFERROR(__xludf.DUMMYFUNCTION("""COMPUTED_VALUE"""),"Ressaca III")</x:f>
      </x:c>
      <x:c r="C5698" s="1">
        <x:f>IFERROR(__xludf.DUMMYFUNCTION("""COMPUTED_VALUE"""),"2013")</x:f>
      </x:c>
    </x:row>
    <x:row r="5699" spans="1:10">
      <x:c r="A5699" s="1" t="s">
        <x:v>5708</x:v>
      </x:c>
      <x:c r="B5699" s="1">
        <x:f>IFERROR(__xludf.DUMMYFUNCTION("""COMPUTED_VALUE"""),"Ressuscitat")</x:f>
      </x:c>
      <x:c r="C5699" s="1">
        <x:f>IFERROR(__xludf.DUMMYFUNCTION("""COMPUTED_VALUE"""),"2016")</x:f>
      </x:c>
    </x:row>
    <x:row r="5700" spans="1:10">
      <x:c r="A5700" s="1" t="s">
        <x:v>5709</x:v>
      </x:c>
      <x:c r="B5700" s="1">
        <x:f>IFERROR(__xludf.DUMMYFUNCTION("""COMPUTED_VALUE"""),"Restless")</x:f>
      </x:c>
      <x:c r="C5700" s="1">
        <x:f>IFERROR(__xludf.DUMMYFUNCTION("""COMPUTED_VALUE"""),"2011")</x:f>
      </x:c>
    </x:row>
    <x:row r="5701" spans="1:10">
      <x:c r="A5701" s="1" t="s">
        <x:v>5710</x:v>
      </x:c>
      <x:c r="B5701" s="1">
        <x:f>IFERROR(__xludf.DUMMYFUNCTION("""COMPUTED_VALUE"""),"Resurrecció")</x:f>
      </x:c>
      <x:c r="C5701" s="1">
        <x:f>IFERROR(__xludf.DUMMYFUNCTION("""COMPUTED_VALUE"""),"1999")</x:f>
      </x:c>
    </x:row>
    <x:row r="5702" spans="1:10">
      <x:c r="A5702" s="1" t="s">
        <x:v>5711</x:v>
      </x:c>
      <x:c r="B5702" s="1">
        <x:f>IFERROR(__xludf.DUMMYFUNCTION("""COMPUTED_VALUE"""),"Retorn a Brideshead")</x:f>
      </x:c>
      <x:c r="C5702" s="1">
        <x:f>IFERROR(__xludf.DUMMYFUNCTION("""COMPUTED_VALUE"""),"2008")</x:f>
      </x:c>
    </x:row>
    <x:row r="5703" spans="1:10">
      <x:c r="A5703" s="1" t="s">
        <x:v>5712</x:v>
      </x:c>
      <x:c r="B5703" s="1">
        <x:f>IFERROR(__xludf.DUMMYFUNCTION("""COMPUTED_VALUE"""),"Retorn a Hope Gap")</x:f>
      </x:c>
      <x:c r="C5703" s="1">
        <x:f>IFERROR(__xludf.DUMMYFUNCTION("""COMPUTED_VALUE"""),"2019")</x:f>
      </x:c>
    </x:row>
    <x:row r="5704" spans="1:10">
      <x:c r="A5704" s="1" t="s">
        <x:v>5713</x:v>
      </x:c>
      <x:c r="B5704" s="1">
        <x:f>IFERROR(__xludf.DUMMYFUNCTION("""COMPUTED_VALUE"""),"Retorn a Howards End")</x:f>
      </x:c>
      <x:c r="C5704" s="1">
        <x:f>IFERROR(__xludf.DUMMYFUNCTION("""COMPUTED_VALUE"""),"1992")</x:f>
      </x:c>
    </x:row>
    <x:row r="5705" spans="1:10">
      <x:c r="A5705" s="1" t="s">
        <x:v>5714</x:v>
      </x:c>
      <x:c r="B5705" s="1">
        <x:f>IFERROR(__xludf.DUMMYFUNCTION("""COMPUTED_VALUE"""),"Retorn a l'infern")</x:f>
      </x:c>
      <x:c r="C5705" s="1">
        <x:f>IFERROR(__xludf.DUMMYFUNCTION("""COMPUTED_VALUE"""),"2006")</x:f>
      </x:c>
    </x:row>
    <x:row r="5706" spans="1:10">
      <x:c r="A5706" s="1" t="s">
        <x:v>5715</x:v>
      </x:c>
      <x:c r="B5706" s="1">
        <x:f>IFERROR(__xludf.DUMMYFUNCTION("""COMPUTED_VALUE"""),"Retorn a Txernòbil")</x:f>
      </x:c>
      <x:c r="C5706" s="1">
        <x:f>IFERROR(__xludf.DUMMYFUNCTION("""COMPUTED_VALUE"""),"2020")</x:f>
      </x:c>
    </x:row>
    <x:row r="5707" spans="1:10">
      <x:c r="A5707" s="1" t="s">
        <x:v>5716</x:v>
      </x:c>
      <x:c r="B5707" s="1">
        <x:f>IFERROR(__xludf.DUMMYFUNCTION("""COMPUTED_VALUE"""),"Retorn al futur I")</x:f>
      </x:c>
      <x:c r="C5707" s="1">
        <x:f>IFERROR(__xludf.DUMMYFUNCTION("""COMPUTED_VALUE"""),"1985")</x:f>
      </x:c>
    </x:row>
    <x:row r="5708" spans="1:10">
      <x:c r="A5708" s="1" t="s">
        <x:v>5717</x:v>
      </x:c>
      <x:c r="B5708" s="1">
        <x:f>IFERROR(__xludf.DUMMYFUNCTION("""COMPUTED_VALUE"""),"Retorn al futur II")</x:f>
      </x:c>
      <x:c r="C5708" s="1">
        <x:f>IFERROR(__xludf.DUMMYFUNCTION("""COMPUTED_VALUE"""),"1989")</x:f>
      </x:c>
    </x:row>
    <x:row r="5709" spans="1:10">
      <x:c r="A5709" s="1" t="s">
        <x:v>5718</x:v>
      </x:c>
      <x:c r="B5709" s="1">
        <x:f>IFERROR(__xludf.DUMMYFUNCTION("""COMPUTED_VALUE"""),"Retorn al futur III")</x:f>
      </x:c>
      <x:c r="C5709" s="1">
        <x:f>IFERROR(__xludf.DUMMYFUNCTION("""COMPUTED_VALUE"""),"1990")</x:f>
      </x:c>
    </x:row>
    <x:row r="5710" spans="1:10">
      <x:c r="A5710" s="1" t="s">
        <x:v>5719</x:v>
      </x:c>
      <x:c r="B5710" s="1">
        <x:f>IFERROR(__xludf.DUMMYFUNCTION("""COMPUTED_VALUE"""),"Retorn al llac blau")</x:f>
      </x:c>
      <x:c r="C5710" s="1">
        <x:f>IFERROR(__xludf.DUMMYFUNCTION("""COMPUTED_VALUE"""),"1991")</x:f>
      </x:c>
    </x:row>
    <x:row r="5711" spans="1:10">
      <x:c r="A5711" s="1" t="s">
        <x:v>5720</x:v>
      </x:c>
      <x:c r="B5711" s="1">
        <x:f>IFERROR(__xludf.DUMMYFUNCTION("""COMPUTED_VALUE"""),"Retorn al passat")</x:f>
      </x:c>
      <x:c r="C5711" s="1">
        <x:f>IFERROR(__xludf.DUMMYFUNCTION("""COMPUTED_VALUE"""),"1947")</x:f>
      </x:c>
    </x:row>
    <x:row r="5712" spans="1:10">
      <x:c r="A5712" s="1" t="s">
        <x:v>5721</x:v>
      </x:c>
      <x:c r="B5712" s="1">
        <x:f>IFERROR(__xludf.DUMMYFUNCTION("""COMPUTED_VALUE"""),"Retorn Sopa de Cabra Palau Sant Jordi")</x:f>
      </x:c>
      <x:c r="C5712" s="1">
        <x:f>IFERROR(__xludf.DUMMYFUNCTION("""COMPUTED_VALUE"""),"2011")</x:f>
      </x:c>
    </x:row>
    <x:row r="5713" spans="1:10">
      <x:c r="A5713" s="1" t="s">
        <x:v>5722</x:v>
      </x:c>
      <x:c r="B5713" s="1">
        <x:f>IFERROR(__xludf.DUMMYFUNCTION("""COMPUTED_VALUE"""),"Retornats")</x:f>
      </x:c>
      <x:c r="C5713" s="1">
        <x:f>IFERROR(__xludf.DUMMYFUNCTION("""COMPUTED_VALUE"""),"2013")</x:f>
      </x:c>
    </x:row>
    <x:row r="5714" spans="1:10">
      <x:c r="A5714" s="1" t="s">
        <x:v>5723</x:v>
      </x:c>
      <x:c r="B5714" s="1">
        <x:f>IFERROR(__xludf.DUMMYFUNCTION("""COMPUTED_VALUE"""),"Retrat d'una obsessió")</x:f>
      </x:c>
      <x:c r="C5714" s="1">
        <x:f>IFERROR(__xludf.DUMMYFUNCTION("""COMPUTED_VALUE"""),"2006")</x:f>
      </x:c>
    </x:row>
    <x:row r="5715" spans="1:10">
      <x:c r="A5715" s="1" t="s">
        <x:v>5724</x:v>
      </x:c>
      <x:c r="B5715" s="1">
        <x:f>IFERROR(__xludf.DUMMYFUNCTION("""COMPUTED_VALUE"""),"Retrobament")</x:f>
      </x:c>
      <x:c r="C5715" s="1">
        <x:f>IFERROR(__xludf.DUMMYFUNCTION("""COMPUTED_VALUE"""),"1983")</x:f>
      </x:c>
    </x:row>
    <x:row r="5716" spans="1:10">
      <x:c r="A5716" s="1" t="s">
        <x:v>5725</x:v>
      </x:c>
      <x:c r="B5716" s="1">
        <x:f>IFERROR(__xludf.DUMMYFUNCTION("""COMPUTED_VALUE"""),"Revolta al Fort Laramie")</x:f>
      </x:c>
      <x:c r="C5716" s="1">
        <x:f>IFERROR(__xludf.DUMMYFUNCTION("""COMPUTED_VALUE"""),"1956")</x:f>
      </x:c>
    </x:row>
    <x:row r="5717" spans="1:10">
      <x:c r="A5717" s="1" t="s">
        <x:v>5726</x:v>
      </x:c>
      <x:c r="B5717" s="1">
        <x:f>IFERROR(__xludf.DUMMYFUNCTION("""COMPUTED_VALUE"""),"Revolució Russa: 100 anys després")</x:f>
      </x:c>
      <x:c r="C5717" s="1">
        <x:f>IFERROR(__xludf.DUMMYFUNCTION("""COMPUTED_VALUE"""),"2017")</x:f>
      </x:c>
    </x:row>
    <x:row r="5718" spans="1:10">
      <x:c r="A5718" s="1" t="s">
        <x:v>5727</x:v>
      </x:c>
      <x:c r="B5718" s="1">
        <x:f>IFERROR(__xludf.DUMMYFUNCTION("""COMPUTED_VALUE"""),"Revolutionary Quartet: L'enigma Gerhard")</x:f>
      </x:c>
      <x:c r="C5718" s="1">
        <x:f>IFERROR(__xludf.DUMMYFUNCTION("""COMPUTED_VALUE"""),"2023")</x:f>
      </x:c>
    </x:row>
    <x:row r="5719" spans="1:10">
      <x:c r="A5719" s="1" t="s">
        <x:v>5728</x:v>
      </x:c>
      <x:c r="B5719" s="1">
        <x:f>IFERROR(__xludf.DUMMYFUNCTION("""COMPUTED_VALUE"""),"Rex, un dinosaure a Nova York")</x:f>
      </x:c>
      <x:c r="C5719" s="1">
        <x:f>IFERROR(__xludf.DUMMYFUNCTION("""COMPUTED_VALUE"""),"1993")</x:f>
      </x:c>
    </x:row>
    <x:row r="5720" spans="1:10">
      <x:c r="A5720" s="1" t="s">
        <x:v>5729</x:v>
      </x:c>
      <x:c r="B5720" s="1">
        <x:f>IFERROR(__xludf.DUMMYFUNCTION("""COMPUTED_VALUE"""),"Ribbit, una petita granota amb un gran dilema")</x:f>
      </x:c>
      <x:c r="C5720" s="1">
        <x:f>IFERROR(__xludf.DUMMYFUNCTION("""COMPUTED_VALUE"""),"2014")</x:f>
      </x:c>
    </x:row>
    <x:row r="5721" spans="1:10">
      <x:c r="A5721" s="1" t="s">
        <x:v>5730</x:v>
      </x:c>
      <x:c r="B5721" s="1">
        <x:f>IFERROR(__xludf.DUMMYFUNCTION("""COMPUTED_VALUE"""),"Ricard III")</x:f>
      </x:c>
      <x:c r="C5721" s="1">
        <x:f>IFERROR(__xludf.DUMMYFUNCTION("""COMPUTED_VALUE"""),"1995")</x:f>
      </x:c>
    </x:row>
    <x:row r="5722" spans="1:10">
      <x:c r="A5722" s="1" t="s">
        <x:v>5731</x:v>
      </x:c>
      <x:c r="B5722" s="1">
        <x:f>IFERROR(__xludf.DUMMYFUNCTION("""COMPUTED_VALUE"""),"Ricki")</x:f>
      </x:c>
      <x:c r="C5722" s="1">
        <x:f>IFERROR(__xludf.DUMMYFUNCTION("""COMPUTED_VALUE"""),"2015")</x:f>
      </x:c>
    </x:row>
    <x:row r="5723" spans="1:10">
      <x:c r="A5723" s="1" t="s">
        <x:v>5732</x:v>
      </x:c>
      <x:c r="B5723" s="1">
        <x:f>IFERROR(__xludf.DUMMYFUNCTION("""COMPUTED_VALUE"""),"Riddick")</x:f>
      </x:c>
      <x:c r="C5723" s="1">
        <x:f>IFERROR(__xludf.DUMMYFUNCTION("""COMPUTED_VALUE"""),"2013")</x:f>
      </x:c>
    </x:row>
    <x:row r="5724" spans="1:10">
      <x:c r="A5724" s="1" t="s">
        <x:v>5733</x:v>
      </x:c>
      <x:c r="B5724" s="1">
        <x:f>IFERROR(__xludf.DUMMYFUNCTION("""COMPUTED_VALUE"""),"Ride, al ritme de les ones")</x:f>
      </x:c>
      <x:c r="C5724" s="1">
        <x:f>IFERROR(__xludf.DUMMYFUNCTION("""COMPUTED_VALUE"""),"2014")</x:f>
      </x:c>
    </x:row>
    <x:row r="5725" spans="1:10">
      <x:c r="A5725" s="1" t="s">
        <x:v>5734</x:v>
      </x:c>
      <x:c r="B5725" s="1">
        <x:f>IFERROR(__xludf.DUMMYFUNCTION("""COMPUTED_VALUE"""),"Rifkin's Festival")</x:f>
      </x:c>
      <x:c r="C5725" s="1">
        <x:f>IFERROR(__xludf.DUMMYFUNCTION("""COMPUTED_VALUE"""),"2020")</x:f>
      </x:c>
    </x:row>
    <x:row r="5726" spans="1:10">
      <x:c r="A5726" s="1" t="s">
        <x:v>5735</x:v>
      </x:c>
      <x:c r="B5726" s="1">
        <x:f>IFERROR(__xludf.DUMMYFUNCTION("""COMPUTED_VALUE"""),"Rin Tin Tin - Heroi de l'Oest")</x:f>
      </x:c>
      <x:c r="C5726" s="1">
        <x:f>IFERROR(__xludf.DUMMYFUNCTION("""COMPUTED_VALUE"""),"1955")</x:f>
      </x:c>
    </x:row>
    <x:row r="5727" spans="1:10">
      <x:c r="A5727" s="1" t="s">
        <x:v>5736</x:v>
      </x:c>
      <x:c r="B5727" s="1">
        <x:f>IFERROR(__xludf.DUMMYFUNCTION("""COMPUTED_VALUE"""),"Rio Bravo")</x:f>
      </x:c>
      <x:c r="C5727" s="1">
        <x:f>IFERROR(__xludf.DUMMYFUNCTION("""COMPUTED_VALUE"""),"1959")</x:f>
      </x:c>
    </x:row>
    <x:row r="5728" spans="1:10">
      <x:c r="A5728" s="1" t="s">
        <x:v>5737</x:v>
      </x:c>
      <x:c r="B5728" s="1">
        <x:f>IFERROR(__xludf.DUMMYFUNCTION("""COMPUTED_VALUE"""),"Rio Grande")</x:f>
      </x:c>
      <x:c r="C5728" s="1">
        <x:f>IFERROR(__xludf.DUMMYFUNCTION("""COMPUTED_VALUE"""),"1950")</x:f>
      </x:c>
    </x:row>
    <x:row r="5729" spans="1:10">
      <x:c r="A5729" s="1" t="s">
        <x:v>5738</x:v>
      </x:c>
      <x:c r="B5729" s="1">
        <x:f>IFERROR(__xludf.DUMMYFUNCTION("""COMPUTED_VALUE"""),"Riparo")</x:f>
      </x:c>
      <x:c r="C5729" s="1">
        <x:f>IFERROR(__xludf.DUMMYFUNCTION("""COMPUTED_VALUE"""),"2007")</x:f>
      </x:c>
    </x:row>
    <x:row r="5730" spans="1:10">
      <x:c r="A5730" s="1" t="s">
        <x:v>5739</x:v>
      </x:c>
      <x:c r="B5730" s="1">
        <x:f>IFERROR(__xludf.DUMMYFUNCTION("""COMPUTED_VALUE"""),"Ritter Rost - Eisenhart und voll verbeult (El cavaller Rovellat)")</x:f>
      </x:c>
      <x:c r="C5730" s="1">
        <x:f>IFERROR(__xludf.DUMMYFUNCTION("""COMPUTED_VALUE"""),"2013")</x:f>
      </x:c>
    </x:row>
    <x:row r="5731" spans="1:10">
      <x:c r="A5731" s="1" t="s">
        <x:v>5740</x:v>
      </x:c>
      <x:c r="B5731" s="1">
        <x:f>IFERROR(__xludf.DUMMYFUNCTION("""COMPUTED_VALUE"""),"Riu de sang")</x:f>
      </x:c>
      <x:c r="C5731" s="1">
        <x:f>IFERROR(__xludf.DUMMYFUNCTION("""COMPUTED_VALUE"""),"1952")</x:f>
      </x:c>
    </x:row>
    <x:row r="5732" spans="1:10">
      <x:c r="A5732" s="1" t="s">
        <x:v>5741</x:v>
      </x:c>
      <x:c r="B5732" s="1">
        <x:f>IFERROR(__xludf.DUMMYFUNCTION("""COMPUTED_VALUE"""),"Riu salvatge")</x:f>
      </x:c>
      <x:c r="C5732" s="1">
        <x:f>IFERROR(__xludf.DUMMYFUNCTION("""COMPUTED_VALUE"""),"1960")</x:f>
      </x:c>
    </x:row>
    <x:row r="5733" spans="1:10">
      <x:c r="A5733" s="1" t="s">
        <x:v>5742</x:v>
      </x:c>
      <x:c r="B5733" s="1">
        <x:f>IFERROR(__xludf.DUMMYFUNCTION("""COMPUTED_VALUE"""),"Riu Vermell")</x:f>
      </x:c>
      <x:c r="C5733" s="1">
        <x:f>IFERROR(__xludf.DUMMYFUNCTION("""COMPUTED_VALUE"""),"1948")</x:f>
      </x:c>
    </x:row>
    <x:row r="5734" spans="1:10">
      <x:c r="A5734" s="1" t="s">
        <x:v>5743</x:v>
      </x:c>
      <x:c r="B5734" s="1">
        <x:f>IFERROR(__xludf.DUMMYFUNCTION("""COMPUTED_VALUE"""),"Rivals")</x:f>
      </x:c>
      <x:c r="C5734" s="1">
        <x:f>IFERROR(__xludf.DUMMYFUNCTION("""COMPUTED_VALUE"""),"2008")</x:f>
      </x:c>
    </x:row>
    <x:row r="5735" spans="1:10">
      <x:c r="A5735" s="1" t="s">
        <x:v>5744</x:v>
      </x:c>
      <x:c r="B5735" s="1">
        <x:f>IFERROR(__xludf.DUMMYFUNCTION("""COMPUTED_VALUE"""),"Rob Roy")</x:f>
      </x:c>
      <x:c r="C5735" s="1">
        <x:f>IFERROR(__xludf.DUMMYFUNCTION("""COMPUTED_VALUE"""),"1995")</x:f>
      </x:c>
    </x:row>
    <x:row r="5736" spans="1:10">
      <x:c r="A5736" s="1" t="s">
        <x:v>5745</x:v>
      </x:c>
      <x:c r="B5736" s="1">
        <x:f>IFERROR(__xludf.DUMMYFUNCTION("""COMPUTED_VALUE"""),"Rob-B-Hood")</x:f>
      </x:c>
      <x:c r="C5736" s="1">
        <x:f>IFERROR(__xludf.DUMMYFUNCTION("""COMPUTED_VALUE"""),"2006")</x:f>
      </x:c>
    </x:row>
    <x:row r="5737" spans="1:10">
      <x:c r="A5737" s="1" t="s">
        <x:v>5746</x:v>
      </x:c>
      <x:c r="B5737" s="1">
        <x:f>IFERROR(__xludf.DUMMYFUNCTION("""COMPUTED_VALUE"""),"Robby, Toby i el viatge fantàstic")</x:f>
      </x:c>
      <x:c r="C5737" s="1">
        <x:f>IFERROR(__xludf.DUMMYFUNCTION("""COMPUTED_VALUE"""),"2016")</x:f>
      </x:c>
    </x:row>
    <x:row r="5738" spans="1:10">
      <x:c r="A5738" s="1" t="s">
        <x:v>5747</x:v>
      </x:c>
      <x:c r="B5738" s="1">
        <x:f>IFERROR(__xludf.DUMMYFUNCTION("""COMPUTED_VALUE"""),"Robert Plant &amp; The Sensational Space Shifters")</x:f>
      </x:c>
      <x:c r="C5738" s="1">
        <x:f>IFERROR(__xludf.DUMMYFUNCTION("""COMPUTED_VALUE"""),"2014")</x:f>
      </x:c>
    </x:row>
    <x:row r="5739" spans="1:10">
      <x:c r="A5739" s="1" t="s">
        <x:v>5748</x:v>
      </x:c>
      <x:c r="B5739" s="1">
        <x:f>IFERROR(__xludf.DUMMYFUNCTION("""COMPUTED_VALUE"""),"Robin Hood")</x:f>
      </x:c>
      <x:c r="C5739" s="1">
        <x:f>IFERROR(__xludf.DUMMYFUNCTION("""COMPUTED_VALUE"""),"1973")</x:f>
      </x:c>
    </x:row>
    <x:row r="5740" spans="1:10">
      <x:c r="A5740" s="1" t="s">
        <x:v>5749</x:v>
      </x:c>
      <x:c r="B5740" s="1">
        <x:f>IFERROR(__xludf.DUMMYFUNCTION("""COMPUTED_VALUE"""),"Robin Hood")</x:f>
      </x:c>
      <x:c r="C5740" s="1">
        <x:f>IFERROR(__xludf.DUMMYFUNCTION("""COMPUTED_VALUE"""),"2010")</x:f>
      </x:c>
    </x:row>
    <x:row r="5741" spans="1:10">
      <x:c r="A5741" s="1" t="s">
        <x:v>5750</x:v>
      </x:c>
      <x:c r="B5741" s="1">
        <x:f>IFERROR(__xludf.DUMMYFUNCTION("""COMPUTED_VALUE"""),"Robin Hood")</x:f>
      </x:c>
      <x:c r="C5741" s="1">
        <x:f>IFERROR(__xludf.DUMMYFUNCTION("""COMPUTED_VALUE"""),"2018")</x:f>
      </x:c>
    </x:row>
    <x:row r="5742" spans="1:10">
      <x:c r="A5742" s="1" t="s">
        <x:v>5751</x:v>
      </x:c>
      <x:c r="B5742" s="1">
        <x:f>IFERROR(__xludf.DUMMYFUNCTION("""COMPUTED_VALUE"""),"Robin Hood: Príncep dels lladres")</x:f>
      </x:c>
      <x:c r="C5742" s="1">
        <x:f>IFERROR(__xludf.DUMMYFUNCTION("""COMPUTED_VALUE"""),"1991")</x:f>
      </x:c>
    </x:row>
    <x:row r="5743" spans="1:10">
      <x:c r="A5743" s="1" t="s">
        <x:v>5752</x:v>
      </x:c>
      <x:c r="B5743" s="1">
        <x:f>IFERROR(__xludf.DUMMYFUNCTION("""COMPUTED_VALUE"""),"Robin i Marian")</x:f>
      </x:c>
      <x:c r="C5743" s="1">
        <x:f>IFERROR(__xludf.DUMMYFUNCTION("""COMPUTED_VALUE"""),"1976")</x:f>
      </x:c>
    </x:row>
    <x:row r="5744" spans="1:10">
      <x:c r="A5744" s="1" t="s">
        <x:v>5753</x:v>
      </x:c>
      <x:c r="B5744" s="1">
        <x:f>IFERROR(__xludf.DUMMYFUNCTION("""COMPUTED_VALUE"""),"Robinson Crusoe a Mart [VOSC]")</x:f>
      </x:c>
      <x:c r="C5744" s="1">
        <x:f>IFERROR(__xludf.DUMMYFUNCTION("""COMPUTED_VALUE"""),"1964")</x:f>
      </x:c>
    </x:row>
    <x:row r="5745" spans="1:10">
      <x:c r="A5745" s="1" t="s">
        <x:v>5754</x:v>
      </x:c>
      <x:c r="B5745" s="1">
        <x:f>IFERROR(__xludf.DUMMYFUNCTION("""COMPUTED_VALUE"""),"Robocop I")</x:f>
      </x:c>
      <x:c r="C5745" s="1">
        <x:f>IFERROR(__xludf.DUMMYFUNCTION("""COMPUTED_VALUE"""),"1987")</x:f>
      </x:c>
    </x:row>
    <x:row r="5746" spans="1:10">
      <x:c r="A5746" s="1" t="s">
        <x:v>5755</x:v>
      </x:c>
      <x:c r="B5746" s="1">
        <x:f>IFERROR(__xludf.DUMMYFUNCTION("""COMPUTED_VALUE"""),"Robocop II")</x:f>
      </x:c>
      <x:c r="C5746" s="1">
        <x:f>IFERROR(__xludf.DUMMYFUNCTION("""COMPUTED_VALUE"""),"1989")</x:f>
      </x:c>
    </x:row>
    <x:row r="5747" spans="1:10">
      <x:c r="A5747" s="1" t="s">
        <x:v>5756</x:v>
      </x:c>
      <x:c r="B5747" s="1">
        <x:f>IFERROR(__xludf.DUMMYFUNCTION("""COMPUTED_VALUE"""),"Robocop III")</x:f>
      </x:c>
      <x:c r="C5747" s="1">
        <x:f>IFERROR(__xludf.DUMMYFUNCTION("""COMPUTED_VALUE"""),"1992")</x:f>
      </x:c>
    </x:row>
    <x:row r="5748" spans="1:10">
      <x:c r="A5748" s="1" t="s">
        <x:v>5757</x:v>
      </x:c>
      <x:c r="B5748" s="1">
        <x:f>IFERROR(__xludf.DUMMYFUNCTION("""COMPUTED_VALUE"""),"Robot Dreams")</x:f>
      </x:c>
      <x:c r="C5748" s="1">
        <x:f>IFERROR(__xludf.DUMMYFUNCTION("""COMPUTED_VALUE"""),"2023")</x:f>
      </x:c>
    </x:row>
    <x:row r="5749" spans="1:10">
      <x:c r="A5749" s="1" t="s">
        <x:v>5758</x:v>
      </x:c>
      <x:c r="B5749" s="1">
        <x:f>IFERROR(__xludf.DUMMYFUNCTION("""COMPUTED_VALUE"""),"Robots")</x:f>
      </x:c>
      <x:c r="C5749" s="1">
        <x:f>IFERROR(__xludf.DUMMYFUNCTION("""COMPUTED_VALUE"""),"2005")</x:f>
      </x:c>
    </x:row>
    <x:row r="5750" spans="1:10">
      <x:c r="A5750" s="1" t="s">
        <x:v>5759</x:v>
      </x:c>
      <x:c r="B5750" s="1">
        <x:f>IFERROR(__xludf.DUMMYFUNCTION("""COMPUTED_VALUE"""),"Rocketman")</x:f>
      </x:c>
      <x:c r="C5750" s="1">
        <x:f>IFERROR(__xludf.DUMMYFUNCTION("""COMPUTED_VALUE"""),"2019")</x:f>
      </x:c>
    </x:row>
    <x:row r="5751" spans="1:10">
      <x:c r="A5751" s="1" t="s">
        <x:v>5760</x:v>
      </x:c>
      <x:c r="B5751" s="1">
        <x:f>IFERROR(__xludf.DUMMYFUNCTION("""COMPUTED_VALUE"""),"Rocky Balboa")</x:f>
      </x:c>
      <x:c r="C5751" s="1">
        <x:f>IFERROR(__xludf.DUMMYFUNCTION("""COMPUTED_VALUE"""),"2006")</x:f>
      </x:c>
    </x:row>
    <x:row r="5752" spans="1:10">
      <x:c r="A5752" s="1" t="s">
        <x:v>5761</x:v>
      </x:c>
      <x:c r="B5752" s="1">
        <x:f>IFERROR(__xludf.DUMMYFUNCTION("""COMPUTED_VALUE"""),"Rocky I")</x:f>
      </x:c>
      <x:c r="C5752" s="1">
        <x:f>IFERROR(__xludf.DUMMYFUNCTION("""COMPUTED_VALUE"""),"1976")</x:f>
      </x:c>
    </x:row>
    <x:row r="5753" spans="1:10">
      <x:c r="A5753" s="1" t="s">
        <x:v>5762</x:v>
      </x:c>
      <x:c r="B5753" s="1">
        <x:f>IFERROR(__xludf.DUMMYFUNCTION("""COMPUTED_VALUE"""),"Rocky II")</x:f>
      </x:c>
      <x:c r="C5753" s="1">
        <x:f>IFERROR(__xludf.DUMMYFUNCTION("""COMPUTED_VALUE"""),"1979")</x:f>
      </x:c>
    </x:row>
    <x:row r="5754" spans="1:10">
      <x:c r="A5754" s="1" t="s">
        <x:v>5763</x:v>
      </x:c>
      <x:c r="B5754" s="1">
        <x:f>IFERROR(__xludf.DUMMYFUNCTION("""COMPUTED_VALUE"""),"Rocky III")</x:f>
      </x:c>
      <x:c r="C5754" s="1">
        <x:f>IFERROR(__xludf.DUMMYFUNCTION("""COMPUTED_VALUE"""),"1982")</x:f>
      </x:c>
    </x:row>
    <x:row r="5755" spans="1:10">
      <x:c r="A5755" s="1" t="s">
        <x:v>5764</x:v>
      </x:c>
      <x:c r="B5755" s="1">
        <x:f>IFERROR(__xludf.DUMMYFUNCTION("""COMPUTED_VALUE"""),"Rocky IV")</x:f>
      </x:c>
      <x:c r="C5755" s="1">
        <x:f>IFERROR(__xludf.DUMMYFUNCTION("""COMPUTED_VALUE"""),"1985")</x:f>
      </x:c>
    </x:row>
    <x:row r="5756" spans="1:10">
      <x:c r="A5756" s="1" t="s">
        <x:v>5765</x:v>
      </x:c>
      <x:c r="B5756" s="1">
        <x:f>IFERROR(__xludf.DUMMYFUNCTION("""COMPUTED_VALUE"""),"Rocky V")</x:f>
      </x:c>
      <x:c r="C5756" s="1">
        <x:f>IFERROR(__xludf.DUMMYFUNCTION("""COMPUTED_VALUE"""),"1990")</x:f>
      </x:c>
    </x:row>
    <x:row r="5757" spans="1:10">
      <x:c r="A5757" s="1" t="s">
        <x:v>5766</x:v>
      </x:c>
      <x:c r="B5757" s="1">
        <x:f>IFERROR(__xludf.DUMMYFUNCTION("""COMPUTED_VALUE"""),"Rodalies, la història interminable")</x:f>
      </x:c>
      <x:c r="C5757" s="1">
        <x:f>IFERROR(__xludf.DUMMYFUNCTION("""COMPUTED_VALUE"""),"2026")</x:f>
      </x:c>
    </x:row>
    <x:row r="5758" spans="1:10">
      <x:c r="A5758" s="1" t="s">
        <x:v>5767</x:v>
      </x:c>
      <x:c r="B5758" s="1">
        <x:f>IFERROR(__xludf.DUMMYFUNCTION("""COMPUTED_VALUE"""),"Rodejats per Estat Islàmic")</x:f>
      </x:c>
      <x:c r="C5758" s="1">
        <x:f>IFERROR(__xludf.DUMMYFUNCTION("""COMPUTED_VALUE"""),"2015")</x:f>
      </x:c>
    </x:row>
    <x:row r="5759" spans="1:10">
      <x:c r="A5759" s="1" t="s">
        <x:v>5768</x:v>
      </x:c>
      <x:c r="B5759" s="1">
        <x:f>IFERROR(__xludf.DUMMYFUNCTION("""COMPUTED_VALUE"""),"Rodencia i la dent de la Princesa")</x:f>
      </x:c>
      <x:c r="C5759" s="1">
        <x:f>IFERROR(__xludf.DUMMYFUNCTION("""COMPUTED_VALUE"""),"2012")</x:f>
      </x:c>
    </x:row>
    <x:row r="5760" spans="1:10">
      <x:c r="A5760" s="1" t="s">
        <x:v>5769</x:v>
      </x:c>
      <x:c r="B5760" s="1">
        <x:f>IFERROR(__xludf.DUMMYFUNCTION("""COMPUTED_VALUE"""),"Roger Hodgson - Live in Montreal")</x:f>
      </x:c>
      <x:c r="C5760" s="1">
        <x:f>IFERROR(__xludf.DUMMYFUNCTION("""COMPUTED_VALUE"""),"2006")</x:f>
      </x:c>
    </x:row>
    <x:row r="5761" spans="1:10">
      <x:c r="A5761" s="1" t="s">
        <x:v>5770</x:v>
      </x:c>
      <x:c r="B5761" s="1">
        <x:f>IFERROR(__xludf.DUMMYFUNCTION("""COMPUTED_VALUE"""),"Roger Waters - The Wall live in Berlin")</x:f>
      </x:c>
      <x:c r="C5761" s="1">
        <x:f>IFERROR(__xludf.DUMMYFUNCTION("""COMPUTED_VALUE"""),"1990")</x:f>
      </x:c>
    </x:row>
    <x:row r="5762" spans="1:10">
      <x:c r="A5762" s="1" t="s">
        <x:v>5771</x:v>
      </x:c>
      <x:c r="B5762" s="1">
        <x:f>IFERROR(__xludf.DUMMYFUNCTION("""COMPUTED_VALUE"""),"Roger Waters – The Wall live in London")</x:f>
      </x:c>
      <x:c r="C5762" s="1">
        <x:f>IFERROR(__xludf.DUMMYFUNCTION("""COMPUTED_VALUE"""),"2011")</x:f>
      </x:c>
    </x:row>
    <x:row r="5763" spans="1:10">
      <x:c r="A5763" s="1" t="s">
        <x:v>5772</x:v>
      </x:c>
      <x:c r="B5763" s="1">
        <x:f>IFERROR(__xludf.DUMMYFUNCTION("""COMPUTED_VALUE"""),"Rogue Agent")</x:f>
      </x:c>
      <x:c r="C5763" s="1">
        <x:f>IFERROR(__xludf.DUMMYFUNCTION("""COMPUTED_VALUE"""),"2022")</x:f>
      </x:c>
    </x:row>
    <x:row r="5764" spans="1:10">
      <x:c r="A5764" s="1" t="s">
        <x:v>5773</x:v>
      </x:c>
      <x:c r="B5764" s="1">
        <x:f>IFERROR(__xludf.DUMMYFUNCTION("""COMPUTED_VALUE"""),"Rollerball")</x:f>
      </x:c>
      <x:c r="C5764" s="1">
        <x:f>IFERROR(__xludf.DUMMYFUNCTION("""COMPUTED_VALUE"""),"1975")</x:f>
      </x:c>
    </x:row>
    <x:row r="5765" spans="1:10">
      <x:c r="A5765" s="1" t="s">
        <x:v>5774</x:v>
      </x:c>
      <x:c r="B5765" s="1">
        <x:f>IFERROR(__xludf.DUMMYFUNCTION("""COMPUTED_VALUE"""),"Romasanta")</x:f>
      </x:c>
      <x:c r="C5765" s="1">
        <x:f>IFERROR(__xludf.DUMMYFUNCTION("""COMPUTED_VALUE"""),"2004")</x:f>
      </x:c>
    </x:row>
    <x:row r="5766" spans="1:10">
      <x:c r="A5766" s="1" t="s">
        <x:v>5775</x:v>
      </x:c>
      <x:c r="B5766" s="1">
        <x:f>IFERROR(__xludf.DUMMYFUNCTION("""COMPUTED_VALUE"""),"Ron dona error")</x:f>
      </x:c>
      <x:c r="C5766" s="1">
        <x:f>IFERROR(__xludf.DUMMYFUNCTION("""COMPUTED_VALUE"""),"2021")</x:f>
      </x:c>
    </x:row>
    <x:row r="5767" spans="1:10">
      <x:c r="A5767" s="1" t="s">
        <x:v>5776</x:v>
      </x:c>
      <x:c r="B5767" s="1">
        <x:f>IFERROR(__xludf.DUMMYFUNCTION("""COMPUTED_VALUE"""),"Ronin")</x:f>
      </x:c>
      <x:c r="C5767" s="1">
        <x:f>IFERROR(__xludf.DUMMYFUNCTION("""COMPUTED_VALUE"""),"1998")</x:f>
      </x:c>
    </x:row>
    <x:row r="5768" spans="1:10">
      <x:c r="A5768" s="1" t="s">
        <x:v>5777</x:v>
      </x:c>
      <x:c r="B5768" s="1">
        <x:f>IFERROR(__xludf.DUMMYFUNCTION("""COMPUTED_VALUE"""),"Roses a l'hivern")</x:f>
      </x:c>
      <x:c r="C5768" s="1">
        <x:f>IFERROR(__xludf.DUMMYFUNCTION("""COMPUTED_VALUE"""),"2014")</x:f>
      </x:c>
    </x:row>
    <x:row r="5769" spans="1:10">
      <x:c r="A5769" s="1" t="s">
        <x:v>5778</x:v>
      </x:c>
      <x:c r="B5769" s="1">
        <x:f>IFERROR(__xludf.DUMMYFUNCTION("""COMPUTED_VALUE"""),"Rottweiler")</x:f>
      </x:c>
      <x:c r="C5769" s="1">
        <x:f>IFERROR(__xludf.DUMMYFUNCTION("""COMPUTED_VALUE"""),"2005")</x:f>
      </x:c>
    </x:row>
    <x:row r="5770" spans="1:10">
      <x:c r="A5770" s="1" t="s">
        <x:v>5779</x:v>
      </x:c>
      <x:c r="B5770" s="1">
        <x:f>IFERROR(__xludf.DUMMYFUNCTION("""COMPUTED_VALUE"""),"Roujin Z")</x:f>
      </x:c>
      <x:c r="C5770" s="1">
        <x:f>IFERROR(__xludf.DUMMYFUNCTION("""COMPUTED_VALUE"""),"1991")</x:f>
      </x:c>
    </x:row>
    <x:row r="5771" spans="1:10">
      <x:c r="A5771" s="1" t="s">
        <x:v>5780</x:v>
      </x:c>
      <x:c r="B5771" s="1">
        <x:f>IFERROR(__xludf.DUMMYFUNCTION("""COMPUTED_VALUE"""),"Rovello - Conte de nadal")</x:f>
      </x:c>
      <x:c r="C5771" s="1">
        <x:f>IFERROR(__xludf.DUMMYFUNCTION("""COMPUTED_VALUE"""),"2010")</x:f>
      </x:c>
    </x:row>
    <x:row r="5772" spans="1:10">
      <x:c r="A5772" s="1" t="s">
        <x:v>5781</x:v>
      </x:c>
      <x:c r="B5772" s="1">
        <x:f>IFERROR(__xludf.DUMMYFUNCTION("""COMPUTED_VALUE"""),"Rovelló a el somni d'una nit d'estiu")</x:f>
      </x:c>
      <x:c r="C5772" s="1">
        <x:f>IFERROR(__xludf.DUMMYFUNCTION("""COMPUTED_VALUE"""),"2011")</x:f>
      </x:c>
    </x:row>
    <x:row r="5773" spans="1:10">
      <x:c r="A5773" s="1" t="s">
        <x:v>5782</x:v>
      </x:c>
      <x:c r="B5773" s="1">
        <x:f>IFERROR(__xludf.DUMMYFUNCTION("""COMPUTED_VALUE"""),"Rovelló a Halloween")</x:f>
      </x:c>
      <x:c r="C5773" s="1">
        <x:f>IFERROR(__xludf.DUMMYFUNCTION("""COMPUTED_VALUE"""),"2009")</x:f>
      </x:c>
    </x:row>
    <x:row r="5774" spans="1:10">
      <x:c r="A5774" s="1" t="s">
        <x:v>5783</x:v>
      </x:c>
      <x:c r="B5774" s="1">
        <x:f>IFERROR(__xludf.DUMMYFUNCTION("""COMPUTED_VALUE"""),"Rovelló i la llegenda de Sant Jordi")</x:f>
      </x:c>
      <x:c r="C5774" s="1">
        <x:f>IFERROR(__xludf.DUMMYFUNCTION("""COMPUTED_VALUE"""),"2009")</x:f>
      </x:c>
    </x:row>
    <x:row r="5775" spans="1:10">
      <x:c r="A5775" s="1" t="s">
        <x:v>5784</x:v>
      </x:c>
      <x:c r="B5775" s="1">
        <x:f>IFERROR(__xludf.DUMMYFUNCTION("""COMPUTED_VALUE"""),"Rovelló: un Nadal sense Noel")</x:f>
      </x:c>
      <x:c r="C5775" s="1">
        <x:f>IFERROR(__xludf.DUMMYFUNCTION("""COMPUTED_VALUE"""),"2009")</x:f>
      </x:c>
    </x:row>
    <x:row r="5776" spans="1:10">
      <x:c r="A5776" s="1" t="s">
        <x:v>5785</x:v>
      </x:c>
      <x:c r="B5776" s="1">
        <x:f>IFERROR(__xludf.DUMMYFUNCTION("""COMPUTED_VALUE"""),"Rovelló. El carnaval de la Ventafocs")</x:f>
      </x:c>
      <x:c r="C5776" s="1">
        <x:f>IFERROR(__xludf.DUMMYFUNCTION("""COMPUTED_VALUE"""),"2007")</x:f>
      </x:c>
    </x:row>
    <x:row r="5777" spans="1:10">
      <x:c r="A5777" s="1" t="s">
        <x:v>5786</x:v>
      </x:c>
      <x:c r="B5777" s="1">
        <x:f>IFERROR(__xludf.DUMMYFUNCTION("""COMPUTED_VALUE"""),"Rowan Atkinson en viu!")</x:f>
      </x:c>
      <x:c r="C5777" s="1">
        <x:f>IFERROR(__xludf.DUMMYFUNCTION("""COMPUTED_VALUE"""),"1992")</x:f>
      </x:c>
    </x:row>
    <x:row r="5778" spans="1:10">
      <x:c r="A5778" s="1" t="s">
        <x:v>5787</x:v>
      </x:c>
      <x:c r="B5778" s="1">
        <x:f>IFERROR(__xludf.DUMMYFUNCTION("""COMPUTED_VALUE"""),"Roxanne")</x:f>
      </x:c>
      <x:c r="C5778" s="1">
        <x:f>IFERROR(__xludf.DUMMYFUNCTION("""COMPUTED_VALUE"""),"1987")</x:f>
      </x:c>
    </x:row>
    <x:row r="5779" spans="1:10">
      <x:c r="A5779" s="1" t="s">
        <x:v>5788</x:v>
      </x:c>
      <x:c r="B5779" s="1">
        <x:f>IFERROR(__xludf.DUMMYFUNCTION("""COMPUTED_VALUE"""),"RRRrrrr!!!")</x:f>
      </x:c>
      <x:c r="C5779" s="1">
        <x:f>IFERROR(__xludf.DUMMYFUNCTION("""COMPUTED_VALUE"""),"2004")</x:f>
      </x:c>
    </x:row>
    <x:row r="5780" spans="1:10">
      <x:c r="A5780" s="1" t="s">
        <x:v>5789</x:v>
      </x:c>
      <x:c r="B5780" s="1">
        <x:f>IFERROR(__xludf.DUMMYFUNCTION("""COMPUTED_VALUE"""),"Rubianes solamente")</x:f>
      </x:c>
      <x:c r="C5780" s="1">
        <x:f>IFERROR(__xludf.DUMMYFUNCTION("""COMPUTED_VALUE"""),"2003")</x:f>
      </x:c>
    </x:row>
    <x:row r="5781" spans="1:10">
      <x:c r="A5781" s="1" t="s">
        <x:v>5790</x:v>
      </x:c>
      <x:c r="B5781" s="1">
        <x:f>IFERROR(__xludf.DUMMYFUNCTION("""COMPUTED_VALUE"""),"Rudi: El porquet de les carreres")</x:f>
      </x:c>
      <x:c r="C5781" s="1">
        <x:f>IFERROR(__xludf.DUMMYFUNCTION("""COMPUTED_VALUE"""),"2007")</x:f>
      </x:c>
    </x:row>
    <x:row r="5782" spans="1:10">
      <x:c r="A5782" s="1" t="s">
        <x:v>5791</x:v>
      </x:c>
      <x:c r="B5782" s="1">
        <x:f>IFERROR(__xludf.DUMMYFUNCTION("""COMPUTED_VALUE"""),"Rudolph")</x:f>
      </x:c>
      <x:c r="C5782" s="1">
        <x:f>IFERROR(__xludf.DUMMYFUNCTION("""COMPUTED_VALUE"""),"1998")</x:f>
      </x:c>
    </x:row>
    <x:row r="5783" spans="1:10">
      <x:c r="A5783" s="1" t="s">
        <x:v>5792</x:v>
      </x:c>
      <x:c r="B5783" s="1">
        <x:f>IFERROR(__xludf.DUMMYFUNCTION("""COMPUTED_VALUE"""),"Rudolph 2")</x:f>
      </x:c>
      <x:c r="C5783" s="1">
        <x:f>IFERROR(__xludf.DUMMYFUNCTION("""COMPUTED_VALUE"""),"2001")</x:f>
      </x:c>
    </x:row>
    <x:row r="5784" spans="1:10">
      <x:c r="A5784" s="1" t="s">
        <x:v>5793</x:v>
      </x:c>
      <x:c r="B5784" s="1">
        <x:f>IFERROR(__xludf.DUMMYFUNCTION("""COMPUTED_VALUE"""),"Rufufú")</x:f>
      </x:c>
      <x:c r="C5784" s="1">
        <x:f>IFERROR(__xludf.DUMMYFUNCTION("""COMPUTED_VALUE"""),"1958")</x:f>
      </x:c>
    </x:row>
    <x:row r="5785" spans="1:10">
      <x:c r="A5785" s="1" t="s">
        <x:v>5794</x:v>
      </x:c>
      <x:c r="B5785" s="1">
        <x:f>IFERROR(__xludf.DUMMYFUNCTION("""COMPUTED_VALUE"""),"Rugrats")</x:f>
      </x:c>
      <x:c r="C5785" s="1">
        <x:f>IFERROR(__xludf.DUMMYFUNCTION("""COMPUTED_VALUE"""),"1998")</x:f>
      </x:c>
    </x:row>
    <x:row r="5786" spans="1:10">
      <x:c r="A5786" s="1" t="s">
        <x:v>5795</x:v>
      </x:c>
      <x:c r="B5786" s="1">
        <x:f>IFERROR(__xludf.DUMMYFUNCTION("""COMPUTED_VALUE"""),"Rugrats a París")</x:f>
      </x:c>
      <x:c r="C5786" s="1">
        <x:f>IFERROR(__xludf.DUMMYFUNCTION("""COMPUTED_VALUE"""),"2000")</x:f>
      </x:c>
    </x:row>
    <x:row r="5787" spans="1:10">
      <x:c r="A5787" s="1" t="s">
        <x:v>5796</x:v>
      </x:c>
      <x:c r="B5787" s="1">
        <x:f>IFERROR(__xludf.DUMMYFUNCTION("""COMPUTED_VALUE"""),"Rugrats, vacances salvatges")</x:f>
      </x:c>
      <x:c r="C5787" s="1">
        <x:f>IFERROR(__xludf.DUMMYFUNCTION("""COMPUTED_VALUE"""),"2003")</x:f>
      </x:c>
    </x:row>
    <x:row r="5788" spans="1:10">
      <x:c r="A5788" s="1" t="s">
        <x:v>5797</x:v>
      </x:c>
      <x:c r="B5788" s="1">
        <x:f>IFERROR(__xludf.DUMMYFUNCTION("""COMPUTED_VALUE"""),"Rumba terapia")</x:f>
      </x:c>
      <x:c r="C5788" s="1">
        <x:f>IFERROR(__xludf.DUMMYFUNCTION("""COMPUTED_VALUE"""),"2022")</x:f>
      </x:c>
    </x:row>
    <x:row r="5789" spans="1:10">
      <x:c r="A5789" s="1" t="s">
        <x:v>5798</x:v>
      </x:c>
      <x:c r="B5789" s="1">
        <x:f>IFERROR(__xludf.DUMMYFUNCTION("""COMPUTED_VALUE"""),"Rumors i mentides")</x:f>
      </x:c>
      <x:c r="C5789" s="1">
        <x:f>IFERROR(__xludf.DUMMYFUNCTION("""COMPUTED_VALUE"""),"2010")</x:f>
      </x:c>
    </x:row>
    <x:row r="5790" spans="1:10">
      <x:c r="A5790" s="1" t="s">
        <x:v>5799</x:v>
      </x:c>
      <x:c r="B5790" s="1">
        <x:f>IFERROR(__xludf.DUMMYFUNCTION("""COMPUTED_VALUE"""),"Run")</x:f>
      </x:c>
      <x:c r="C5790" s="1">
        <x:f>IFERROR(__xludf.DUMMYFUNCTION("""COMPUTED_VALUE"""),"2020")</x:f>
      </x:c>
    </x:row>
    <x:row r="5791" spans="1:10">
      <x:c r="A5791" s="1" t="s">
        <x:v>5800</x:v>
      </x:c>
      <x:c r="B5791" s="1">
        <x:f>IFERROR(__xludf.DUMMYFUNCTION("""COMPUTED_VALUE"""),"Rusc")</x:f>
      </x:c>
      <x:c r="C5791" s="1">
        <x:f>IFERROR(__xludf.DUMMYFUNCTION("""COMPUTED_VALUE"""),"2021")</x:f>
      </x:c>
    </x:row>
    <x:row r="5792" spans="1:10">
      <x:c r="A5792" s="1" t="s">
        <x:v>5801</x:v>
      </x:c>
      <x:c r="B5792" s="1">
        <x:f>IFERROR(__xludf.DUMMYFUNCTION("""COMPUTED_VALUE"""),"Rush")</x:f>
      </x:c>
      <x:c r="C5792" s="1">
        <x:f>IFERROR(__xludf.DUMMYFUNCTION("""COMPUTED_VALUE"""),"2013")</x:f>
      </x:c>
    </x:row>
    <x:row r="5793" spans="1:10">
      <x:c r="A5793" s="1" t="s">
        <x:v>5802</x:v>
      </x:c>
      <x:c r="B5793" s="1">
        <x:f>IFERROR(__xludf.DUMMYFUNCTION("""COMPUTED_VALUE"""),"Ruta salvatge")</x:f>
      </x:c>
      <x:c r="C5793" s="1">
        <x:f>IFERROR(__xludf.DUMMYFUNCTION("""COMPUTED_VALUE"""),"2023")</x:f>
      </x:c>
    </x:row>
    <x:row r="5794" spans="1:10">
      <x:c r="A5794" s="1" t="s">
        <x:v>5803</x:v>
      </x:c>
      <x:c r="B5794" s="1">
        <x:f>IFERROR(__xludf.DUMMYFUNCTION("""COMPUTED_VALUE"""),"Ryanair, l'ombra del baix cost")</x:f>
      </x:c>
      <x:c r="C5794" s="1">
        <x:f>IFERROR(__xludf.DUMMYFUNCTION("""COMPUTED_VALUE"""),"2024")</x:f>
      </x:c>
    </x:row>
    <x:row r="5795" spans="1:10">
      <x:c r="A5795" s="1" t="s">
        <x:v>5804</x:v>
      </x:c>
      <x:c r="B5795" s="1">
        <x:f>IFERROR(__xludf.DUMMYFUNCTION("""COMPUTED_VALUE"""),"S.W.A.T.")</x:f>
      </x:c>
      <x:c r="C5795" s="1">
        <x:f>IFERROR(__xludf.DUMMYFUNCTION("""COMPUTED_VALUE"""),"2019")</x:f>
      </x:c>
    </x:row>
    <x:row r="5796" spans="1:10">
      <x:c r="A5796" s="1" t="s">
        <x:v>5805</x:v>
      </x:c>
      <x:c r="B5796" s="1">
        <x:f>IFERROR(__xludf.DUMMYFUNCTION("""COMPUTED_VALUE"""),"Sa majestat dels Mars del Sud")</x:f>
      </x:c>
      <x:c r="C5796" s="1">
        <x:f>IFERROR(__xludf.DUMMYFUNCTION("""COMPUTED_VALUE"""),"1954")</x:f>
      </x:c>
    </x:row>
    <x:row r="5797" spans="1:10">
      <x:c r="A5797" s="1" t="s">
        <x:v>5806</x:v>
      </x:c>
      <x:c r="B5797" s="1">
        <x:f>IFERROR(__xludf.DUMMYFUNCTION("""COMPUTED_VALUE"""),"Sa majestat Minor")</x:f>
      </x:c>
      <x:c r="C5797" s="1">
        <x:f>IFERROR(__xludf.DUMMYFUNCTION("""COMPUTED_VALUE"""),"2007")</x:f>
      </x:c>
    </x:row>
    <x:row r="5798" spans="1:10">
      <x:c r="A5798" s="1" t="s">
        <x:v>5807</x:v>
      </x:c>
      <x:c r="B5798" s="1">
        <x:f>IFERROR(__xludf.DUMMYFUNCTION("""COMPUTED_VALUE"""),"Sabates vermelles i els set trols")</x:f>
      </x:c>
      <x:c r="C5798" s="1">
        <x:f>IFERROR(__xludf.DUMMYFUNCTION("""COMPUTED_VALUE"""),"2019")</x:f>
      </x:c>
    </x:row>
    <x:row r="5799" spans="1:10">
      <x:c r="A5799" s="1" t="s">
        <x:v>5808</x:v>
      </x:c>
      <x:c r="B5799" s="1">
        <x:f>IFERROR(__xludf.DUMMYFUNCTION("""COMPUTED_VALUE"""),"Saben aquell")</x:f>
      </x:c>
      <x:c r="C5799" s="1">
        <x:f>IFERROR(__xludf.DUMMYFUNCTION("""COMPUTED_VALUE"""),"2023")</x:f>
      </x:c>
    </x:row>
    <x:row r="5800" spans="1:10">
      <x:c r="A5800" s="1" t="s">
        <x:v>5809</x:v>
      </x:c>
      <x:c r="B5800" s="1">
        <x:f>IFERROR(__xludf.DUMMYFUNCTION("""COMPUTED_VALUE"""),"Sabotatge")</x:f>
      </x:c>
      <x:c r="C5800" s="1">
        <x:f>IFERROR(__xludf.DUMMYFUNCTION("""COMPUTED_VALUE"""),"2014")</x:f>
      </x:c>
    </x:row>
    <x:row r="5801" spans="1:10">
      <x:c r="A5801" s="1" t="s">
        <x:v>5810</x:v>
      </x:c>
      <x:c r="B5801" s="1">
        <x:f>IFERROR(__xludf.DUMMYFUNCTION("""COMPUTED_VALUE"""),"Sabrina")</x:f>
      </x:c>
      <x:c r="C5801" s="1">
        <x:f>IFERROR(__xludf.DUMMYFUNCTION("""COMPUTED_VALUE"""),"1954")</x:f>
      </x:c>
    </x:row>
    <x:row r="5802" spans="1:10">
      <x:c r="A5802" s="1" t="s">
        <x:v>5811</x:v>
      </x:c>
      <x:c r="B5802" s="1">
        <x:f>IFERROR(__xludf.DUMMYFUNCTION("""COMPUTED_VALUE"""),"Safe")</x:f>
      </x:c>
      <x:c r="C5802" s="1">
        <x:f>IFERROR(__xludf.DUMMYFUNCTION("""COMPUTED_VALUE"""),"2012")</x:f>
      </x:c>
    </x:row>
    <x:row r="5803" spans="1:10">
      <x:c r="A5803" s="1" t="s">
        <x:v>5812</x:v>
      </x:c>
      <x:c r="B5803" s="1">
        <x:f>IFERROR(__xludf.DUMMYFUNCTION("""COMPUTED_VALUE"""),"Sagrada Família, el repte de Gaudí")</x:f>
      </x:c>
      <x:c r="C5803" s="1">
        <x:f>IFERROR(__xludf.DUMMYFUNCTION("""COMPUTED_VALUE"""),"2022")</x:f>
      </x:c>
    </x:row>
    <x:row r="5804" spans="1:10">
      <x:c r="A5804" s="1" t="s">
        <x:v>5813</x:v>
      </x:c>
      <x:c r="B5804" s="1">
        <x:f>IFERROR(__xludf.DUMMYFUNCTION("""COMPUTED_VALUE"""),"Saïd")</x:f>
      </x:c>
      <x:c r="C5804" s="1">
        <x:f>IFERROR(__xludf.DUMMYFUNCTION("""COMPUTED_VALUE"""),"1999")</x:f>
      </x:c>
    </x:row>
    <x:row r="5805" spans="1:10">
      <x:c r="A5805" s="1" t="s">
        <x:v>5814</x:v>
      </x:c>
      <x:c r="B5805" s="1">
        <x:f>IFERROR(__xludf.DUMMYFUNCTION("""COMPUTED_VALUE"""),"Saint Jack")</x:f>
      </x:c>
      <x:c r="C5805" s="1">
        <x:f>IFERROR(__xludf.DUMMYFUNCTION("""COMPUTED_VALUE"""),"1979")</x:f>
      </x:c>
    </x:row>
    <x:row r="5806" spans="1:10">
      <x:c r="A5806" s="1" t="s">
        <x:v>5815</x:v>
      </x:c>
      <x:c r="B5806" s="1">
        <x:f>IFERROR(__xludf.DUMMYFUNCTION("""COMPUTED_VALUE"""),"Sakura Wars: La pel·lícula")</x:f>
      </x:c>
      <x:c r="C5806" s="1">
        <x:f>IFERROR(__xludf.DUMMYFUNCTION("""COMPUTED_VALUE"""),"2001")</x:f>
      </x:c>
    </x:row>
    <x:row r="5807" spans="1:10">
      <x:c r="A5807" s="1" t="s">
        <x:v>5816</x:v>
      </x:c>
      <x:c r="B5807" s="1">
        <x:f>IFERROR(__xludf.DUMMYFUNCTION("""COMPUTED_VALUE"""),"Sala de professors")</x:f>
      </x:c>
      <x:c r="C5807" s="1">
        <x:f>IFERROR(__xludf.DUMMYFUNCTION("""COMPUTED_VALUE"""),"2023")</x:f>
      </x:c>
    </x:row>
    <x:row r="5808" spans="1:10">
      <x:c r="A5808" s="1" t="s">
        <x:v>5817</x:v>
      </x:c>
      <x:c r="B5808" s="1">
        <x:f>IFERROR(__xludf.DUMMYFUNCTION("""COMPUTED_VALUE"""),"Salomé va ballar aquí")</x:f>
      </x:c>
      <x:c r="C5808" s="1">
        <x:f>IFERROR(__xludf.DUMMYFUNCTION("""COMPUTED_VALUE"""),"1945")</x:f>
      </x:c>
    </x:row>
    <x:row r="5809" spans="1:10">
      <x:c r="A5809" s="1" t="s">
        <x:v>5818</x:v>
      </x:c>
      <x:c r="B5809" s="1">
        <x:f>IFERROR(__xludf.DUMMYFUNCTION("""COMPUTED_VALUE"""),"Salt")</x:f>
      </x:c>
      <x:c r="C5809" s="1">
        <x:f>IFERROR(__xludf.DUMMYFUNCTION("""COMPUTED_VALUE"""),"2010")</x:f>
      </x:c>
    </x:row>
    <x:row r="5810" spans="1:10">
      <x:c r="A5810" s="1" t="s">
        <x:v>5819</x:v>
      </x:c>
      <x:c r="B5810" s="1">
        <x:f>IFERROR(__xludf.DUMMYFUNCTION("""COMPUTED_VALUE"""),"Salut i força al canut")</x:f>
      </x:c>
      <x:c r="C5810" s="1">
        <x:f>IFERROR(__xludf.DUMMYFUNCTION("""COMPUTED_VALUE"""),"1979")</x:f>
      </x:c>
    </x:row>
    <x:row r="5811" spans="1:10">
      <x:c r="A5811" s="1" t="s">
        <x:v>5820</x:v>
      </x:c>
      <x:c r="B5811" s="1">
        <x:f>IFERROR(__xludf.DUMMYFUNCTION("""COMPUTED_VALUE"""),"Salvador Puig Antich")</x:f>
      </x:c>
      <x:c r="C5811" s="1">
        <x:f>IFERROR(__xludf.DUMMYFUNCTION("""COMPUTED_VALUE"""),"2006")</x:f>
      </x:c>
    </x:row>
    <x:row r="5812" spans="1:10">
      <x:c r="A5812" s="1" t="s">
        <x:v>5821</x:v>
      </x:c>
      <x:c r="B5812" s="1">
        <x:f>IFERROR(__xludf.DUMMYFUNCTION("""COMPUTED_VALUE"""),"Salvador Seguí: història d'un anarcosindicalista")</x:f>
      </x:c>
      <x:c r="C5812" s="1">
        <x:f>IFERROR(__xludf.DUMMYFUNCTION("""COMPUTED_VALUE"""),"2023")</x:f>
      </x:c>
    </x:row>
    <x:row r="5813" spans="1:10">
      <x:c r="A5813" s="1" t="s">
        <x:v>5822</x:v>
      </x:c>
      <x:c r="B5813" s="1">
        <x:f>IFERROR(__xludf.DUMMYFUNCTION("""COMPUTED_VALUE"""),"Salvatges")</x:f>
      </x:c>
      <x:c r="C5813" s="1">
        <x:f>IFERROR(__xludf.DUMMYFUNCTION("""COMPUTED_VALUE"""),"2024")</x:f>
      </x:c>
    </x:row>
    <x:row r="5814" spans="1:10">
      <x:c r="A5814" s="1" t="s">
        <x:v>5823</x:v>
      </x:c>
      <x:c r="B5814" s="1">
        <x:f>IFERROR(__xludf.DUMMYFUNCTION("""COMPUTED_VALUE"""),"Salve Maria")</x:f>
      </x:c>
      <x:c r="C5814" s="1">
        <x:f>IFERROR(__xludf.DUMMYFUNCTION("""COMPUTED_VALUE"""),"2024")</x:f>
      </x:c>
    </x:row>
    <x:row r="5815" spans="1:10">
      <x:c r="A5815" s="1" t="s">
        <x:v>5824</x:v>
      </x:c>
      <x:c r="B5815" s="1">
        <x:f>IFERROR(__xludf.DUMMYFUNCTION("""COMPUTED_VALUE"""),"Salvem el soldat Ryan")</x:f>
      </x:c>
      <x:c r="C5815" s="1">
        <x:f>IFERROR(__xludf.DUMMYFUNCTION("""COMPUTED_VALUE"""),"1998")</x:f>
      </x:c>
    </x:row>
    <x:row r="5816" spans="1:10">
      <x:c r="A5816" s="1" t="s">
        <x:v>5825</x:v>
      </x:c>
      <x:c r="B5816" s="1">
        <x:f>IFERROR(__xludf.DUMMYFUNCTION("""COMPUTED_VALUE"""),"Samaritan")</x:f>
      </x:c>
      <x:c r="C5816" s="1">
        <x:f>IFERROR(__xludf.DUMMYFUNCTION("""COMPUTED_VALUE"""),"2022")</x:f>
      </x:c>
    </x:row>
    <x:row r="5817" spans="1:10">
      <x:c r="A5817" s="1" t="s">
        <x:v>5826</x:v>
      </x:c>
      <x:c r="B5817" s="1">
        <x:f>IFERROR(__xludf.DUMMYFUNCTION("""COMPUTED_VALUE"""),"Samba")</x:f>
      </x:c>
      <x:c r="C5817" s="1">
        <x:f>IFERROR(__xludf.DUMMYFUNCTION("""COMPUTED_VALUE"""),"2014")</x:f>
      </x:c>
    </x:row>
    <x:row r="5818" spans="1:10">
      <x:c r="A5818" s="1" t="s">
        <x:v>5827</x:v>
      </x:c>
      <x:c r="B5818" s="1">
        <x:f>IFERROR(__xludf.DUMMYFUNCTION("""COMPUTED_VALUE"""),"Samos, la vergonya d'Europa")</x:f>
      </x:c>
      <x:c r="C5818" s="1">
        <x:f>IFERROR(__xludf.DUMMYFUNCTION("""COMPUTED_VALUE"""),"2021")</x:f>
      </x:c>
    </x:row>
    <x:row r="5819" spans="1:10">
      <x:c r="A5819" s="1" t="s">
        <x:v>5828</x:v>
      </x:c>
      <x:c r="B5819" s="1">
        <x:f>IFERROR(__xludf.DUMMYFUNCTION("""COMPUTED_VALUE"""),"Samsara")</x:f>
      </x:c>
      <x:c r="C5819" s="1">
        <x:f>IFERROR(__xludf.DUMMYFUNCTION("""COMPUTED_VALUE"""),"2011")</x:f>
      </x:c>
    </x:row>
    <x:row r="5820" spans="1:10">
      <x:c r="A5820" s="1" t="s">
        <x:v>5829</x:v>
      </x:c>
      <x:c r="B5820" s="1">
        <x:f>IFERROR(__xludf.DUMMYFUNCTION("""COMPUTED_VALUE"""),"San Andreas")</x:f>
      </x:c>
      <x:c r="C5820" s="1">
        <x:f>IFERROR(__xludf.DUMMYFUNCTION("""COMPUTED_VALUE"""),"2015")</x:f>
      </x:c>
    </x:row>
    <x:row r="5821" spans="1:10">
      <x:c r="A5821" s="1" t="s">
        <x:v>5830</x:v>
      </x:c>
      <x:c r="B5821" s="1">
        <x:f>IFERROR(__xludf.DUMMYFUNCTION("""COMPUTED_VALUE"""),"Sandokan, el tigre de Borneo")</x:f>
      </x:c>
      <x:c r="C5821" s="1">
        <x:f>IFERROR(__xludf.DUMMYFUNCTION("""COMPUTED_VALUE"""),"1963")</x:f>
      </x:c>
    </x:row>
    <x:row r="5822" spans="1:10">
      <x:c r="A5822" s="1" t="s">
        <x:v>5831</x:v>
      </x:c>
      <x:c r="B5822" s="1">
        <x:f>IFERROR(__xludf.DUMMYFUNCTION("""COMPUTED_VALUE"""),"Sandra")</x:f>
      </x:c>
      <x:c r="C5822" s="1">
        <x:f>IFERROR(__xludf.DUMMYFUNCTION("""COMPUTED_VALUE"""),"1965")</x:f>
      </x:c>
    </x:row>
    <x:row r="5823" spans="1:10">
      <x:c r="A5823" s="1" t="s">
        <x:v>5832</x:v>
      </x:c>
      <x:c r="B5823" s="1">
        <x:f>IFERROR(__xludf.DUMMYFUNCTION("""COMPUTED_VALUE"""),"Sandra")</x:f>
      </x:c>
      <x:c r="C5823" s="1">
        <x:f>IFERROR(__xludf.DUMMYFUNCTION("""COMPUTED_VALUE"""),"2021")</x:f>
      </x:c>
    </x:row>
    <x:row r="5824" spans="1:10">
      <x:c r="A5824" s="1" t="s">
        <x:v>5833</x:v>
      </x:c>
      <x:c r="B5824" s="1">
        <x:f>IFERROR(__xludf.DUMMYFUNCTION("""COMPUTED_VALUE"""),"Sang fresca")</x:f>
      </x:c>
      <x:c r="C5824" s="1">
        <x:f>IFERROR(__xludf.DUMMYFUNCTION("""COMPUTED_VALUE"""),"1992")</x:f>
      </x:c>
    </x:row>
    <x:row r="5825" spans="1:10">
      <x:c r="A5825" s="1" t="s">
        <x:v>5834</x:v>
      </x:c>
      <x:c r="B5825" s="1">
        <x:f>IFERROR(__xludf.DUMMYFUNCTION("""COMPUTED_VALUE"""),"Sang vermella")</x:f>
      </x:c>
      <x:c r="C5825" s="1">
        <x:f>IFERROR(__xludf.DUMMYFUNCTION("""COMPUTED_VALUE"""),"2004")</x:f>
      </x:c>
    </x:row>
    <x:row r="5826" spans="1:10">
      <x:c r="A5826" s="1" t="s">
        <x:v>5835</x:v>
      </x:c>
      <x:c r="B5826" s="1">
        <x:f>IFERROR(__xludf.DUMMYFUNCTION("""COMPUTED_VALUE"""),"Sang, suor i llàgrimes")</x:f>
      </x:c>
      <x:c r="C5826" s="1">
        <x:f>IFERROR(__xludf.DUMMYFUNCTION("""COMPUTED_VALUE"""),"1942")</x:f>
      </x:c>
    </x:row>
    <x:row r="5827" spans="1:10">
      <x:c r="A5827" s="1" t="s">
        <x:v>5836</x:v>
      </x:c>
      <x:c r="B5827" s="1">
        <x:f>IFERROR(__xludf.DUMMYFUNCTION("""COMPUTED_VALUE"""),"Sangtraït al Palau Sant Jordi")</x:f>
      </x:c>
      <x:c r="C5827" s="1">
        <x:f>IFERROR(__xludf.DUMMYFUNCTION("""COMPUTED_VALUE"""),"1991")</x:f>
      </x:c>
    </x:row>
    <x:row r="5828" spans="1:10">
      <x:c r="A5828" s="1" t="s">
        <x:v>5837</x:v>
      </x:c>
      <x:c r="B5828" s="1">
        <x:f>IFERROR(__xludf.DUMMYFUNCTION("""COMPUTED_VALUE"""),"Sanmao: La núvia del desert")</x:f>
      </x:c>
      <x:c r="C5828" s="1">
        <x:f>IFERROR(__xludf.DUMMYFUNCTION("""COMPUTED_VALUE"""),"2020")</x:f>
      </x:c>
    </x:row>
    <x:row r="5829" spans="1:10">
      <x:c r="A5829" s="1" t="s">
        <x:v>5838</x:v>
      </x:c>
      <x:c r="B5829" s="1">
        <x:f>IFERROR(__xludf.DUMMYFUNCTION("""COMPUTED_VALUE"""),"Sant Valentí sagnant")</x:f>
      </x:c>
      <x:c r="C5829" s="1">
        <x:f>IFERROR(__xludf.DUMMYFUNCTION("""COMPUTED_VALUE"""),"2009")</x:f>
      </x:c>
    </x:row>
    <x:row r="5830" spans="1:10">
      <x:c r="A5830" s="1" t="s">
        <x:v>5839</x:v>
      </x:c>
      <x:c r="B5830" s="1">
        <x:f>IFERROR(__xludf.DUMMYFUNCTION("""COMPUTED_VALUE"""),"Santoalla")</x:f>
      </x:c>
      <x:c r="C5830" s="1">
        <x:f>IFERROR(__xludf.DUMMYFUNCTION("""COMPUTED_VALUE"""),"2016")</x:f>
      </x:c>
    </x:row>
    <x:row r="5831" spans="1:10">
      <x:c r="A5831" s="1" t="s">
        <x:v>5840</x:v>
      </x:c>
      <x:c r="B5831" s="1">
        <x:f>IFERROR(__xludf.DUMMYFUNCTION("""COMPUTED_VALUE"""),"Sau30 Quina nit! Quina Lluna!")</x:f>
      </x:c>
      <x:c r="C5831" s="1">
        <x:f>IFERROR(__xludf.DUMMYFUNCTION("""COMPUTED_VALUE"""),"2020")</x:f>
      </x:c>
    </x:row>
    <x:row r="5832" spans="1:10">
      <x:c r="A5832" s="1" t="s">
        <x:v>5841</x:v>
      </x:c>
      <x:c r="B5832" s="1">
        <x:f>IFERROR(__xludf.DUMMYFUNCTION("""COMPUTED_VALUE"""),"Savage Grace")</x:f>
      </x:c>
      <x:c r="C5832" s="1">
        <x:f>IFERROR(__xludf.DUMMYFUNCTION("""COMPUTED_VALUE"""),"2007")</x:f>
      </x:c>
    </x:row>
    <x:row r="5833" spans="1:10">
      <x:c r="A5833" s="1" t="s">
        <x:v>5842</x:v>
      </x:c>
      <x:c r="B5833" s="1">
        <x:f>IFERROR(__xludf.DUMMYFUNCTION("""COMPUTED_VALUE"""),"Saving Santa. Al rescat de Santa Claus")</x:f>
      </x:c>
      <x:c r="C5833" s="1">
        <x:f>IFERROR(__xludf.DUMMYFUNCTION("""COMPUTED_VALUE"""),"2013")</x:f>
      </x:c>
    </x:row>
    <x:row r="5834" spans="1:10">
      <x:c r="A5834" s="1" t="s">
        <x:v>5843</x:v>
      </x:c>
      <x:c r="B5834" s="1">
        <x:f>IFERROR(__xludf.DUMMYFUNCTION("""COMPUTED_VALUE"""),"Savior")</x:f>
      </x:c>
      <x:c r="C5834" s="1">
        <x:f>IFERROR(__xludf.DUMMYFUNCTION("""COMPUTED_VALUE"""),"1998")</x:f>
      </x:c>
    </x:row>
    <x:row r="5835" spans="1:10">
      <x:c r="A5835" s="1" t="s">
        <x:v>5844</x:v>
      </x:c>
      <x:c r="B5835" s="1">
        <x:f>IFERROR(__xludf.DUMMYFUNCTION("""COMPUTED_VALUE"""),"Savva, el cor del guerrer")</x:f>
      </x:c>
      <x:c r="C5835" s="1">
        <x:f>IFERROR(__xludf.DUMMYFUNCTION("""COMPUTED_VALUE"""),"2015")</x:f>
      </x:c>
    </x:row>
    <x:row r="5836" spans="1:10">
      <x:c r="A5836" s="1" t="s">
        <x:v>5845</x:v>
      </x:c>
      <x:c r="B5836" s="1">
        <x:f>IFERROR(__xludf.DUMMYFUNCTION("""COMPUTED_VALUE"""),"Saw")</x:f>
      </x:c>
      <x:c r="C5836" s="1">
        <x:f>IFERROR(__xludf.DUMMYFUNCTION("""COMPUTED_VALUE"""),"2004")</x:f>
      </x:c>
    </x:row>
    <x:row r="5837" spans="1:10">
      <x:c r="A5837" s="1" t="s">
        <x:v>5846</x:v>
      </x:c>
      <x:c r="B5837" s="1">
        <x:f>IFERROR(__xludf.DUMMYFUNCTION("""COMPUTED_VALUE"""),"Saw II")</x:f>
      </x:c>
      <x:c r="C5837" s="1">
        <x:f>IFERROR(__xludf.DUMMYFUNCTION("""COMPUTED_VALUE"""),"2005")</x:f>
      </x:c>
    </x:row>
    <x:row r="5838" spans="1:10">
      <x:c r="A5838" s="1" t="s">
        <x:v>5847</x:v>
      </x:c>
      <x:c r="B5838" s="1">
        <x:f>IFERROR(__xludf.DUMMYFUNCTION("""COMPUTED_VALUE"""),"Saw VI")</x:f>
      </x:c>
      <x:c r="C5838" s="1">
        <x:f>IFERROR(__xludf.DUMMYFUNCTION("""COMPUTED_VALUE"""),"2009")</x:f>
      </x:c>
    </x:row>
    <x:row r="5839" spans="1:10">
      <x:c r="A5839" s="1" t="s">
        <x:v>5848</x:v>
      </x:c>
      <x:c r="B5839" s="1">
        <x:f>IFERROR(__xludf.DUMMYFUNCTION("""COMPUTED_VALUE"""),"Saw VII")</x:f>
      </x:c>
      <x:c r="C5839" s="1">
        <x:f>IFERROR(__xludf.DUMMYFUNCTION("""COMPUTED_VALUE"""),"2010")</x:f>
      </x:c>
    </x:row>
    <x:row r="5840" spans="1:10">
      <x:c r="A5840" s="1" t="s">
        <x:v>5849</x:v>
      </x:c>
      <x:c r="B5840" s="1">
        <x:f>IFERROR(__xludf.DUMMYFUNCTION("""COMPUTED_VALUE"""),"Saxana i el llibre encantat")</x:f>
      </x:c>
      <x:c r="C5840" s="1">
        <x:f>IFERROR(__xludf.DUMMYFUNCTION("""COMPUTED_VALUE"""),"2011")</x:f>
      </x:c>
    </x:row>
    <x:row r="5841" spans="1:10">
      <x:c r="A5841" s="1" t="s">
        <x:v>5850</x:v>
      </x:c>
      <x:c r="B5841" s="1">
        <x:f>IFERROR(__xludf.DUMMYFUNCTION("""COMPUTED_VALUE"""),"Scanners")</x:f>
      </x:c>
      <x:c r="C5841" s="1">
        <x:f>IFERROR(__xludf.DUMMYFUNCTION("""COMPUTED_VALUE"""),"1981")</x:f>
      </x:c>
    </x:row>
    <x:row r="5842" spans="1:10">
      <x:c r="A5842" s="1" t="s">
        <x:v>5851</x:v>
      </x:c>
      <x:c r="B5842" s="1">
        <x:f>IFERROR(__xludf.DUMMYFUNCTION("""COMPUTED_VALUE"""),"Scaramouche")</x:f>
      </x:c>
      <x:c r="C5842" s="1">
        <x:f>IFERROR(__xludf.DUMMYFUNCTION("""COMPUTED_VALUE"""),"2017")</x:f>
      </x:c>
    </x:row>
    <x:row r="5843" spans="1:10">
      <x:c r="A5843" s="1" t="s">
        <x:v>5852</x:v>
      </x:c>
      <x:c r="B5843" s="1">
        <x:f>IFERROR(__xludf.DUMMYFUNCTION("""COMPUTED_VALUE"""),"Scarlet")</x:f>
      </x:c>
      <x:c r="C5843" s="1">
        <x:f>IFERROR(__xludf.DUMMYFUNCTION("""COMPUTED_VALUE"""),"2022")</x:f>
      </x:c>
    </x:row>
    <x:row r="5844" spans="1:10">
      <x:c r="A5844" s="1" t="s">
        <x:v>5853</x:v>
      </x:c>
      <x:c r="B5844" s="1">
        <x:f>IFERROR(__xludf.DUMMYFUNCTION("""COMPUTED_VALUE"""),"Scary MoVie 5")</x:f>
      </x:c>
      <x:c r="C5844" s="1">
        <x:f>IFERROR(__xludf.DUMMYFUNCTION("""COMPUTED_VALUE"""),"2013")</x:f>
      </x:c>
    </x:row>
    <x:row r="5845" spans="1:10">
      <x:c r="A5845" s="1" t="s">
        <x:v>5854</x:v>
      </x:c>
      <x:c r="B5845" s="1">
        <x:f>IFERROR(__xludf.DUMMYFUNCTION("""COMPUTED_VALUE"""),"Scooby-Doo")</x:f>
      </x:c>
      <x:c r="C5845" s="1">
        <x:f>IFERROR(__xludf.DUMMYFUNCTION("""COMPUTED_VALUE"""),"2002")</x:f>
      </x:c>
    </x:row>
    <x:row r="5846" spans="1:10">
      <x:c r="A5846" s="1" t="s">
        <x:v>5855</x:v>
      </x:c>
      <x:c r="B5846" s="1">
        <x:f>IFERROR(__xludf.DUMMYFUNCTION("""COMPUTED_VALUE"""),"Scooby!")</x:f>
      </x:c>
      <x:c r="C5846" s="1">
        <x:f>IFERROR(__xludf.DUMMYFUNCTION("""COMPUTED_VALUE"""),"2020")</x:f>
      </x:c>
    </x:row>
    <x:row r="5847" spans="1:10">
      <x:c r="A5847" s="1" t="s">
        <x:v>5856</x:v>
      </x:c>
      <x:c r="B5847" s="1">
        <x:f>IFERROR(__xludf.DUMMYFUNCTION("""COMPUTED_VALUE"""),"Scoop")</x:f>
      </x:c>
      <x:c r="C5847" s="1">
        <x:f>IFERROR(__xludf.DUMMYFUNCTION("""COMPUTED_VALUE"""),"2006")</x:f>
      </x:c>
    </x:row>
    <x:row r="5848" spans="1:10">
      <x:c r="A5848" s="1" t="s">
        <x:v>5857</x:v>
      </x:c>
      <x:c r="B5848" s="1">
        <x:f>IFERROR(__xludf.DUMMYFUNCTION("""COMPUTED_VALUE"""),"Scrat in Love")</x:f>
      </x:c>
      <x:c r="C5848" s="1">
        <x:f>IFERROR(__xludf.DUMMYFUNCTION("""COMPUTED_VALUE"""),"2009")</x:f>
      </x:c>
    </x:row>
    <x:row r="5849" spans="1:10">
      <x:c r="A5849" s="1" t="s">
        <x:v>5858</x:v>
      </x:c>
      <x:c r="B5849" s="1">
        <x:f>IFERROR(__xludf.DUMMYFUNCTION("""COMPUTED_VALUE"""),"Scream")</x:f>
      </x:c>
      <x:c r="C5849" s="1">
        <x:f>IFERROR(__xludf.DUMMYFUNCTION("""COMPUTED_VALUE"""),"1996")</x:f>
      </x:c>
    </x:row>
    <x:row r="5850" spans="1:10">
      <x:c r="A5850" s="1" t="s">
        <x:v>5859</x:v>
      </x:c>
      <x:c r="B5850" s="1">
        <x:f>IFERROR(__xludf.DUMMYFUNCTION("""COMPUTED_VALUE"""),"Scream 4")</x:f>
      </x:c>
      <x:c r="C5850" s="1">
        <x:f>IFERROR(__xludf.DUMMYFUNCTION("""COMPUTED_VALUE"""),"2011")</x:f>
      </x:c>
    </x:row>
    <x:row r="5851" spans="1:10">
      <x:c r="A5851" s="1" t="s">
        <x:v>5860</x:v>
      </x:c>
      <x:c r="B5851" s="1">
        <x:f>IFERROR(__xludf.DUMMYFUNCTION("""COMPUTED_VALUE"""),"Screamers: Assassins cibernètics 2")</x:f>
      </x:c>
      <x:c r="C5851" s="1">
        <x:f>IFERROR(__xludf.DUMMYFUNCTION("""COMPUTED_VALUE"""),"2009")</x:f>
      </x:c>
    </x:row>
    <x:row r="5852" spans="1:10">
      <x:c r="A5852" s="1" t="s">
        <x:v>5861</x:v>
      </x:c>
      <x:c r="B5852" s="1">
        <x:f>IFERROR(__xludf.DUMMYFUNCTION("""COMPUTED_VALUE"""),"Scrooge: Conte de Nadal")</x:f>
      </x:c>
      <x:c r="C5852" s="1">
        <x:f>IFERROR(__xludf.DUMMYFUNCTION("""COMPUTED_VALUE"""),"2022")</x:f>
      </x:c>
    </x:row>
    <x:row r="5853" spans="1:10">
      <x:c r="A5853" s="1" t="s">
        <x:v>5862</x:v>
      </x:c>
      <x:c r="B5853" s="1">
        <x:f>IFERROR(__xludf.DUMMYFUNCTION("""COMPUTED_VALUE"""),"Se fa saber")</x:f>
      </x:c>
      <x:c r="C5853" s="1">
        <x:f>IFERROR(__xludf.DUMMYFUNCTION("""COMPUTED_VALUE"""),"2013")</x:f>
      </x:c>
    </x:row>
    <x:row r="5854" spans="1:10">
      <x:c r="A5854" s="1" t="s">
        <x:v>5863</x:v>
      </x:c>
      <x:c r="B5854" s="1">
        <x:f>IFERROR(__xludf.DUMMYFUNCTION("""COMPUTED_VALUE"""),"Sé qui m'ha matat")</x:f>
      </x:c>
      <x:c r="C5854" s="1">
        <x:f>IFERROR(__xludf.DUMMYFUNCTION("""COMPUTED_VALUE"""),"2007")</x:f>
      </x:c>
    </x:row>
    <x:row r="5855" spans="1:10">
      <x:c r="A5855" s="1" t="s">
        <x:v>5864</x:v>
      </x:c>
      <x:c r="B5855" s="1">
        <x:f>IFERROR(__xludf.DUMMYFUNCTION("""COMPUTED_VALUE"""),"Se'ns ha sortit de mare")</x:f>
      </x:c>
      <x:c r="C5855" s="1">
        <x:f>IFERROR(__xludf.DUMMYFUNCTION("""COMPUTED_VALUE"""),"2014")</x:f>
      </x:c>
    </x:row>
    <x:row r="5856" spans="1:10">
      <x:c r="A5856" s="1" t="s">
        <x:v>5865</x:v>
      </x:c>
      <x:c r="B5856" s="1">
        <x:f>IFERROR(__xludf.DUMMYFUNCTION("""COMPUTED_VALUE"""),"Seconds [VOSC]")</x:f>
      </x:c>
      <x:c r="C5856" s="1">
        <x:f>IFERROR(__xludf.DUMMYFUNCTION("""COMPUTED_VALUE"""),"1966")</x:f>
      </x:c>
    </x:row>
    <x:row r="5857" spans="1:10">
      <x:c r="A5857" s="1" t="s">
        <x:v>5866</x:v>
      </x:c>
      <x:c r="B5857" s="1">
        <x:f>IFERROR(__xludf.DUMMYFUNCTION("""COMPUTED_VALUE"""),"Secrets compartits")</x:f>
      </x:c>
      <x:c r="C5857" s="1">
        <x:f>IFERROR(__xludf.DUMMYFUNCTION("""COMPUTED_VALUE"""),"2005")</x:f>
      </x:c>
    </x:row>
    <x:row r="5858" spans="1:10">
      <x:c r="A5858" s="1" t="s">
        <x:v>5867</x:v>
      </x:c>
      <x:c r="B5858" s="1">
        <x:f>IFERROR(__xludf.DUMMYFUNCTION("""COMPUTED_VALUE"""),"Secrets d'estat")</x:f>
      </x:c>
      <x:c r="C5858" s="1">
        <x:f>IFERROR(__xludf.DUMMYFUNCTION("""COMPUTED_VALUE"""),"2019")</x:f>
      </x:c>
    </x:row>
    <x:row r="5859" spans="1:10">
      <x:c r="A5859" s="1" t="s">
        <x:v>5868</x:v>
      </x:c>
      <x:c r="B5859" s="1">
        <x:f>IFERROR(__xludf.DUMMYFUNCTION("""COMPUTED_VALUE"""),"Secrets d'un crim")</x:f>
      </x:c>
      <x:c r="C5859" s="1">
        <x:f>IFERROR(__xludf.DUMMYFUNCTION("""COMPUTED_VALUE"""),"2014")</x:f>
      </x:c>
    </x:row>
    <x:row r="5860" spans="1:10">
      <x:c r="A5860" s="1" t="s">
        <x:v>5869</x:v>
      </x:c>
      <x:c r="B5860" s="1">
        <x:f>IFERROR(__xludf.DUMMYFUNCTION("""COMPUTED_VALUE"""),"Secrets d'un diari")</x:f>
      </x:c>
      <x:c r="C5860" s="1">
        <x:f>IFERROR(__xludf.DUMMYFUNCTION("""COMPUTED_VALUE"""),"2016")</x:f>
      </x:c>
    </x:row>
    <x:row r="5861" spans="1:10">
      <x:c r="A5861" s="1" t="s">
        <x:v>5870</x:v>
      </x:c>
      <x:c r="B5861" s="1">
        <x:f>IFERROR(__xludf.DUMMYFUNCTION("""COMPUTED_VALUE"""),"Secrets d'un escàndol")</x:f>
      </x:c>
      <x:c r="C5861" s="1">
        <x:f>IFERROR(__xludf.DUMMYFUNCTION("""COMPUTED_VALUE"""),"2023")</x:f>
      </x:c>
    </x:row>
    <x:row r="5862" spans="1:10">
      <x:c r="A5862" s="1" t="s">
        <x:v>5871</x:v>
      </x:c>
      <x:c r="B5862" s="1">
        <x:f>IFERROR(__xludf.DUMMYFUNCTION("""COMPUTED_VALUE"""),"Secrets de família")</x:f>
      </x:c>
      <x:c r="C5862" s="1">
        <x:f>IFERROR(__xludf.DUMMYFUNCTION("""COMPUTED_VALUE"""),"2005")</x:f>
      </x:c>
    </x:row>
    <x:row r="5863" spans="1:10">
      <x:c r="A5863" s="1" t="s">
        <x:v>5872</x:v>
      </x:c>
      <x:c r="B5863" s="1">
        <x:f>IFERROR(__xludf.DUMMYFUNCTION("""COMPUTED_VALUE"""),"Secrets de família")</x:f>
      </x:c>
      <x:c r="C5863" s="1">
        <x:f>IFERROR(__xludf.DUMMYFUNCTION("""COMPUTED_VALUE"""),"2020")</x:f>
      </x:c>
    </x:row>
    <x:row r="5864" spans="1:10">
      <x:c r="A5864" s="1" t="s">
        <x:v>5873</x:v>
      </x:c>
      <x:c r="B5864" s="1">
        <x:f>IFERROR(__xludf.DUMMYFUNCTION("""COMPUTED_VALUE"""),"Secrets de rics")</x:f>
      </x:c>
      <x:c r="C5864" s="1">
        <x:f>IFERROR(__xludf.DUMMYFUNCTION("""COMPUTED_VALUE"""),"2017")</x:f>
      </x:c>
    </x:row>
    <x:row r="5865" spans="1:10">
      <x:c r="A5865" s="1" t="s">
        <x:v>5874</x:v>
      </x:c>
      <x:c r="B5865" s="1">
        <x:f>IFERROR(__xludf.DUMMYFUNCTION("""COMPUTED_VALUE"""),"Seda")</x:f>
      </x:c>
      <x:c r="C5865" s="1">
        <x:f>IFERROR(__xludf.DUMMYFUNCTION("""COMPUTED_VALUE"""),"2007")</x:f>
      </x:c>
    </x:row>
    <x:row r="5866" spans="1:10">
      <x:c r="A5866" s="1" t="s">
        <x:v>5875</x:v>
      </x:c>
      <x:c r="B5866" s="1">
        <x:f>IFERROR(__xludf.DUMMYFUNCTION("""COMPUTED_VALUE"""),"Seduccions familiars")</x:f>
      </x:c>
      <x:c r="C5866" s="1">
        <x:f>IFERROR(__xludf.DUMMYFUNCTION("""COMPUTED_VALUE"""),"2020")</x:f>
      </x:c>
    </x:row>
    <x:row r="5867" spans="1:10">
      <x:c r="A5867" s="1" t="s">
        <x:v>5876</x:v>
      </x:c>
      <x:c r="B5867" s="1">
        <x:f>IFERROR(__xludf.DUMMYFUNCTION("""COMPUTED_VALUE"""),"Seduïda per la mentida")</x:f>
      </x:c>
      <x:c r="C5867" s="1">
        <x:f>IFERROR(__xludf.DUMMYFUNCTION("""COMPUTED_VALUE"""),"2010")</x:f>
      </x:c>
    </x:row>
    <x:row r="5868" spans="1:10">
      <x:c r="A5868" s="1" t="s">
        <x:v>5877</x:v>
      </x:c>
      <x:c r="B5868" s="1">
        <x:f>IFERROR(__xludf.DUMMYFUNCTION("""COMPUTED_VALUE"""),"Seduint un estrany")</x:f>
      </x:c>
      <x:c r="C5868" s="1">
        <x:f>IFERROR(__xludf.DUMMYFUNCTION("""COMPUTED_VALUE"""),"2007")</x:f>
      </x:c>
    </x:row>
    <x:row r="5869" spans="1:10">
      <x:c r="A5869" s="1" t="s">
        <x:v>5878</x:v>
      </x:c>
      <x:c r="B5869" s="1">
        <x:f>IFERROR(__xludf.DUMMYFUNCTION("""COMPUTED_VALUE"""),"Seduïts pel Pep")</x:f>
      </x:c>
      <x:c r="C5869" s="1">
        <x:f>IFERROR(__xludf.DUMMYFUNCTION("""COMPUTED_VALUE"""),"2011")</x:f>
      </x:c>
    </x:row>
    <x:row r="5870" spans="1:10">
      <x:c r="A5870" s="1" t="s">
        <x:v>5879</x:v>
      </x:c>
      <x:c r="B5870" s="1">
        <x:f>IFERROR(__xludf.DUMMYFUNCTION("""COMPUTED_VALUE"""),"Segon orígen")</x:f>
      </x:c>
      <x:c r="C5870" s="1">
        <x:f>IFERROR(__xludf.DUMMYFUNCTION("""COMPUTED_VALUE"""),"2015")</x:f>
      </x:c>
    </x:row>
    <x:row r="5871" spans="1:10">
      <x:c r="A5871" s="1" t="s">
        <x:v>5880</x:v>
      </x:c>
      <x:c r="B5871" s="1">
        <x:f>IFERROR(__xludf.DUMMYFUNCTION("""COMPUTED_VALUE"""),"Segrest")</x:f>
      </x:c>
      <x:c r="C5871" s="1">
        <x:f>IFERROR(__xludf.DUMMYFUNCTION("""COMPUTED_VALUE"""),"2016")</x:f>
      </x:c>
    </x:row>
    <x:row r="5872" spans="1:10">
      <x:c r="A5872" s="1" t="s">
        <x:v>5880</x:v>
      </x:c>
      <x:c r="B5872" s="1">
        <x:f>IFERROR(__xludf.DUMMYFUNCTION("""COMPUTED_VALUE"""),"Segrest")</x:f>
      </x:c>
      <x:c r="C5872" s="1">
        <x:f>IFERROR(__xludf.DUMMYFUNCTION("""COMPUTED_VALUE"""),"2016")</x:f>
      </x:c>
    </x:row>
    <x:row r="5873" spans="1:10">
      <x:c r="A5873" s="1" t="s">
        <x:v>5881</x:v>
      </x:c>
      <x:c r="B5873" s="1">
        <x:f>IFERROR(__xludf.DUMMYFUNCTION("""COMPUTED_VALUE"""),"Segrestada")</x:f>
      </x:c>
      <x:c r="C5873" s="1">
        <x:f>IFERROR(__xludf.DUMMYFUNCTION("""COMPUTED_VALUE"""),"2014")</x:f>
      </x:c>
    </x:row>
    <x:row r="5874" spans="1:10">
      <x:c r="A5874" s="1" t="s">
        <x:v>5882</x:v>
      </x:c>
      <x:c r="B5874" s="1">
        <x:f>IFERROR(__xludf.DUMMYFUNCTION("""COMPUTED_VALUE"""),"Segrestades")</x:f>
      </x:c>
      <x:c r="C5874" s="1">
        <x:f>IFERROR(__xludf.DUMMYFUNCTION("""COMPUTED_VALUE"""),"2009")</x:f>
      </x:c>
    </x:row>
    <x:row r="5875" spans="1:10">
      <x:c r="A5875" s="1" t="s">
        <x:v>5883</x:v>
      </x:c>
      <x:c r="B5875" s="1">
        <x:f>IFERROR(__xludf.DUMMYFUNCTION("""COMPUTED_VALUE"""),"Segrestant la senyoreta Tingle")</x:f>
      </x:c>
      <x:c r="C5875" s="1">
        <x:f>IFERROR(__xludf.DUMMYFUNCTION("""COMPUTED_VALUE"""),"1999")</x:f>
      </x:c>
    </x:row>
    <x:row r="5876" spans="1:10">
      <x:c r="A5876" s="1" t="s">
        <x:v>5884</x:v>
      </x:c>
      <x:c r="B5876" s="1">
        <x:f>IFERROR(__xludf.DUMMYFUNCTION("""COMPUTED_VALUE"""),"Segueix-me el rotllo")</x:f>
      </x:c>
      <x:c r="C5876" s="1">
        <x:f>IFERROR(__xludf.DUMMYFUNCTION("""COMPUTED_VALUE"""),"2011")</x:f>
      </x:c>
    </x:row>
    <x:row r="5877" spans="1:10">
      <x:c r="A5877" s="1" t="s">
        <x:v>5885</x:v>
      </x:c>
      <x:c r="B5877" s="1">
        <x:f>IFERROR(__xludf.DUMMYFUNCTION("""COMPUTED_VALUE"""),"Seguint el so [VOSC]")</x:f>
      </x:c>
      <x:c r="C5877" s="1">
        <x:f>IFERROR(__xludf.DUMMYFUNCTION("""COMPUTED_VALUE"""),"2023")</x:f>
      </x:c>
    </x:row>
    <x:row r="5878" spans="1:10">
      <x:c r="A5878" s="1" t="s">
        <x:v>5886</x:v>
      </x:c>
      <x:c r="B5878" s="1">
        <x:f>IFERROR(__xludf.DUMMYFUNCTION("""COMPUTED_VALUE"""),"Seguretat nacional")</x:f>
      </x:c>
      <x:c r="C5878" s="1">
        <x:f>IFERROR(__xludf.DUMMYFUNCTION("""COMPUTED_VALUE"""),"2003")</x:f>
      </x:c>
    </x:row>
    <x:row r="5879" spans="1:10">
      <x:c r="A5879" s="1" t="s">
        <x:v>5887</x:v>
      </x:c>
      <x:c r="B5879" s="1">
        <x:f>IFERROR(__xludf.DUMMYFUNCTION("""COMPUTED_VALUE"""),"Seguretat no garantida")</x:f>
      </x:c>
      <x:c r="C5879" s="1">
        <x:f>IFERROR(__xludf.DUMMYFUNCTION("""COMPUTED_VALUE"""),"2012")</x:f>
      </x:c>
    </x:row>
    <x:row r="5880" spans="1:10">
      <x:c r="A5880" s="1" t="s">
        <x:v>5888</x:v>
      </x:c>
      <x:c r="B5880" s="1">
        <x:f>IFERROR(__xludf.DUMMYFUNCTION("""COMPUTED_VALUE"""),"Selecció natural")</x:f>
      </x:c>
      <x:c r="C5880" s="1">
        <x:f>IFERROR(__xludf.DUMMYFUNCTION("""COMPUTED_VALUE"""),"2015")</x:f>
      </x:c>
    </x:row>
    <x:row r="5881" spans="1:10">
      <x:c r="A5881" s="1" t="s">
        <x:v>5889</x:v>
      </x:c>
      <x:c r="B5881" s="1">
        <x:f>IFERROR(__xludf.DUMMYFUNCTION("""COMPUTED_VALUE"""),"Selma")</x:f>
      </x:c>
      <x:c r="C5881" s="1">
        <x:f>IFERROR(__xludf.DUMMYFUNCTION("""COMPUTED_VALUE"""),"2014")</x:f>
      </x:c>
    </x:row>
    <x:row r="5882" spans="1:10">
      <x:c r="A5882" s="1" t="s">
        <x:v>5890</x:v>
      </x:c>
      <x:c r="B5882" s="1">
        <x:f>IFERROR(__xludf.DUMMYFUNCTION("""COMPUTED_VALUE"""),"Sempre (im)perfectes")</x:f>
      </x:c>
      <x:c r="C5882" s="1">
        <x:f>IFERROR(__xludf.DUMMYFUNCTION("""COMPUTED_VALUE"""),"2025")</x:f>
      </x:c>
    </x:row>
    <x:row r="5883" spans="1:10">
      <x:c r="A5883" s="1" t="s">
        <x:v>5891</x:v>
      </x:c>
      <x:c r="B5883" s="1">
        <x:f>IFERROR(__xludf.DUMMYFUNCTION("""COMPUTED_VALUE"""),"Sempre al teu costat, Hachiko")</x:f>
      </x:c>
      <x:c r="C5883" s="1">
        <x:f>IFERROR(__xludf.DUMMYFUNCTION("""COMPUTED_VALUE"""),"2009")</x:f>
      </x:c>
    </x:row>
    <x:row r="5884" spans="1:10">
      <x:c r="A5884" s="1" t="s">
        <x:v>5892</x:v>
      </x:c>
      <x:c r="B5884" s="1">
        <x:f>IFERROR(__xludf.DUMMYFUNCTION("""COMPUTED_VALUE"""),"Sempre Alice")</x:f>
      </x:c>
      <x:c r="C5884" s="1">
        <x:f>IFERROR(__xludf.DUMMYFUNCTION("""COMPUTED_VALUE"""),"2014")</x:f>
      </x:c>
    </x:row>
    <x:row r="5885" spans="1:10">
      <x:c r="A5885" s="1" t="s">
        <x:v>5893</x:v>
      </x:c>
      <x:c r="B5885" s="1">
        <x:f>IFERROR(__xludf.DUMMYFUNCTION("""COMPUTED_VALUE"""),"Sempre Dharma")</x:f>
      </x:c>
      <x:c r="C5885" s="1">
        <x:f>IFERROR(__xludf.DUMMYFUNCTION("""COMPUTED_VALUE"""),"2023")</x:f>
      </x:c>
    </x:row>
    <x:row r="5886" spans="1:10">
      <x:c r="A5886" s="1" t="s">
        <x:v>5894</x:v>
      </x:c>
      <x:c r="B5886" s="1">
        <x:f>IFERROR(__xludf.DUMMYFUNCTION("""COMPUTED_VALUE"""),"Sempre feliç")</x:f>
      </x:c>
      <x:c r="C5886" s="1">
        <x:f>IFERROR(__xludf.DUMMYFUNCTION("""COMPUTED_VALUE"""),"2010")</x:f>
      </x:c>
    </x:row>
    <x:row r="5887" spans="1:10">
      <x:c r="A5887" s="1" t="s">
        <x:v>5895</x:v>
      </x:c>
      <x:c r="B5887" s="1">
        <x:f>IFERROR(__xludf.DUMMYFUNCTION("""COMPUTED_VALUE"""),"Sempre teva")</x:f>
      </x:c>
      <x:c r="C5887" s="1">
        <x:f>IFERROR(__xludf.DUMMYFUNCTION("""COMPUTED_VALUE"""),"2007")</x:f>
      </x:c>
    </x:row>
    <x:row r="5888" spans="1:10">
      <x:c r="A5888" s="1" t="s">
        <x:v>5896</x:v>
      </x:c>
      <x:c r="B5888" s="1">
        <x:f>IFERROR(__xludf.DUMMYFUNCTION("""COMPUTED_VALUE"""),"Senderes d’honor")</x:f>
      </x:c>
      <x:c r="C5888" s="1">
        <x:f>IFERROR(__xludf.DUMMYFUNCTION("""COMPUTED_VALUE"""),"2017")</x:f>
      </x:c>
    </x:row>
    <x:row r="5889" spans="1:10">
      <x:c r="A5889" s="1" t="s">
        <x:v>5897</x:v>
      </x:c>
      <x:c r="B5889" s="1">
        <x:f>IFERROR(__xludf.DUMMYFUNCTION("""COMPUTED_VALUE"""),"Sense destí")</x:f>
      </x:c>
      <x:c r="C5889" s="1">
        <x:f>IFERROR(__xludf.DUMMYFUNCTION("""COMPUTED_VALUE"""),"2005")</x:f>
      </x:c>
    </x:row>
    <x:row r="5890" spans="1:10">
      <x:c r="A5890" s="1" t="s">
        <x:v>5898</x:v>
      </x:c>
      <x:c r="B5890" s="1">
        <x:f>IFERROR(__xludf.DUMMYFUNCTION("""COMPUTED_VALUE"""),"Sense filtre")</x:f>
      </x:c>
      <x:c r="C5890" s="1">
        <x:f>IFERROR(__xludf.DUMMYFUNCTION("""COMPUTED_VALUE"""),"2019")</x:f>
      </x:c>
    </x:row>
    <x:row r="5891" spans="1:10">
      <x:c r="A5891" s="1" t="s">
        <x:v>5899</x:v>
      </x:c>
      <x:c r="B5891" s="1">
        <x:f>IFERROR(__xludf.DUMMYFUNCTION("""COMPUTED_VALUE"""),"Sense identitat")</x:f>
      </x:c>
      <x:c r="C5891" s="1">
        <x:f>IFERROR(__xludf.DUMMYFUNCTION("""COMPUTED_VALUE"""),"2011")</x:f>
      </x:c>
    </x:row>
    <x:row r="5892" spans="1:10">
      <x:c r="A5892" s="1" t="s">
        <x:v>5900</x:v>
      </x:c>
      <x:c r="B5892" s="1">
        <x:f>IFERROR(__xludf.DUMMYFUNCTION("""COMPUTED_VALUE"""),"Sense límits")</x:f>
      </x:c>
      <x:c r="C5892" s="1">
        <x:f>IFERROR(__xludf.DUMMYFUNCTION("""COMPUTED_VALUE"""),"2008")</x:f>
      </x:c>
    </x:row>
    <x:row r="5893" spans="1:10">
      <x:c r="A5893" s="1" t="s">
        <x:v>5901</x:v>
      </x:c>
      <x:c r="B5893" s="1">
        <x:f>IFERROR(__xludf.DUMMYFUNCTION("""COMPUTED_VALUE"""),"Sense límits")</x:f>
      </x:c>
      <x:c r="C5893" s="1">
        <x:f>IFERROR(__xludf.DUMMYFUNCTION("""COMPUTED_VALUE"""),"2011")</x:f>
      </x:c>
    </x:row>
    <x:row r="5894" spans="1:10">
      <x:c r="A5894" s="1" t="s">
        <x:v>5902</x:v>
      </x:c>
      <x:c r="B5894" s="1">
        <x:f>IFERROR(__xludf.DUMMYFUNCTION("""COMPUTED_VALUE"""),"Sense llei")</x:f>
      </x:c>
      <x:c r="C5894" s="1">
        <x:f>IFERROR(__xludf.DUMMYFUNCTION("""COMPUTED_VALUE"""),"2012")</x:f>
      </x:c>
    </x:row>
    <x:row r="5895" spans="1:10">
      <x:c r="A5895" s="1" t="s">
        <x:v>5903</x:v>
      </x:c>
      <x:c r="B5895" s="1">
        <x:f>IFERROR(__xludf.DUMMYFUNCTION("""COMPUTED_VALUE"""),"Sense paraules")</x:f>
      </x:c>
      <x:c r="C5895" s="1">
        <x:f>IFERROR(__xludf.DUMMYFUNCTION("""COMPUTED_VALUE"""),"2018")</x:f>
      </x:c>
    </x:row>
    <x:row r="5896" spans="1:10">
      <x:c r="A5896" s="1" t="s">
        <x:v>5904</x:v>
      </x:c>
      <x:c r="B5896" s="1">
        <x:f>IFERROR(__xludf.DUMMYFUNCTION("""COMPUTED_VALUE"""),"Sense perdó")</x:f>
      </x:c>
      <x:c r="C5896" s="1">
        <x:f>IFERROR(__xludf.DUMMYFUNCTION("""COMPUTED_VALUE"""),"1992")</x:f>
      </x:c>
    </x:row>
    <x:row r="5897" spans="1:10">
      <x:c r="A5897" s="1" t="s">
        <x:v>5905</x:v>
      </x:c>
      <x:c r="B5897" s="1">
        <x:f>IFERROR(__xludf.DUMMYFUNCTION("""COMPUTED_VALUE"""),"Sense pietat")</x:f>
      </x:c>
      <x:c r="C5897" s="1">
        <x:f>IFERROR(__xludf.DUMMYFUNCTION("""COMPUTED_VALUE"""),"2019")</x:f>
      </x:c>
    </x:row>
    <x:row r="5898" spans="1:10">
      <x:c r="A5898" s="1" t="s">
        <x:v>5906</x:v>
      </x:c>
      <x:c r="B5898" s="1">
        <x:f>IFERROR(__xludf.DUMMYFUNCTION("""COMPUTED_VALUE"""),"Sense rastre")</x:f>
      </x:c>
      <x:c r="C5898" s="1">
        <x:f>IFERROR(__xludf.DUMMYFUNCTION("""COMPUTED_VALUE"""),"2012")</x:f>
      </x:c>
    </x:row>
    <x:row r="5899" spans="1:10">
      <x:c r="A5899" s="1" t="s">
        <x:v>5907</x:v>
      </x:c>
      <x:c r="B5899" s="1">
        <x:f>IFERROR(__xludf.DUMMYFUNCTION("""COMPUTED_VALUE"""),"Sense rastre")</x:f>
      </x:c>
      <x:c r="C5899" s="1">
        <x:f>IFERROR(__xludf.DUMMYFUNCTION("""COMPUTED_VALUE"""),"2020")</x:f>
      </x:c>
    </x:row>
    <x:row r="5900" spans="1:10">
      <x:c r="A5900" s="1" t="s">
        <x:v>5908</x:v>
      </x:c>
      <x:c r="B5900" s="1">
        <x:f>IFERROR(__xludf.DUMMYFUNCTION("""COMPUTED_VALUE"""),"Sense reserves")</x:f>
      </x:c>
      <x:c r="C5900" s="1">
        <x:f>IFERROR(__xludf.DUMMYFUNCTION("""COMPUTED_VALUE"""),"2007")</x:f>
      </x:c>
    </x:row>
    <x:row r="5901" spans="1:10">
      <x:c r="A5901" s="1" t="s">
        <x:v>5909</x:v>
      </x:c>
      <x:c r="B5901" s="1">
        <x:f>IFERROR(__xludf.DUMMYFUNCTION("""COMPUTED_VALUE"""),"Sense sortida")</x:f>
      </x:c>
      <x:c r="C5901" s="1">
        <x:f>IFERROR(__xludf.DUMMYFUNCTION("""COMPUTED_VALUE"""),"1987")</x:f>
      </x:c>
    </x:row>
    <x:row r="5902" spans="1:10">
      <x:c r="A5902" s="1" t="s">
        <x:v>5910</x:v>
      </x:c>
      <x:c r="B5902" s="1">
        <x:f>IFERROR(__xludf.DUMMYFUNCTION("""COMPUTED_VALUE"""),"Sense sostre")</x:f>
      </x:c>
      <x:c r="C5902" s="1">
        <x:f>IFERROR(__xludf.DUMMYFUNCTION("""COMPUTED_VALUE"""),"2019")</x:f>
      </x:c>
    </x:row>
    <x:row r="5903" spans="1:10">
      <x:c r="A5903" s="1" t="s">
        <x:v>5911</x:v>
      </x:c>
      <x:c r="B5903" s="1">
        <x:f>IFERROR(__xludf.DUMMYFUNCTION("""COMPUTED_VALUE"""),"Sentència de mort")</x:f>
      </x:c>
      <x:c r="C5903" s="1">
        <x:f>IFERROR(__xludf.DUMMYFUNCTION("""COMPUTED_VALUE"""),"2007")</x:f>
      </x:c>
    </x:row>
    <x:row r="5904" spans="1:10">
      <x:c r="A5904" s="1" t="s">
        <x:v>5912</x:v>
      </x:c>
      <x:c r="B5904" s="1">
        <x:f>IFERROR(__xludf.DUMMYFUNCTION("""COMPUTED_VALUE"""),"Sentimental")</x:f>
      </x:c>
      <x:c r="C5904" s="1">
        <x:f>IFERROR(__xludf.DUMMYFUNCTION("""COMPUTED_VALUE"""),"2020")</x:f>
      </x:c>
    </x:row>
    <x:row r="5905" spans="1:10">
      <x:c r="A5905" s="1" t="s">
        <x:v>5913</x:v>
      </x:c>
      <x:c r="B5905" s="1">
        <x:f>IFERROR(__xludf.DUMMYFUNCTION("""COMPUTED_VALUE"""),"Sentit i sensibilitat")</x:f>
      </x:c>
      <x:c r="C5905" s="1">
        <x:f>IFERROR(__xludf.DUMMYFUNCTION("""COMPUTED_VALUE"""),"1995")</x:f>
      </x:c>
    </x:row>
    <x:row r="5906" spans="1:10">
      <x:c r="A5906" s="1" t="s">
        <x:v>5914</x:v>
      </x:c>
      <x:c r="B5906" s="1">
        <x:f>IFERROR(__xludf.DUMMYFUNCTION("""COMPUTED_VALUE"""),"Senyals del futur")</x:f>
      </x:c>
      <x:c r="C5906" s="1">
        <x:f>IFERROR(__xludf.DUMMYFUNCTION("""COMPUTED_VALUE"""),"2009")</x:f>
      </x:c>
    </x:row>
    <x:row r="5907" spans="1:10">
      <x:c r="A5907" s="1" t="s">
        <x:v>5915</x:v>
      </x:c>
      <x:c r="B5907" s="1">
        <x:f>IFERROR(__xludf.DUMMYFUNCTION("""COMPUTED_VALUE"""),"Senyora pastora, senyor capellà")</x:f>
      </x:c>
      <x:c r="C5907" s="1">
        <x:f>IFERROR(__xludf.DUMMYFUNCTION("""COMPUTED_VALUE"""),"2016")</x:f>
      </x:c>
    </x:row>
    <x:row r="5908" spans="1:10">
      <x:c r="A5908" s="1" t="s">
        <x:v>5916</x:v>
      </x:c>
      <x:c r="B5908" s="1">
        <x:f>IFERROR(__xludf.DUMMYFUNCTION("""COMPUTED_VALUE"""),"Senyora Winterbourne")</x:f>
      </x:c>
      <x:c r="C5908" s="1">
        <x:f>IFERROR(__xludf.DUMMYFUNCTION("""COMPUTED_VALUE"""),"1996")</x:f>
      </x:c>
    </x:row>
    <x:row r="5909" spans="1:10">
      <x:c r="A5909" s="1" t="s">
        <x:v>5917</x:v>
      </x:c>
      <x:c r="B5909" s="1">
        <x:f>IFERROR(__xludf.DUMMYFUNCTION("""COMPUTED_VALUE"""),"Ser o no ser")</x:f>
      </x:c>
      <x:c r="C5909" s="1">
        <x:f>IFERROR(__xludf.DUMMYFUNCTION("""COMPUTED_VALUE"""),"1942")</x:f>
      </x:c>
    </x:row>
    <x:row r="5910" spans="1:10">
      <x:c r="A5910" s="1" t="s">
        <x:v>5918</x:v>
      </x:c>
      <x:c r="B5910" s="1">
        <x:f>IFERROR(__xludf.DUMMYFUNCTION("""COMPUTED_VALUE"""),"Serena")</x:f>
      </x:c>
      <x:c r="C5910" s="1">
        <x:f>IFERROR(__xludf.DUMMYFUNCTION("""COMPUTED_VALUE"""),"2014")</x:f>
      </x:c>
    </x:row>
    <x:row r="5911" spans="1:10">
      <x:c r="A5911" s="1" t="s">
        <x:v>5919</x:v>
      </x:c>
      <x:c r="B5911" s="1">
        <x:f>IFERROR(__xludf.DUMMYFUNCTION("""COMPUTED_VALUE"""),"Serenata nostàlgica")</x:f>
      </x:c>
      <x:c r="C5911" s="1">
        <x:f>IFERROR(__xludf.DUMMYFUNCTION("""COMPUTED_VALUE"""),"1941")</x:f>
      </x:c>
    </x:row>
    <x:row r="5912" spans="1:10">
      <x:c r="A5912" s="1" t="s">
        <x:v>5920</x:v>
      </x:c>
      <x:c r="B5912" s="1">
        <x:f>IFERROR(__xludf.DUMMYFUNCTION("""COMPUTED_VALUE"""),"Serendipity")</x:f>
      </x:c>
      <x:c r="C5912" s="1">
        <x:f>IFERROR(__xludf.DUMMYFUNCTION("""COMPUTED_VALUE"""),"2001")</x:f>
      </x:c>
    </x:row>
    <x:row r="5913" spans="1:10">
      <x:c r="A5913" s="1" t="s">
        <x:v>5921</x:v>
      </x:c>
      <x:c r="B5913" s="1">
        <x:f>IFERROR(__xludf.DUMMYFUNCTION("""COMPUTED_VALUE"""),"Sergio &amp; Serguéi")</x:f>
      </x:c>
      <x:c r="C5913" s="1">
        <x:f>IFERROR(__xludf.DUMMYFUNCTION("""COMPUTED_VALUE"""),"2017")</x:f>
      </x:c>
    </x:row>
    <x:row r="5914" spans="1:10">
      <x:c r="A5914" s="1" t="s">
        <x:v>5922</x:v>
      </x:c>
      <x:c r="B5914" s="1">
        <x:f>IFERROR(__xludf.DUMMYFUNCTION("""COMPUTED_VALUE"""),"Sèrie B")</x:f>
      </x:c>
      <x:c r="C5914" s="1">
        <x:f>IFERROR(__xludf.DUMMYFUNCTION("""COMPUTED_VALUE"""),"2012")</x:f>
      </x:c>
    </x:row>
    <x:row r="5915" spans="1:10">
      <x:c r="A5915" s="1" t="s">
        <x:v>5923</x:v>
      </x:c>
      <x:c r="B5915" s="1">
        <x:f>IFERROR(__xludf.DUMMYFUNCTION("""COMPUTED_VALUE"""),"Serps a l'avió")</x:f>
      </x:c>
      <x:c r="C5915" s="1">
        <x:f>IFERROR(__xludf.DUMMYFUNCTION("""COMPUTED_VALUE"""),"2006")</x:f>
      </x:c>
    </x:row>
    <x:row r="5916" spans="1:10">
      <x:c r="A5916" s="1" t="s">
        <x:v>5924</x:v>
      </x:c>
      <x:c r="B5916" s="1">
        <x:f>IFERROR(__xludf.DUMMYFUNCTION("""COMPUTED_VALUE"""),"Serrat al Sant Jordi")</x:f>
      </x:c>
      <x:c r="C5916" s="1">
        <x:f>IFERROR(__xludf.DUMMYFUNCTION("""COMPUTED_VALUE"""),"1996")</x:f>
      </x:c>
    </x:row>
    <x:row r="5917" spans="1:10">
      <x:c r="A5917" s="1" t="s">
        <x:v>5925</x:v>
      </x:c>
      <x:c r="B5917" s="1">
        <x:f>IFERROR(__xludf.DUMMYFUNCTION("""COMPUTED_VALUE"""),"Serrat Simfònic")</x:f>
      </x:c>
      <x:c r="C5917" s="1">
        <x:f>IFERROR(__xludf.DUMMYFUNCTION("""COMPUTED_VALUE"""),"2003")</x:f>
      </x:c>
    </x:row>
    <x:row r="5918" spans="1:10">
      <x:c r="A5918" s="1" t="s">
        <x:v>5926</x:v>
      </x:c>
      <x:c r="B5918" s="1">
        <x:f>IFERROR(__xludf.DUMMYFUNCTION("""COMPUTED_VALUE"""),"Set ànimes")</x:f>
      </x:c>
      <x:c r="C5918" s="1">
        <x:f>IFERROR(__xludf.DUMMYFUNCTION("""COMPUTED_VALUE"""),"2008")</x:f>
      </x:c>
    </x:row>
    <x:row r="5919" spans="1:10">
      <x:c r="A5919" s="1" t="s">
        <x:v>5927</x:v>
      </x:c>
      <x:c r="B5919" s="1">
        <x:f>IFERROR(__xludf.DUMMYFUNCTION("""COMPUTED_VALUE"""),"Set anys al Tibet")</x:f>
      </x:c>
      <x:c r="C5919" s="1">
        <x:f>IFERROR(__xludf.DUMMYFUNCTION("""COMPUTED_VALUE"""),"1997")</x:f>
      </x:c>
    </x:row>
    <x:row r="5920" spans="1:10">
      <x:c r="A5920" s="1" t="s">
        <x:v>5928</x:v>
      </x:c>
      <x:c r="B5920" s="1">
        <x:f>IFERROR(__xludf.DUMMYFUNCTION("""COMPUTED_VALUE"""),"Set de venjança")</x:f>
      </x:c>
      <x:c r="C5920" s="1">
        <x:f>IFERROR(__xludf.DUMMYFUNCTION("""COMPUTED_VALUE"""),"2010")</x:f>
      </x:c>
    </x:row>
    <x:row r="5921" spans="1:10">
      <x:c r="A5921" s="1" t="s">
        <x:v>5929</x:v>
      </x:c>
      <x:c r="B5921" s="1">
        <x:f>IFERROR(__xludf.DUMMYFUNCTION("""COMPUTED_VALUE"""),"Set dies a Entebbe")</x:f>
      </x:c>
      <x:c r="C5921" s="1">
        <x:f>IFERROR(__xludf.DUMMYFUNCTION("""COMPUTED_VALUE"""),"2018")</x:f>
      </x:c>
    </x:row>
    <x:row r="5922" spans="1:10">
      <x:c r="A5922" s="1" t="s">
        <x:v>5930</x:v>
      </x:c>
      <x:c r="B5922" s="1">
        <x:f>IFERROR(__xludf.DUMMYFUNCTION("""COMPUTED_VALUE"""),"Set espases")</x:f>
      </x:c>
      <x:c r="C5922" s="1">
        <x:f>IFERROR(__xludf.DUMMYFUNCTION("""COMPUTED_VALUE"""),"2005")</x:f>
      </x:c>
    </x:row>
    <x:row r="5923" spans="1:10">
      <x:c r="A5923" s="1" t="s">
        <x:v>5931</x:v>
      </x:c>
      <x:c r="B5923" s="1">
        <x:f>IFERROR(__xludf.DUMMYFUNCTION("""COMPUTED_VALUE"""),"Set psicòpates")</x:f>
      </x:c>
      <x:c r="C5923" s="1">
        <x:f>IFERROR(__xludf.DUMMYFUNCTION("""COMPUTED_VALUE"""),"2012")</x:f>
      </x:c>
    </x:row>
    <x:row r="5924" spans="1:10">
      <x:c r="A5924" s="1" t="s">
        <x:v>5932</x:v>
      </x:c>
      <x:c r="B5924" s="1">
        <x:f>IFERROR(__xludf.DUMMYFUNCTION("""COMPUTED_VALUE"""),"Setembre")</x:f>
      </x:c>
      <x:c r="C5924" s="1">
        <x:f>IFERROR(__xludf.DUMMYFUNCTION("""COMPUTED_VALUE"""),"1987")</x:f>
      </x:c>
    </x:row>
    <x:row r="5925" spans="1:10">
      <x:c r="A5925" s="1" t="s">
        <x:v>5933</x:v>
      </x:c>
      <x:c r="B5925" s="1">
        <x:f>IFERROR(__xludf.DUMMYFUNCTION("""COMPUTED_VALUE"""),"Setge al referèndum")</x:f>
      </x:c>
      <x:c r="C5925" s="1">
        <x:f>IFERROR(__xludf.DUMMYFUNCTION("""COMPUTED_VALUE"""),"2017")</x:f>
      </x:c>
    </x:row>
    <x:row r="5926" spans="1:10">
      <x:c r="A5926" s="1" t="s">
        <x:v>5934</x:v>
      </x:c>
      <x:c r="B5926" s="1">
        <x:f>IFERROR(__xludf.DUMMYFUNCTION("""COMPUTED_VALUE"""),"Setup")</x:f>
      </x:c>
      <x:c r="C5926" s="1">
        <x:f>IFERROR(__xludf.DUMMYFUNCTION("""COMPUTED_VALUE"""),"2011")</x:f>
      </x:c>
    </x:row>
    <x:row r="5927" spans="1:10">
      <x:c r="A5927" s="1" t="s">
        <x:v>5935</x:v>
      </x:c>
      <x:c r="B5927" s="1">
        <x:f>IFERROR(__xludf.DUMMYFUNCTION("""COMPUTED_VALUE"""),"Seven")</x:f>
      </x:c>
      <x:c r="C5927" s="1">
        <x:f>IFERROR(__xludf.DUMMYFUNCTION("""COMPUTED_VALUE"""),"1995")</x:f>
      </x:c>
    </x:row>
    <x:row r="5928" spans="1:10">
      <x:c r="A5928" s="1" t="s">
        <x:v>5936</x:v>
      </x:c>
      <x:c r="B5928" s="1">
        <x:f>IFERROR(__xludf.DUMMYFUNCTION("""COMPUTED_VALUE"""),"Sévigné")</x:f>
      </x:c>
      <x:c r="C5928" s="1">
        <x:f>IFERROR(__xludf.DUMMYFUNCTION("""COMPUTED_VALUE"""),"2004")</x:f>
      </x:c>
    </x:row>
    <x:row r="5929" spans="1:10">
      <x:c r="A5929" s="1" t="s">
        <x:v>5937</x:v>
      </x:c>
      <x:c r="B5929" s="1">
        <x:f>IFERROR(__xludf.DUMMYFUNCTION("""COMPUTED_VALUE"""),"Sex Tape. Problemes al núvol")</x:f>
      </x:c>
      <x:c r="C5929" s="1">
        <x:f>IFERROR(__xludf.DUMMYFUNCTION("""COMPUTED_VALUE"""),"2014")</x:f>
      </x:c>
    </x:row>
    <x:row r="5930" spans="1:10">
      <x:c r="A5930" s="1" t="s">
        <x:v>5938</x:v>
      </x:c>
      <x:c r="B5930" s="1">
        <x:f>IFERROR(__xludf.DUMMYFUNCTION("""COMPUTED_VALUE"""),"Sexe a Nova York I (versió estesa)")</x:f>
      </x:c>
      <x:c r="C5930" s="1">
        <x:f>IFERROR(__xludf.DUMMYFUNCTION("""COMPUTED_VALUE"""),"2008")</x:f>
      </x:c>
    </x:row>
    <x:row r="5931" spans="1:10">
      <x:c r="A5931" s="1" t="s">
        <x:v>5939</x:v>
      </x:c>
      <x:c r="B5931" s="1">
        <x:f>IFERROR(__xludf.DUMMYFUNCTION("""COMPUTED_VALUE"""),"Sexe a Nova York II")</x:f>
      </x:c>
      <x:c r="C5931" s="1">
        <x:f>IFERROR(__xludf.DUMMYFUNCTION("""COMPUTED_VALUE"""),"2010")</x:f>
      </x:c>
    </x:row>
    <x:row r="5932" spans="1:10">
      <x:c r="A5932" s="1" t="s">
        <x:v>5940</x:v>
      </x:c>
      <x:c r="B5932" s="1">
        <x:f>IFERROR(__xludf.DUMMYFUNCTION("""COMPUTED_VALUE"""),"Sexe, maraques i chihuahues")</x:f>
      </x:c>
      <x:c r="C5932" s="1">
        <x:f>IFERROR(__xludf.DUMMYFUNCTION("""COMPUTED_VALUE"""),"2016")</x:f>
      </x:c>
    </x:row>
    <x:row r="5933" spans="1:10">
      <x:c r="A5933" s="1" t="s">
        <x:v>5941</x:v>
      </x:c>
      <x:c r="B5933" s="1">
        <x:f>IFERROR(__xludf.DUMMYFUNCTION("""COMPUTED_VALUE"""),"Sexygénaires")</x:f>
      </x:c>
      <x:c r="C5933" s="1">
        <x:f>IFERROR(__xludf.DUMMYFUNCTION("""COMPUTED_VALUE"""),"2023")</x:f>
      </x:c>
    </x:row>
    <x:row r="5934" spans="1:10">
      <x:c r="A5934" s="1" t="s">
        <x:v>5942</x:v>
      </x:c>
      <x:c r="B5934" s="1">
        <x:f>IFERROR(__xludf.DUMMYFUNCTION("""COMPUTED_VALUE"""),"Sexykiller")</x:f>
      </x:c>
      <x:c r="C5934" s="1">
        <x:f>IFERROR(__xludf.DUMMYFUNCTION("""COMPUTED_VALUE"""),"2008")</x:f>
      </x:c>
    </x:row>
    <x:row r="5935" spans="1:10">
      <x:c r="A5935" s="1" t="s">
        <x:v>5943</x:v>
      </x:c>
      <x:c r="B5935" s="1">
        <x:f>IFERROR(__xludf.DUMMYFUNCTION("""COMPUTED_VALUE"""),"Shadow Man")</x:f>
      </x:c>
      <x:c r="C5935" s="1">
        <x:f>IFERROR(__xludf.DUMMYFUNCTION("""COMPUTED_VALUE"""),"2006")</x:f>
      </x:c>
    </x:row>
    <x:row r="5936" spans="1:10">
      <x:c r="A5936" s="1" t="s">
        <x:v>5944</x:v>
      </x:c>
      <x:c r="B5936" s="1">
        <x:f>IFERROR(__xludf.DUMMYFUNCTION("""COMPUTED_VALUE"""),"Shahid: Créixer o morir a Palestina")</x:f>
      </x:c>
      <x:c r="C5936" s="1">
        <x:f>IFERROR(__xludf.DUMMYFUNCTION("""COMPUTED_VALUE"""),"2024")</x:f>
      </x:c>
    </x:row>
    <x:row r="5937" spans="1:10">
      <x:c r="A5937" s="1" t="s">
        <x:v>5945</x:v>
      </x:c>
      <x:c r="B5937" s="1">
        <x:f>IFERROR(__xludf.DUMMYFUNCTION("""COMPUTED_VALUE"""),"Shakespeare in Love")</x:f>
      </x:c>
      <x:c r="C5937" s="1">
        <x:f>IFERROR(__xludf.DUMMYFUNCTION("""COMPUTED_VALUE"""),"1998")</x:f>
      </x:c>
    </x:row>
    <x:row r="5938" spans="1:10">
      <x:c r="A5938" s="1" t="s">
        <x:v>5946</x:v>
      </x:c>
      <x:c r="B5938" s="1">
        <x:f>IFERROR(__xludf.DUMMYFUNCTION("""COMPUTED_VALUE"""),"Shame")</x:f>
      </x:c>
      <x:c r="C5938" s="1">
        <x:f>IFERROR(__xludf.DUMMYFUNCTION("""COMPUTED_VALUE"""),"2011")</x:f>
      </x:c>
    </x:row>
    <x:row r="5939" spans="1:10">
      <x:c r="A5939" s="1" t="s">
        <x:v>5947</x:v>
      </x:c>
      <x:c r="B5939" s="1">
        <x:f>IFERROR(__xludf.DUMMYFUNCTION("""COMPUTED_VALUE"""),"Shanghai")</x:f>
      </x:c>
      <x:c r="C5939" s="1">
        <x:f>IFERROR(__xludf.DUMMYFUNCTION("""COMPUTED_VALUE"""),"2010")</x:f>
      </x:c>
    </x:row>
    <x:row r="5940" spans="1:10">
      <x:c r="A5940" s="1" t="s">
        <x:v>5948</x:v>
      </x:c>
      <x:c r="B5940" s="1">
        <x:f>IFERROR(__xludf.DUMMYFUNCTION("""COMPUTED_VALUE"""),"Sharkwater")</x:f>
      </x:c>
      <x:c r="C5940" s="1">
        <x:f>IFERROR(__xludf.DUMMYFUNCTION("""COMPUTED_VALUE"""),"2022")</x:f>
      </x:c>
    </x:row>
    <x:row r="5941" spans="1:10">
      <x:c r="A5941" s="1" t="s">
        <x:v>5949</x:v>
      </x:c>
      <x:c r="B5941" s="1">
        <x:f>IFERROR(__xludf.DUMMYFUNCTION("""COMPUTED_VALUE"""),"Shelter")</x:f>
      </x:c>
      <x:c r="C5941" s="1">
        <x:f>IFERROR(__xludf.DUMMYFUNCTION("""COMPUTED_VALUE"""),"2010")</x:f>
      </x:c>
    </x:row>
    <x:row r="5942" spans="1:10">
      <x:c r="A5942" s="1" t="s">
        <x:v>5950</x:v>
      </x:c>
      <x:c r="B5942" s="1">
        <x:f>IFERROR(__xludf.DUMMYFUNCTION("""COMPUTED_VALUE"""),"Sherlock Gnomes")</x:f>
      </x:c>
      <x:c r="C5942" s="1">
        <x:f>IFERROR(__xludf.DUMMYFUNCTION("""COMPUTED_VALUE"""),"2018")</x:f>
      </x:c>
    </x:row>
    <x:row r="5943" spans="1:10">
      <x:c r="A5943" s="1" t="s">
        <x:v>5951</x:v>
      </x:c>
      <x:c r="B5943" s="1">
        <x:f>IFERROR(__xludf.DUMMYFUNCTION("""COMPUTED_VALUE"""),"Sherlock Holmes")</x:f>
      </x:c>
      <x:c r="C5943" s="1">
        <x:f>IFERROR(__xludf.DUMMYFUNCTION("""COMPUTED_VALUE"""),"2009")</x:f>
      </x:c>
    </x:row>
    <x:row r="5944" spans="1:10">
      <x:c r="A5944" s="1" t="s">
        <x:v>5952</x:v>
      </x:c>
      <x:c r="B5944" s="1">
        <x:f>IFERROR(__xludf.DUMMYFUNCTION("""COMPUTED_VALUE"""),"Sherlock Holmes, les mans d'un assassí")</x:f>
      </x:c>
      <x:c r="C5944" s="1">
        <x:f>IFERROR(__xludf.DUMMYFUNCTION("""COMPUTED_VALUE"""),"1990")</x:f>
      </x:c>
    </x:row>
    <x:row r="5945" spans="1:10">
      <x:c r="A5945" s="1" t="s">
        <x:v>5953</x:v>
      </x:c>
      <x:c r="B5945" s="1">
        <x:f>IFERROR(__xludf.DUMMYFUNCTION("""COMPUTED_VALUE"""),"Sherlock Holmes: Un joc d'ombres")</x:f>
      </x:c>
      <x:c r="C5945" s="1">
        <x:f>IFERROR(__xludf.DUMMYFUNCTION("""COMPUTED_VALUE"""),"2011")</x:f>
      </x:c>
    </x:row>
    <x:row r="5946" spans="1:10">
      <x:c r="A5946" s="1" t="s">
        <x:v>5954</x:v>
      </x:c>
      <x:c r="B5946" s="1">
        <x:f>IFERROR(__xludf.DUMMYFUNCTION("""COMPUTED_VALUE"""),"Sherlock Holmes: Vestida per matar [VOSC]")</x:f>
      </x:c>
      <x:c r="C5946" s="1">
        <x:f>IFERROR(__xludf.DUMMYFUNCTION("""COMPUTED_VALUE"""),"1946")</x:f>
      </x:c>
    </x:row>
    <x:row r="5947" spans="1:10">
      <x:c r="A5947" s="1" t="s">
        <x:v>5955</x:v>
      </x:c>
      <x:c r="B5947" s="1">
        <x:f>IFERROR(__xludf.DUMMYFUNCTION("""COMPUTED_VALUE"""),"Sherlock Jr. [VOSC]")</x:f>
      </x:c>
      <x:c r="C5947" s="1">
        <x:f>IFERROR(__xludf.DUMMYFUNCTION("""COMPUTED_VALUE"""),"1924")</x:f>
      </x:c>
    </x:row>
    <x:row r="5948" spans="1:10">
      <x:c r="A5948" s="1" t="s">
        <x:v>5956</x:v>
      </x:c>
      <x:c r="B5948" s="1">
        <x:f>IFERROR(__xludf.DUMMYFUNCTION("""COMPUTED_VALUE"""),"Shin Chan 3 minuts per salvar el món")</x:f>
      </x:c>
      <x:c r="C5948" s="1">
        <x:f>IFERROR(__xludf.DUMMYFUNCTION("""COMPUTED_VALUE"""),"2005")</x:f>
      </x:c>
    </x:row>
    <x:row r="5949" spans="1:10">
      <x:c r="A5949" s="1" t="s">
        <x:v>5957</x:v>
      </x:c>
      <x:c r="B5949" s="1">
        <x:f>IFERROR(__xludf.DUMMYFUNCTION("""COMPUTED_VALUE"""),"Shin Chan de la jungla")</x:f>
      </x:c>
      <x:c r="C5949" s="1">
        <x:f>IFERROR(__xludf.DUMMYFUNCTION("""COMPUTED_VALUE"""),"2000")</x:f>
      </x:c>
    </x:row>
    <x:row r="5950" spans="1:10">
      <x:c r="A5950" s="1" t="s">
        <x:v>5958</x:v>
      </x:c>
      <x:c r="B5950" s="1">
        <x:f>IFERROR(__xludf.DUMMYFUNCTION("""COMPUTED_VALUE"""),"Shin Chan i el filet impossible")</x:f>
      </x:c>
      <x:c r="C5950" s="1">
        <x:f>IFERROR(__xludf.DUMMYFUNCTION("""COMPUTED_VALUE"""),"2003")</x:f>
      </x:c>
    </x:row>
    <x:row r="5951" spans="1:10">
      <x:c r="A5951" s="1" t="s">
        <x:v>5959</x:v>
      </x:c>
      <x:c r="B5951" s="1">
        <x:f>IFERROR(__xludf.DUMMYFUNCTION("""COMPUTED_VALUE"""),"Shin Chan i l'ambició de Karakaka")</x:f>
      </x:c>
      <x:c r="C5951" s="1">
        <x:f>IFERROR(__xludf.DUMMYFUNCTION("""COMPUTED_VALUE"""),"1995")</x:f>
      </x:c>
    </x:row>
    <x:row r="5952" spans="1:10">
      <x:c r="A5952" s="1" t="s">
        <x:v>5960</x:v>
      </x:c>
      <x:c r="B5952" s="1">
        <x:f>IFERROR(__xludf.DUMMYFUNCTION("""COMPUTED_VALUE"""),"Shin Chan i l'espasa d'or")</x:f>
      </x:c>
      <x:c r="C5952" s="1">
        <x:f>IFERROR(__xludf.DUMMYFUNCTION("""COMPUTED_VALUE"""),"2008")</x:f>
      </x:c>
    </x:row>
    <x:row r="5953" spans="1:10">
      <x:c r="A5953" s="1" t="s">
        <x:v>5961</x:v>
      </x:c>
      <x:c r="B5953" s="1">
        <x:f>IFERROR(__xludf.DUMMYFUNCTION("""COMPUTED_VALUE"""),"Shin Chan: A l'illa del tresor")</x:f>
      </x:c>
      <x:c r="C5953" s="1">
        <x:f>IFERROR(__xludf.DUMMYFUNCTION("""COMPUTED_VALUE"""),"1994")</x:f>
      </x:c>
    </x:row>
    <x:row r="5954" spans="1:10">
      <x:c r="A5954" s="1" t="s">
        <x:v>5962</x:v>
      </x:c>
      <x:c r="B5954" s="1">
        <x:f>IFERROR(__xludf.DUMMYFUNCTION("""COMPUTED_VALUE"""),"Shin Chan: A la recerca de les boles perdudes")</x:f>
      </x:c>
      <x:c r="C5954" s="1">
        <x:f>IFERROR(__xludf.DUMMYFUNCTION("""COMPUTED_VALUE"""),"1997")</x:f>
      </x:c>
    </x:row>
    <x:row r="5955" spans="1:10">
      <x:c r="A5955" s="1" t="s">
        <x:v>5963</x:v>
      </x:c>
      <x:c r="B5955" s="1">
        <x:f>IFERROR(__xludf.DUMMYFUNCTION("""COMPUTED_VALUE"""),"Shin Chan: A ritme de samba")</x:f>
      </x:c>
      <x:c r="C5955" s="1">
        <x:f>IFERROR(__xludf.DUMMYFUNCTION("""COMPUTED_VALUE"""),"2006")</x:f>
      </x:c>
    </x:row>
    <x:row r="5956" spans="1:10">
      <x:c r="A5956" s="1" t="s">
        <x:v>5964</x:v>
      </x:c>
      <x:c r="B5956" s="1">
        <x:f>IFERROR(__xludf.DUMMYFUNCTION("""COMPUTED_VALUE"""),"Shin Chan: Aventures a Henderland")</x:f>
      </x:c>
      <x:c r="C5956" s="1">
        <x:f>IFERROR(__xludf.DUMMYFUNCTION("""COMPUTED_VALUE"""),"1996")</x:f>
      </x:c>
    </x:row>
    <x:row r="5957" spans="1:10">
      <x:c r="A5957" s="1" t="s">
        <x:v>5965</x:v>
      </x:c>
      <x:c r="B5957" s="1">
        <x:f>IFERROR(__xludf.DUMMYFUNCTION("""COMPUTED_VALUE"""),"Shin Chan: El meu gos és la bomba")</x:f>
      </x:c>
      <x:c r="C5957" s="1">
        <x:f>IFERROR(__xludf.DUMMYFUNCTION("""COMPUTED_VALUE"""),"2007")</x:f>
      </x:c>
    </x:row>
    <x:row r="5958" spans="1:10">
      <x:c r="A5958" s="1" t="s">
        <x:v>5966</x:v>
      </x:c>
      <x:c r="B5958" s="1">
        <x:f>IFERROR(__xludf.DUMMYFUNCTION("""COMPUTED_VALUE"""),"Shin Chan: El petit samurai")</x:f>
      </x:c>
      <x:c r="C5958" s="1">
        <x:f>IFERROR(__xludf.DUMMYFUNCTION("""COMPUTED_VALUE"""),"2002")</x:f>
      </x:c>
    </x:row>
    <x:row r="5959" spans="1:10">
      <x:c r="A5959" s="1" t="s">
        <x:v>5967</x:v>
      </x:c>
      <x:c r="B5959" s="1">
        <x:f>IFERROR(__xludf.DUMMYFUNCTION("""COMPUTED_VALUE"""),"Shin Chan: Els adults contraataquen")</x:f>
      </x:c>
      <x:c r="C5959" s="1">
        <x:f>IFERROR(__xludf.DUMMYFUNCTION("""COMPUTED_VALUE"""),"2001")</x:f>
      </x:c>
    </x:row>
    <x:row r="5960" spans="1:10">
      <x:c r="A5960" s="1" t="s">
        <x:v>5968</x:v>
      </x:c>
      <x:c r="B5960" s="1">
        <x:f>IFERROR(__xludf.DUMMYFUNCTION("""COMPUTED_VALUE"""),"Shin Chan: La guerra dels balnearis")</x:f>
      </x:c>
      <x:c r="C5960" s="1">
        <x:f>IFERROR(__xludf.DUMMYFUNCTION("""COMPUTED_VALUE"""),"1999")</x:f>
      </x:c>
    </x:row>
    <x:row r="5961" spans="1:10">
      <x:c r="A5961" s="1" t="s">
        <x:v>5969</x:v>
      </x:c>
      <x:c r="B5961" s="1">
        <x:f>IFERROR(__xludf.DUMMYFUNCTION("""COMPUTED_VALUE"""),"Shin Chan: La invasió")</x:f>
      </x:c>
      <x:c r="C5961" s="1">
        <x:f>IFERROR(__xludf.DUMMYFUNCTION("""COMPUTED_VALUE"""),"1993")</x:f>
      </x:c>
    </x:row>
    <x:row r="5962" spans="1:10">
      <x:c r="A5962" s="1" t="s">
        <x:v>5970</x:v>
      </x:c>
      <x:c r="B5962" s="1">
        <x:f>IFERROR(__xludf.DUMMYFUNCTION("""COMPUTED_VALUE"""),"Shin Chan: La núvia del futur")</x:f>
      </x:c>
      <x:c r="C5962" s="1">
        <x:f>IFERROR(__xludf.DUMMYFUNCTION("""COMPUTED_VALUE"""),"2010")</x:f>
      </x:c>
    </x:row>
    <x:row r="5963" spans="1:10">
      <x:c r="A5963" s="1" t="s">
        <x:v>5971</x:v>
      </x:c>
      <x:c r="B5963" s="1">
        <x:f>IFERROR(__xludf.DUMMYFUNCTION("""COMPUTED_VALUE"""),"Shin Chan: La pel·lícula. Això és una animalada!")</x:f>
      </x:c>
      <x:c r="C5963" s="1">
        <x:f>IFERROR(__xludf.DUMMYFUNCTION("""COMPUTED_VALUE"""),"2009")</x:f>
      </x:c>
    </x:row>
    <x:row r="5964" spans="1:10">
      <x:c r="A5964" s="1" t="s">
        <x:v>5972</x:v>
      </x:c>
      <x:c r="B5964" s="1">
        <x:f>IFERROR(__xludf.DUMMYFUNCTION("""COMPUTED_VALUE"""),"Shin Chan: Operació rescat")</x:f>
      </x:c>
      <x:c r="C5964" s="1">
        <x:f>IFERROR(__xludf.DUMMYFUNCTION("""COMPUTED_VALUE"""),"1998")</x:f>
      </x:c>
    </x:row>
    <x:row r="5965" spans="1:10">
      <x:c r="A5965" s="1" t="s">
        <x:v>5973</x:v>
      </x:c>
      <x:c r="B5965" s="1">
        <x:f>IFERROR(__xludf.DUMMYFUNCTION("""COMPUTED_VALUE"""),"Shinjuku, la ciutat dels dimonis")</x:f>
      </x:c>
      <x:c r="C5965" s="1">
        <x:f>IFERROR(__xludf.DUMMYFUNCTION("""COMPUTED_VALUE"""),"1988")</x:f>
      </x:c>
    </x:row>
    <x:row r="5966" spans="1:10">
      <x:c r="A5966" s="1" t="s">
        <x:v>5974</x:v>
      </x:c>
      <x:c r="B5966" s="1">
        <x:f>IFERROR(__xludf.DUMMYFUNCTION("""COMPUTED_VALUE"""),"Shinobi")</x:f>
      </x:c>
      <x:c r="C5966" s="1">
        <x:f>IFERROR(__xludf.DUMMYFUNCTION("""COMPUTED_VALUE"""),"2005")</x:f>
      </x:c>
    </x:row>
    <x:row r="5967" spans="1:10">
      <x:c r="A5967" s="1" t="s">
        <x:v>5975</x:v>
      </x:c>
      <x:c r="B5967" s="1">
        <x:f>IFERROR(__xludf.DUMMYFUNCTION("""COMPUTED_VALUE"""),"Shirley")</x:f>
      </x:c>
      <x:c r="C5967" s="1">
        <x:f>IFERROR(__xludf.DUMMYFUNCTION("""COMPUTED_VALUE"""),"2020")</x:f>
      </x:c>
    </x:row>
    <x:row r="5968" spans="1:10">
      <x:c r="A5968" s="1" t="s">
        <x:v>5976</x:v>
      </x:c>
      <x:c r="B5968" s="1">
        <x:f>IFERROR(__xludf.DUMMYFUNCTION("""COMPUTED_VALUE"""),"Shiva Baby")</x:f>
      </x:c>
      <x:c r="C5968" s="1">
        <x:f>IFERROR(__xludf.DUMMYFUNCTION("""COMPUTED_VALUE"""),"2020")</x:f>
      </x:c>
    </x:row>
    <x:row r="5969" spans="1:10">
      <x:c r="A5969" s="1" t="s">
        <x:v>5977</x:v>
      </x:c>
      <x:c r="B5969" s="1">
        <x:f>IFERROR(__xludf.DUMMYFUNCTION("""COMPUTED_VALUE"""),"Showgirls")</x:f>
      </x:c>
      <x:c r="C5969" s="1">
        <x:f>IFERROR(__xludf.DUMMYFUNCTION("""COMPUTED_VALUE"""),"1995")</x:f>
      </x:c>
    </x:row>
    <x:row r="5970" spans="1:10">
      <x:c r="A5970" s="1" t="s">
        <x:v>5978</x:v>
      </x:c>
      <x:c r="B5970" s="1">
        <x:f>IFERROR(__xludf.DUMMYFUNCTION("""COMPUTED_VALUE"""),"Showtime")</x:f>
      </x:c>
      <x:c r="C5970" s="1">
        <x:f>IFERROR(__xludf.DUMMYFUNCTION("""COMPUTED_VALUE"""),"2002")</x:f>
      </x:c>
    </x:row>
    <x:row r="5971" spans="1:10">
      <x:c r="A5971" s="1" t="s">
        <x:v>5979</x:v>
      </x:c>
      <x:c r="B5971" s="1">
        <x:f>IFERROR(__xludf.DUMMYFUNCTION("""COMPUTED_VALUE"""),"Shrek I")</x:f>
      </x:c>
      <x:c r="C5971" s="1">
        <x:f>IFERROR(__xludf.DUMMYFUNCTION("""COMPUTED_VALUE"""),"2001")</x:f>
      </x:c>
    </x:row>
    <x:row r="5972" spans="1:10">
      <x:c r="A5972" s="1" t="s">
        <x:v>5980</x:v>
      </x:c>
      <x:c r="B5972" s="1">
        <x:f>IFERROR(__xludf.DUMMYFUNCTION("""COMPUTED_VALUE"""),"Shrek II")</x:f>
      </x:c>
      <x:c r="C5972" s="1">
        <x:f>IFERROR(__xludf.DUMMYFUNCTION("""COMPUTED_VALUE"""),"2004")</x:f>
      </x:c>
    </x:row>
    <x:row r="5973" spans="1:10">
      <x:c r="A5973" s="1" t="s">
        <x:v>5981</x:v>
      </x:c>
      <x:c r="B5973" s="1">
        <x:f>IFERROR(__xludf.DUMMYFUNCTION("""COMPUTED_VALUE"""),"Shrek III tercer")</x:f>
      </x:c>
      <x:c r="C5973" s="1">
        <x:f>IFERROR(__xludf.DUMMYFUNCTION("""COMPUTED_VALUE"""),"2007")</x:f>
      </x:c>
    </x:row>
    <x:row r="5974" spans="1:10">
      <x:c r="A5974" s="1" t="s">
        <x:v>5982</x:v>
      </x:c>
      <x:c r="B5974" s="1">
        <x:f>IFERROR(__xludf.DUMMYFUNCTION("""COMPUTED_VALUE"""),"Shrek IV feliços per sempre")</x:f>
      </x:c>
      <x:c r="C5974" s="1">
        <x:f>IFERROR(__xludf.DUMMYFUNCTION("""COMPUTED_VALUE"""),"2010")</x:f>
      </x:c>
    </x:row>
    <x:row r="5975" spans="1:10">
      <x:c r="A5975" s="1" t="s">
        <x:v>5983</x:v>
      </x:c>
      <x:c r="B5975" s="1">
        <x:f>IFERROR(__xludf.DUMMYFUNCTION("""COMPUTED_VALUE"""),"Shutter")</x:f>
      </x:c>
      <x:c r="C5975" s="1">
        <x:f>IFERROR(__xludf.DUMMYFUNCTION("""COMPUTED_VALUE"""),"2004")</x:f>
      </x:c>
    </x:row>
    <x:row r="5976" spans="1:10">
      <x:c r="A5976" s="1" t="s">
        <x:v>5984</x:v>
      </x:c>
      <x:c r="B5976" s="1">
        <x:f>IFERROR(__xludf.DUMMYFUNCTION("""COMPUTED_VALUE"""),"Shutter Island")</x:f>
      </x:c>
      <x:c r="C5976" s="1">
        <x:f>IFERROR(__xludf.DUMMYFUNCTION("""COMPUTED_VALUE"""),"2010")</x:f>
      </x:c>
    </x:row>
    <x:row r="5977" spans="1:10">
      <x:c r="A5977" s="1" t="s">
        <x:v>5985</x:v>
      </x:c>
      <x:c r="B5977" s="1">
        <x:f>IFERROR(__xludf.DUMMYFUNCTION("""COMPUTED_VALUE"""),"Si decideixo quedar-me")</x:f>
      </x:c>
      <x:c r="C5977" s="1">
        <x:f>IFERROR(__xludf.DUMMYFUNCTION("""COMPUTED_VALUE"""),"2014")</x:f>
      </x:c>
    </x:row>
    <x:row r="5978" spans="1:10">
      <x:c r="A5978" s="1" t="s">
        <x:v>5986</x:v>
      </x:c>
      <x:c r="B5978" s="1">
        <x:f>IFERROR(__xludf.DUMMYFUNCTION("""COMPUTED_VALUE"""),"Si Deu vol")</x:f>
      </x:c>
      <x:c r="C5978" s="1">
        <x:f>IFERROR(__xludf.DUMMYFUNCTION("""COMPUTED_VALUE"""),"2015")</x:f>
      </x:c>
    </x:row>
    <x:row r="5979" spans="1:10">
      <x:c r="A5979" s="1" t="s">
        <x:v>5987</x:v>
      </x:c>
      <x:c r="B5979" s="1">
        <x:f>IFERROR(__xludf.DUMMYFUNCTION("""COMPUTED_VALUE"""),"Si funciona...")</x:f>
      </x:c>
      <x:c r="C5979" s="1">
        <x:f>IFERROR(__xludf.DUMMYFUNCTION("""COMPUTED_VALUE"""),"2009")</x:f>
      </x:c>
    </x:row>
    <x:row r="5980" spans="1:10">
      <x:c r="A5980" s="1" t="s">
        <x:v>5988</x:v>
      </x:c>
      <x:c r="B5980" s="1">
        <x:f>IFERROR(__xludf.DUMMYFUNCTION("""COMPUTED_VALUE"""),"Si les parets parlessin")</x:f>
      </x:c>
      <x:c r="C5980" s="1">
        <x:f>IFERROR(__xludf.DUMMYFUNCTION("""COMPUTED_VALUE"""),"1996")</x:f>
      </x:c>
    </x:row>
    <x:row r="5981" spans="1:10">
      <x:c r="A5981" s="1" t="s">
        <x:v>5989</x:v>
      </x:c>
      <x:c r="B5981" s="1">
        <x:f>IFERROR(__xludf.DUMMYFUNCTION("""COMPUTED_VALUE"""),"Si vols de debò")</x:f>
      </x:c>
      <x:c r="C5981" s="1">
        <x:f>IFERROR(__xludf.DUMMYFUNCTION("""COMPUTED_VALUE"""),"2012")</x:f>
      </x:c>
    </x:row>
    <x:row r="5982" spans="1:10">
      <x:c r="A5982" s="1" t="s">
        <x:v>5990</x:v>
      </x:c>
      <x:c r="B5982" s="1">
        <x:f>IFERROR(__xludf.DUMMYFUNCTION("""COMPUTED_VALUE"""),"Sibyl")</x:f>
      </x:c>
      <x:c r="C5982" s="1">
        <x:f>IFERROR(__xludf.DUMMYFUNCTION("""COMPUTED_VALUE"""),"2019")</x:f>
      </x:c>
    </x:row>
    <x:row r="5983" spans="1:10">
      <x:c r="A5983" s="1" t="s">
        <x:v>5991</x:v>
      </x:c>
      <x:c r="B5983" s="1">
        <x:f>IFERROR(__xludf.DUMMYFUNCTION("""COMPUTED_VALUE"""),"Sica")</x:f>
      </x:c>
      <x:c r="C5983" s="1">
        <x:f>IFERROR(__xludf.DUMMYFUNCTION("""COMPUTED_VALUE"""),"2023")</x:f>
      </x:c>
    </x:row>
    <x:row r="5984" spans="1:10">
      <x:c r="A5984" s="1" t="s">
        <x:v>5992</x:v>
      </x:c>
      <x:c r="B5984" s="1">
        <x:f>IFERROR(__xludf.DUMMYFUNCTION("""COMPUTED_VALUE"""),"Sicari")</x:f>
      </x:c>
      <x:c r="C5984" s="1">
        <x:f>IFERROR(__xludf.DUMMYFUNCTION("""COMPUTED_VALUE"""),"2015")</x:f>
      </x:c>
    </x:row>
    <x:row r="5985" spans="1:10">
      <x:c r="A5985" s="1" t="s">
        <x:v>5993</x:v>
      </x:c>
      <x:c r="B5985" s="1">
        <x:f>IFERROR(__xludf.DUMMYFUNCTION("""COMPUTED_VALUE"""),"Sicko")</x:f>
      </x:c>
      <x:c r="C5985" s="1">
        <x:f>IFERROR(__xludf.DUMMYFUNCTION("""COMPUTED_VALUE"""),"2007")</x:f>
      </x:c>
    </x:row>
    <x:row r="5986" spans="1:10">
      <x:c r="A5986" s="1" t="s">
        <x:v>5994</x:v>
      </x:c>
      <x:c r="B5986" s="1">
        <x:f>IFERROR(__xludf.DUMMYFUNCTION("""COMPUTED_VALUE"""),"Sigues la meva veu")</x:f>
      </x:c>
      <x:c r="C5986" s="1">
        <x:f>IFERROR(__xludf.DUMMYFUNCTION("""COMPUTED_VALUE"""),"2021")</x:f>
      </x:c>
    </x:row>
    <x:row r="5987" spans="1:10">
      <x:c r="A5987" s="1" t="s">
        <x:v>5995</x:v>
      </x:c>
      <x:c r="B5987" s="1">
        <x:f>IFERROR(__xludf.DUMMYFUNCTION("""COMPUTED_VALUE"""),"Silenci d'amor")</x:f>
      </x:c>
      <x:c r="C5987" s="1">
        <x:f>IFERROR(__xludf.DUMMYFUNCTION("""COMPUTED_VALUE"""),"2011")</x:f>
      </x:c>
    </x:row>
    <x:row r="5988" spans="1:10">
      <x:c r="A5988" s="1" t="s">
        <x:v>5996</x:v>
      </x:c>
      <x:c r="B5988" s="1">
        <x:f>IFERROR(__xludf.DUMMYFUNCTION("""COMPUTED_VALUE"""),"Silenci de gel")</x:f>
      </x:c>
      <x:c r="C5988" s="1">
        <x:f>IFERROR(__xludf.DUMMYFUNCTION("""COMPUTED_VALUE"""),"2010")</x:f>
      </x:c>
    </x:row>
    <x:row r="5989" spans="1:10">
      <x:c r="A5989" s="1" t="s">
        <x:v>5997</x:v>
      </x:c>
      <x:c r="B5989" s="1">
        <x:f>IFERROR(__xludf.DUMMYFUNCTION("""COMPUTED_VALUE"""),"Silenci des del mal")</x:f>
      </x:c>
      <x:c r="C5989" s="1">
        <x:f>IFERROR(__xludf.DUMMYFUNCTION("""COMPUTED_VALUE"""),"2007")</x:f>
      </x:c>
    </x:row>
    <x:row r="5990" spans="1:10">
      <x:c r="A5990" s="1" t="s">
        <x:v>5998</x:v>
      </x:c>
      <x:c r="B5990" s="1">
        <x:f>IFERROR(__xludf.DUMMYFUNCTION("""COMPUTED_VALUE"""),"Silkwood")</x:f>
      </x:c>
      <x:c r="C5990" s="1">
        <x:f>IFERROR(__xludf.DUMMYFUNCTION("""COMPUTED_VALUE"""),"1983")</x:f>
      </x:c>
    </x:row>
    <x:row r="5991" spans="1:10">
      <x:c r="A5991" s="1" t="s">
        <x:v>5999</x:v>
      </x:c>
      <x:c r="B5991" s="1">
        <x:f>IFERROR(__xludf.DUMMYFUNCTION("""COMPUTED_VALUE"""),"Silvana [VOSC]")</x:f>
      </x:c>
      <x:c r="C5991" s="1">
        <x:f>IFERROR(__xludf.DUMMYFUNCTION("""COMPUTED_VALUE"""),"2017")</x:f>
      </x:c>
    </x:row>
    <x:row r="5992" spans="1:10">
      <x:c r="A5992" s="1" t="s">
        <x:v>6000</x:v>
      </x:c>
      <x:c r="B5992" s="1">
        <x:f>IFERROR(__xludf.DUMMYFUNCTION("""COMPUTED_VALUE"""),"Silver Lode")</x:f>
      </x:c>
      <x:c r="C5992" s="1">
        <x:f>IFERROR(__xludf.DUMMYFUNCTION("""COMPUTED_VALUE"""),"1954")</x:f>
      </x:c>
    </x:row>
    <x:row r="5993" spans="1:10">
      <x:c r="A5993" s="1" t="s">
        <x:v>6001</x:v>
      </x:c>
      <x:c r="B5993" s="1">
        <x:f>IFERROR(__xludf.DUMMYFUNCTION("""COMPUTED_VALUE"""),"Silverado")</x:f>
      </x:c>
      <x:c r="C5993" s="1">
        <x:f>IFERROR(__xludf.DUMMYFUNCTION("""COMPUTED_VALUE"""),"1985")</x:f>
      </x:c>
    </x:row>
    <x:row r="5994" spans="1:10">
      <x:c r="A5994" s="1" t="s">
        <x:v>6002</x:v>
      </x:c>
      <x:c r="B5994" s="1">
        <x:f>IFERROR(__xludf.DUMMYFUNCTION("""COMPUTED_VALUE"""),"Silvio (i els altres)")</x:f>
      </x:c>
      <x:c r="C5994" s="1">
        <x:f>IFERROR(__xludf.DUMMYFUNCTION("""COMPUTED_VALUE"""),"2018")</x:f>
      </x:c>
    </x:row>
    <x:row r="5995" spans="1:10">
      <x:c r="A5995" s="1" t="s">
        <x:v>6003</x:v>
      </x:c>
      <x:c r="B5995" s="1">
        <x:f>IFERROR(__xludf.DUMMYFUNCTION("""COMPUTED_VALUE"""),"Simbad i l'ull del tigre")</x:f>
      </x:c>
      <x:c r="C5995" s="1">
        <x:f>IFERROR(__xludf.DUMMYFUNCTION("""COMPUTED_VALUE"""),"1977")</x:f>
      </x:c>
    </x:row>
    <x:row r="5996" spans="1:10">
      <x:c r="A5996" s="1" t="s">
        <x:v>6004</x:v>
      </x:c>
      <x:c r="B5996" s="1">
        <x:f>IFERROR(__xludf.DUMMYFUNCTION("""COMPUTED_VALUE"""),"Simbad i la princesa")</x:f>
      </x:c>
      <x:c r="C5996" s="1">
        <x:f>IFERROR(__xludf.DUMMYFUNCTION("""COMPUTED_VALUE"""),"1958")</x:f>
      </x:c>
    </x:row>
    <x:row r="5997" spans="1:10">
      <x:c r="A5997" s="1" t="s">
        <x:v>6005</x:v>
      </x:c>
      <x:c r="B5997" s="1">
        <x:f>IFERROR(__xludf.DUMMYFUNCTION("""COMPUTED_VALUE"""),"Simbad, la llegenda dels set mars")</x:f>
      </x:c>
      <x:c r="C5997" s="1">
        <x:f>IFERROR(__xludf.DUMMYFUNCTION("""COMPUTED_VALUE"""),"2003")</x:f>
      </x:c>
    </x:row>
    <x:row r="5998" spans="1:10">
      <x:c r="A5998" s="1" t="s">
        <x:v>6006</x:v>
      </x:c>
      <x:c r="B5998" s="1">
        <x:f>IFERROR(__xludf.DUMMYFUNCTION("""COMPUTED_VALUE"""),"Simone, el viatge del segle")</x:f>
      </x:c>
      <x:c r="C5998" s="1">
        <x:f>IFERROR(__xludf.DUMMYFUNCTION("""COMPUTED_VALUE"""),"2022")</x:f>
      </x:c>
    </x:row>
    <x:row r="5999" spans="1:10">
      <x:c r="A5999" s="1" t="s">
        <x:v>6007</x:v>
      </x:c>
      <x:c r="B5999" s="1">
        <x:f>IFERROR(__xludf.DUMMYFUNCTION("""COMPUTED_VALUE"""),"Simple comme Sylvain")</x:f>
      </x:c>
      <x:c r="C5999" s="1">
        <x:f>IFERROR(__xludf.DUMMYFUNCTION("""COMPUTED_VALUE"""),"2023")</x:f>
      </x:c>
    </x:row>
    <x:row r="6000" spans="1:10">
      <x:c r="A6000" s="1" t="s">
        <x:v>6008</x:v>
      </x:c>
      <x:c r="B6000" s="1">
        <x:f>IFERROR(__xludf.DUMMYFUNCTION("""COMPUTED_VALUE"""),"Sinatra")</x:f>
      </x:c>
      <x:c r="C6000" s="1">
        <x:f>IFERROR(__xludf.DUMMYFUNCTION("""COMPUTED_VALUE"""),"1988")</x:f>
      </x:c>
    </x:row>
    <x:row r="6001" spans="1:10">
      <x:c r="A6001" s="1" t="s">
        <x:v>6009</x:v>
      </x:c>
      <x:c r="B6001" s="1">
        <x:f>IFERROR(__xludf.DUMMYFUNCTION("""COMPUTED_VALUE"""),"Singularitats d'una noia rossa")</x:f>
      </x:c>
      <x:c r="C6001" s="1">
        <x:f>IFERROR(__xludf.DUMMYFUNCTION("""COMPUTED_VALUE"""),"2009")</x:f>
      </x:c>
    </x:row>
    <x:row r="6002" spans="1:10">
      <x:c r="A6002" s="1" t="s">
        <x:v>6010</x:v>
      </x:c>
      <x:c r="B6002" s="1">
        <x:f>IFERROR(__xludf.DUMMYFUNCTION("""COMPUTED_VALUE"""),"Sinister")</x:f>
      </x:c>
      <x:c r="C6002" s="1">
        <x:f>IFERROR(__xludf.DUMMYFUNCTION("""COMPUTED_VALUE"""),"2012")</x:f>
      </x:c>
    </x:row>
    <x:row r="6003" spans="1:10">
      <x:c r="A6003" s="1" t="s">
        <x:v>6011</x:v>
      </x:c>
      <x:c r="B6003" s="1">
        <x:f>IFERROR(__xludf.DUMMYFUNCTION("""COMPUTED_VALUE"""),"Sinister 2")</x:f>
      </x:c>
      <x:c r="C6003" s="1">
        <x:f>IFERROR(__xludf.DUMMYFUNCTION("""COMPUTED_VALUE"""),"2015")</x:f>
      </x:c>
    </x:row>
    <x:row r="6004" spans="1:10">
      <x:c r="A6004" s="1" t="s">
        <x:v>6012</x:v>
      </x:c>
      <x:c r="B6004" s="1">
        <x:f>IFERROR(__xludf.DUMMYFUNCTION("""COMPUTED_VALUE"""),"Sinjar")</x:f>
      </x:c>
      <x:c r="C6004" s="1">
        <x:f>IFERROR(__xludf.DUMMYFUNCTION("""COMPUTED_VALUE"""),"2022")</x:f>
      </x:c>
    </x:row>
    <x:row r="6005" spans="1:10">
      <x:c r="A6005" s="1" t="s">
        <x:v>6013</x:v>
      </x:c>
      <x:c r="B6005" s="1">
        <x:f>IFERROR(__xludf.DUMMYFUNCTION("""COMPUTED_VALUE"""),"Sis dies corrents")</x:f>
      </x:c>
      <x:c r="C6005" s="1">
        <x:f>IFERROR(__xludf.DUMMYFUNCTION("""COMPUTED_VALUE"""),"2020")</x:f>
      </x:c>
    </x:row>
    <x:row r="6006" spans="1:10">
      <x:c r="A6006" s="1" t="s">
        <x:v>6014</x:v>
      </x:c>
      <x:c r="B6006" s="1">
        <x:f>IFERROR(__xludf.DUMMYFUNCTION("""COMPUTED_VALUE"""),"Sis nits d'agost")</x:f>
      </x:c>
      <x:c r="C6006" s="1">
        <x:f>IFERROR(__xludf.DUMMYFUNCTION("""COMPUTED_VALUE"""),"2022")</x:f>
      </x:c>
    </x:row>
    <x:row r="6007" spans="1:10">
      <x:c r="A6007" s="1" t="s">
        <x:v>6015</x:v>
      </x:c>
      <x:c r="B6007" s="1">
        <x:f>IFERROR(__xludf.DUMMYFUNCTION("""COMPUTED_VALUE"""),"Sissí")</x:f>
      </x:c>
      <x:c r="C6007" s="1">
        <x:f>IFERROR(__xludf.DUMMYFUNCTION("""COMPUTED_VALUE"""),"1955")</x:f>
      </x:c>
    </x:row>
    <x:row r="6008" spans="1:10">
      <x:c r="A6008" s="1" t="s">
        <x:v>6016</x:v>
      </x:c>
      <x:c r="B6008" s="1">
        <x:f>IFERROR(__xludf.DUMMYFUNCTION("""COMPUTED_VALUE"""),"Sissí, emperadriu")</x:f>
      </x:c>
      <x:c r="C6008" s="1">
        <x:f>IFERROR(__xludf.DUMMYFUNCTION("""COMPUTED_VALUE"""),"1956")</x:f>
      </x:c>
    </x:row>
    <x:row r="6009" spans="1:10">
      <x:c r="A6009" s="1" t="s">
        <x:v>6017</x:v>
      </x:c>
      <x:c r="B6009" s="1">
        <x:f>IFERROR(__xludf.DUMMYFUNCTION("""COMPUTED_VALUE"""),"Sit")</x:f>
      </x:c>
      <x:c r="C6009" s="1">
        <x:f>IFERROR(__xludf.DUMMYFUNCTION("""COMPUTED_VALUE"""),"2002")</x:f>
      </x:c>
    </x:row>
    <x:row r="6010" spans="1:10">
      <x:c r="A6010" s="1" t="s">
        <x:v>6018</x:v>
      </x:c>
      <x:c r="B6010" s="1">
        <x:f>IFERROR(__xludf.DUMMYFUNCTION("""COMPUTED_VALUE"""),"Situació Crítica: Apol·lo 13")</x:f>
      </x:c>
      <x:c r="C6010" s="1">
        <x:f>IFERROR(__xludf.DUMMYFUNCTION("""COMPUTED_VALUE"""),"2007")</x:f>
      </x:c>
    </x:row>
    <x:row r="6011" spans="1:10">
      <x:c r="A6011" s="1" t="s">
        <x:v>6019</x:v>
      </x:c>
      <x:c r="B6011" s="1">
        <x:f>IFERROR(__xludf.DUMMYFUNCTION("""COMPUTED_VALUE"""),"Sixena, pintures sentenciades")</x:f>
      </x:c>
      <x:c r="C6011" s="1">
        <x:f>IFERROR(__xludf.DUMMYFUNCTION("""COMPUTED_VALUE"""),"2025")</x:f>
      </x:c>
    </x:row>
    <x:row r="6012" spans="1:10">
      <x:c r="A6012" s="1" t="s">
        <x:v>6020</x:v>
      </x:c>
      <x:c r="B6012" s="1">
        <x:f>IFERROR(__xludf.DUMMYFUNCTION("""COMPUTED_VALUE"""),"Sketch. Compte amb el que dibuixes")</x:f>
      </x:c>
      <x:c r="C6012" s="1">
        <x:f>IFERROR(__xludf.DUMMYFUNCTION("""COMPUTED_VALUE"""),"2024")</x:f>
      </x:c>
    </x:row>
    <x:row r="6013" spans="1:10">
      <x:c r="A6013" s="1" t="s">
        <x:v>6021</x:v>
      </x:c>
      <x:c r="B6013" s="1">
        <x:f>IFERROR(__xludf.DUMMYFUNCTION("""COMPUTED_VALUE"""),"Sky Captain i el món del demà")</x:f>
      </x:c>
      <x:c r="C6013" s="1">
        <x:f>IFERROR(__xludf.DUMMYFUNCTION("""COMPUTED_VALUE"""),"2004")</x:f>
      </x:c>
    </x:row>
    <x:row r="6014" spans="1:10">
      <x:c r="A6014" s="1" t="s">
        <x:v>6022</x:v>
      </x:c>
      <x:c r="B6014" s="1">
        <x:f>IFERROR(__xludf.DUMMYFUNCTION("""COMPUTED_VALUE"""),"Skyfall")</x:f>
      </x:c>
      <x:c r="C6014" s="1">
        <x:f>IFERROR(__xludf.DUMMYFUNCTION("""COMPUTED_VALUE"""),"2012")</x:f>
      </x:c>
    </x:row>
    <x:row r="6015" spans="1:10">
      <x:c r="A6015" s="1" t="s">
        <x:v>6023</x:v>
      </x:c>
      <x:c r="B6015" s="1">
        <x:f>IFERROR(__xludf.DUMMYFUNCTION("""COMPUTED_VALUE"""),"Skyline")</x:f>
      </x:c>
      <x:c r="C6015" s="1">
        <x:f>IFERROR(__xludf.DUMMYFUNCTION("""COMPUTED_VALUE"""),"2010")</x:f>
      </x:c>
    </x:row>
    <x:row r="6016" spans="1:10">
      <x:c r="A6016" s="1" t="s">
        <x:v>6024</x:v>
      </x:c>
      <x:c r="B6016" s="1">
        <x:f>IFERROR(__xludf.DUMMYFUNCTION("""COMPUTED_VALUE"""),"Slastic")</x:f>
      </x:c>
      <x:c r="C6016" s="1">
        <x:f>IFERROR(__xludf.DUMMYFUNCTION("""COMPUTED_VALUE"""),"1986")</x:f>
      </x:c>
    </x:row>
    <x:row r="6017" spans="1:10">
      <x:c r="A6017" s="1" t="s">
        <x:v>6025</x:v>
      </x:c>
      <x:c r="B6017" s="1">
        <x:f>IFERROR(__xludf.DUMMYFUNCTION("""COMPUTED_VALUE"""),"Slumdog Millionaire")</x:f>
      </x:c>
      <x:c r="C6017" s="1">
        <x:f>IFERROR(__xludf.DUMMYFUNCTION("""COMPUTED_VALUE"""),"2008")</x:f>
      </x:c>
    </x:row>
    <x:row r="6018" spans="1:10">
      <x:c r="A6018" s="1" t="s">
        <x:v>6026</x:v>
      </x:c>
      <x:c r="B6018" s="1">
        <x:f>IFERROR(__xludf.DUMMYFUNCTION("""COMPUTED_VALUE"""),"Smallfoot")</x:f>
      </x:c>
      <x:c r="C6018" s="1">
        <x:f>IFERROR(__xludf.DUMMYFUNCTION("""COMPUTED_VALUE"""),"2018")</x:f>
      </x:c>
    </x:row>
    <x:row r="6019" spans="1:10">
      <x:c r="A6019" s="1" t="s">
        <x:v>6027</x:v>
      </x:c>
      <x:c r="B6019" s="1">
        <x:f>IFERROR(__xludf.DUMMYFUNCTION("""COMPUTED_VALUE"""),"Snatch (porcs i diamants)")</x:f>
      </x:c>
      <x:c r="C6019" s="1">
        <x:f>IFERROR(__xludf.DUMMYFUNCTION("""COMPUTED_VALUE"""),"2000")</x:f>
      </x:c>
    </x:row>
    <x:row r="6020" spans="1:10">
      <x:c r="A6020" s="1" t="s">
        <x:v>6028</x:v>
      </x:c>
      <x:c r="B6020" s="1">
        <x:f>IFERROR(__xludf.DUMMYFUNCTION("""COMPUTED_VALUE"""),"Snowboarder")</x:f>
      </x:c>
      <x:c r="C6020" s="1">
        <x:f>IFERROR(__xludf.DUMMYFUNCTION("""COMPUTED_VALUE"""),"2003")</x:f>
      </x:c>
    </x:row>
    <x:row r="6021" spans="1:10">
      <x:c r="A6021" s="1" t="s">
        <x:v>6029</x:v>
      </x:c>
      <x:c r="B6021" s="1">
        <x:f>IFERROR(__xludf.DUMMYFUNCTION("""COMPUTED_VALUE"""),"So Undercover")</x:f>
      </x:c>
      <x:c r="C6021" s="1">
        <x:f>IFERROR(__xludf.DUMMYFUNCTION("""COMPUTED_VALUE"""),"2012")</x:f>
      </x:c>
    </x:row>
    <x:row r="6022" spans="1:10">
      <x:c r="A6022" s="1" t="s">
        <x:v>6030</x:v>
      </x:c>
      <x:c r="B6022" s="1">
        <x:f>IFERROR(__xludf.DUMMYFUNCTION("""COMPUTED_VALUE"""),"Sobre la marxa")</x:f>
      </x:c>
      <x:c r="C6022" s="1">
        <x:f>IFERROR(__xludf.DUMMYFUNCTION("""COMPUTED_VALUE"""),"2013")</x:f>
      </x:c>
    </x:row>
    <x:row r="6023" spans="1:10">
      <x:c r="A6023" s="1" t="s">
        <x:v>6031</x:v>
      </x:c>
      <x:c r="B6023" s="1">
        <x:f>IFERROR(__xludf.DUMMYFUNCTION("""COMPUTED_VALUE"""),"Sobre la pista de la Pantera Rosa")</x:f>
      </x:c>
      <x:c r="C6023" s="1">
        <x:f>IFERROR(__xludf.DUMMYFUNCTION("""COMPUTED_VALUE"""),"1982")</x:f>
      </x:c>
    </x:row>
    <x:row r="6024" spans="1:10">
      <x:c r="A6024" s="1" t="s">
        <x:v>6032</x:v>
      </x:c>
      <x:c r="B6024" s="1">
        <x:f>IFERROR(__xludf.DUMMYFUNCTION("""COMPUTED_VALUE"""),"Sobre rodes")</x:f>
      </x:c>
      <x:c r="C6024" s="1">
        <x:f>IFERROR(__xludf.DUMMYFUNCTION("""COMPUTED_VALUE"""),"2018")</x:f>
      </x:c>
    </x:row>
    <x:row r="6025" spans="1:10">
      <x:c r="A6025" s="1" t="s">
        <x:v>6033</x:v>
      </x:c>
      <x:c r="B6025" s="1">
        <x:f>IFERROR(__xludf.DUMMYFUNCTION("""COMPUTED_VALUE"""),"Sobretot de nit")</x:f>
      </x:c>
      <x:c r="C6025" s="1">
        <x:f>IFERROR(__xludf.DUMMYFUNCTION("""COMPUTED_VALUE"""),"2023")</x:f>
      </x:c>
    </x:row>
    <x:row r="6026" spans="1:10">
      <x:c r="A6026" s="1" t="s">
        <x:v>6034</x:v>
      </x:c>
      <x:c r="B6026" s="1">
        <x:f>IFERROR(__xludf.DUMMYFUNCTION("""COMPUTED_VALUE"""),"Sobreviu aquesta nit")</x:f>
      </x:c>
      <x:c r="C6026" s="1">
        <x:f>IFERROR(__xludf.DUMMYFUNCTION("""COMPUTED_VALUE"""),"2020")</x:f>
      </x:c>
    </x:row>
    <x:row r="6027" spans="1:10">
      <x:c r="A6027" s="1" t="s">
        <x:v>6035</x:v>
      </x:c>
      <x:c r="B6027" s="1">
        <x:f>IFERROR(__xludf.DUMMYFUNCTION("""COMPUTED_VALUE"""),"Sobreviure al joc")</x:f>
      </x:c>
      <x:c r="C6027" s="1">
        <x:f>IFERROR(__xludf.DUMMYFUNCTION("""COMPUTED_VALUE"""),"2021")</x:f>
      </x:c>
    </x:row>
    <x:row r="6028" spans="1:10">
      <x:c r="A6028" s="1" t="s">
        <x:v>6036</x:v>
      </x:c>
      <x:c r="B6028" s="1">
        <x:f>IFERROR(__xludf.DUMMYFUNCTION("""COMPUTED_VALUE"""),"Sóc llegenda")</x:f>
      </x:c>
      <x:c r="C6028" s="1">
        <x:f>IFERROR(__xludf.DUMMYFUNCTION("""COMPUTED_VALUE"""),"2007")</x:f>
      </x:c>
    </x:row>
    <x:row r="6029" spans="1:10">
      <x:c r="A6029" s="1" t="s">
        <x:v>6037</x:v>
      </x:c>
      <x:c r="B6029" s="1">
        <x:f>IFERROR(__xludf.DUMMYFUNCTION("""COMPUTED_VALUE"""),"Sóc un cyborg [VOSC]")</x:f>
      </x:c>
      <x:c r="C6029" s="1">
        <x:f>IFERROR(__xludf.DUMMYFUNCTION("""COMPUTED_VALUE"""),"2006")</x:f>
      </x:c>
    </x:row>
    <x:row r="6030" spans="1:10">
      <x:c r="A6030" s="1" t="s">
        <x:v>6038</x:v>
      </x:c>
      <x:c r="B6030" s="1">
        <x:f>IFERROR(__xludf.DUMMYFUNCTION("""COMPUTED_VALUE"""),"Societat negra")</x:f>
      </x:c>
      <x:c r="C6030" s="1">
        <x:f>IFERROR(__xludf.DUMMYFUNCTION("""COMPUTED_VALUE"""),"2024")</x:f>
      </x:c>
    </x:row>
    <x:row r="6031" spans="1:10">
      <x:c r="A6031" s="1" t="s">
        <x:v>6039</x:v>
      </x:c>
      <x:c r="B6031" s="1">
        <x:f>IFERROR(__xludf.DUMMYFUNCTION("""COMPUTED_VALUE"""),"Socors! Sóc un peix")</x:f>
      </x:c>
      <x:c r="C6031" s="1">
        <x:f>IFERROR(__xludf.DUMMYFUNCTION("""COMPUTED_VALUE"""),"2000")</x:f>
      </x:c>
    </x:row>
    <x:row r="6032" spans="1:10">
      <x:c r="A6032" s="1" t="s">
        <x:v>6040</x:v>
      </x:c>
      <x:c r="B6032" s="1">
        <x:f>IFERROR(__xludf.DUMMYFUNCTION("""COMPUTED_VALUE"""),"Sodoma i Gomorra")</x:f>
      </x:c>
      <x:c r="C6032" s="1">
        <x:f>IFERROR(__xludf.DUMMYFUNCTION("""COMPUTED_VALUE"""),"1962")</x:f>
      </x:c>
    </x:row>
    <x:row r="6033" spans="1:10">
      <x:c r="A6033" s="1" t="s">
        <x:v>6041</x:v>
      </x:c>
      <x:c r="B6033" s="1">
        <x:f>IFERROR(__xludf.DUMMYFUNCTION("""COMPUTED_VALUE"""),"Sogra per sorpresa")</x:f>
      </x:c>
      <x:c r="C6033" s="1">
        <x:f>IFERROR(__xludf.DUMMYFUNCTION("""COMPUTED_VALUE"""),"2020")</x:f>
      </x:c>
    </x:row>
    <x:row r="6034" spans="1:10">
      <x:c r="A6034" s="1" t="s">
        <x:v>6042</x:v>
      </x:c>
      <x:c r="B6034" s="1">
        <x:f>IFERROR(__xludf.DUMMYFUNCTION("""COMPUTED_VALUE"""),"Sol a casa I")</x:f>
      </x:c>
      <x:c r="C6034" s="1">
        <x:f>IFERROR(__xludf.DUMMYFUNCTION("""COMPUTED_VALUE"""),"1990")</x:f>
      </x:c>
    </x:row>
    <x:row r="6035" spans="1:10">
      <x:c r="A6035" s="1" t="s">
        <x:v>6043</x:v>
      </x:c>
      <x:c r="B6035" s="1">
        <x:f>IFERROR(__xludf.DUMMYFUNCTION("""COMPUTED_VALUE"""),"Sol a casa II perdut a Nova York")</x:f>
      </x:c>
      <x:c r="C6035" s="1">
        <x:f>IFERROR(__xludf.DUMMYFUNCTION("""COMPUTED_VALUE"""),"1992")</x:f>
      </x:c>
    </x:row>
    <x:row r="6036" spans="1:10">
      <x:c r="A6036" s="1" t="s">
        <x:v>6044</x:v>
      </x:c>
      <x:c r="B6036" s="1">
        <x:f>IFERROR(__xludf.DUMMYFUNCTION("""COMPUTED_VALUE"""),"Sol a Groenlàndia")</x:f>
      </x:c>
      <x:c r="C6036" s="1">
        <x:f>IFERROR(__xludf.DUMMYFUNCTION("""COMPUTED_VALUE"""),"2024")</x:f>
      </x:c>
    </x:row>
    <x:row r="6037" spans="1:10">
      <x:c r="A6037" s="1" t="s">
        <x:v>6045</x:v>
      </x:c>
      <x:c r="B6037" s="1">
        <x:f>IFERROR(__xludf.DUMMYFUNCTION("""COMPUTED_VALUE"""),"Sol davant el perill")</x:f>
      </x:c>
      <x:c r="C6037" s="1">
        <x:f>IFERROR(__xludf.DUMMYFUNCTION("""COMPUTED_VALUE"""),"1952")</x:f>
      </x:c>
    </x:row>
    <x:row r="6038" spans="1:10">
      <x:c r="A6038" s="1" t="s">
        <x:v>6046</x:v>
      </x:c>
      <x:c r="B6038" s="1">
        <x:f>IFERROR(__xludf.DUMMYFUNCTION("""COMPUTED_VALUE"""),"Solan &amp; Eri, missió a la Lluna")</x:f>
      </x:c>
      <x:c r="C6038" s="1">
        <x:f>IFERROR(__xludf.DUMMYFUNCTION("""COMPUTED_VALUE"""),"2018")</x:f>
      </x:c>
    </x:row>
    <x:row r="6039" spans="1:10">
      <x:c r="A6039" s="1" t="s">
        <x:v>6047</x:v>
      </x:c>
      <x:c r="B6039" s="1">
        <x:f>IFERROR(__xludf.DUMMYFUNCTION("""COMPUTED_VALUE"""),"Solcant els mars")</x:f>
      </x:c>
      <x:c r="C6039" s="1">
        <x:f>IFERROR(__xludf.DUMMYFUNCTION("""COMPUTED_VALUE"""),"2018")</x:f>
      </x:c>
    </x:row>
    <x:row r="6040" spans="1:10">
      <x:c r="A6040" s="1" t="s">
        <x:v>6048</x:v>
      </x:c>
      <x:c r="B6040" s="1">
        <x:f>IFERROR(__xludf.DUMMYFUNCTION("""COMPUTED_VALUE"""),"Soldat blau")</x:f>
      </x:c>
      <x:c r="C6040" s="1">
        <x:f>IFERROR(__xludf.DUMMYFUNCTION("""COMPUTED_VALUE"""),"1970")</x:f>
      </x:c>
    </x:row>
    <x:row r="6041" spans="1:10">
      <x:c r="A6041" s="1" t="s">
        <x:v>6049</x:v>
      </x:c>
      <x:c r="B6041" s="1">
        <x:f>IFERROR(__xludf.DUMMYFUNCTION("""COMPUTED_VALUE"""),"Soldat Peaceful")</x:f>
      </x:c>
      <x:c r="C6041" s="1">
        <x:f>IFERROR(__xludf.DUMMYFUNCTION("""COMPUTED_VALUE"""),"2012")</x:f>
      </x:c>
    </x:row>
    <x:row r="6042" spans="1:10">
      <x:c r="A6042" s="1" t="s">
        <x:v>6050</x:v>
      </x:c>
      <x:c r="B6042" s="1">
        <x:f>IFERROR(__xludf.DUMMYFUNCTION("""COMPUTED_VALUE"""),"Soldat Universal II Germans d'armes")</x:f>
      </x:c>
      <x:c r="C6042" s="1">
        <x:f>IFERROR(__xludf.DUMMYFUNCTION("""COMPUTED_VALUE"""),"1998")</x:f>
      </x:c>
    </x:row>
    <x:row r="6043" spans="1:10">
      <x:c r="A6043" s="1" t="s">
        <x:v>6051</x:v>
      </x:c>
      <x:c r="B6043" s="1">
        <x:f>IFERROR(__xludf.DUMMYFUNCTION("""COMPUTED_VALUE"""),"Soldat Universal III: Assumptes pendents")</x:f>
      </x:c>
      <x:c r="C6043" s="1">
        <x:f>IFERROR(__xludf.DUMMYFUNCTION("""COMPUTED_VALUE"""),"1998")</x:f>
      </x:c>
    </x:row>
    <x:row r="6044" spans="1:10">
      <x:c r="A6044" s="1" t="s">
        <x:v>6052</x:v>
      </x:c>
      <x:c r="B6044" s="1">
        <x:f>IFERROR(__xludf.DUMMYFUNCTION("""COMPUTED_VALUE"""),"Soldat Universal: El retorn")</x:f>
      </x:c>
      <x:c r="C6044" s="1">
        <x:f>IFERROR(__xludf.DUMMYFUNCTION("""COMPUTED_VALUE"""),"1999")</x:f>
      </x:c>
    </x:row>
    <x:row r="6045" spans="1:10">
      <x:c r="A6045" s="1" t="s">
        <x:v>6053</x:v>
      </x:c>
      <x:c r="B6045" s="1">
        <x:f>IFERROR(__xludf.DUMMYFUNCTION("""COMPUTED_VALUE"""),"Soldats de gel")</x:f>
      </x:c>
      <x:c r="C6045" s="1">
        <x:f>IFERROR(__xludf.DUMMYFUNCTION("""COMPUTED_VALUE"""),"2013")</x:f>
      </x:c>
    </x:row>
    <x:row r="6046" spans="1:10">
      <x:c r="A6046" s="1" t="s">
        <x:v>6054</x:v>
      </x:c>
      <x:c r="B6046" s="1">
        <x:f>IFERROR(__xludf.DUMMYFUNCTION("""COMPUTED_VALUE"""),"Soldats de Salamina")</x:f>
      </x:c>
      <x:c r="C6046" s="1">
        <x:f>IFERROR(__xludf.DUMMYFUNCTION("""COMPUTED_VALUE"""),"2003")</x:f>
      </x:c>
    </x:row>
    <x:row r="6047" spans="1:10">
      <x:c r="A6047" s="1" t="s">
        <x:v>6055</x:v>
      </x:c>
      <x:c r="B6047" s="1">
        <x:f>IFERROR(__xludf.DUMMYFUNCTION("""COMPUTED_VALUE"""),"Solitary Man")</x:f>
      </x:c>
      <x:c r="C6047" s="1">
        <x:f>IFERROR(__xludf.DUMMYFUNCTION("""COMPUTED_VALUE"""),"2009")</x:f>
      </x:c>
    </x:row>
    <x:row r="6048" spans="1:10">
      <x:c r="A6048" s="1" t="s">
        <x:v>6056</x:v>
      </x:c>
      <x:c r="B6048" s="1">
        <x:f>IFERROR(__xludf.DUMMYFUNCTION("""COMPUTED_VALUE"""),"Solitud")</x:f>
      </x:c>
      <x:c r="C6048" s="1">
        <x:f>IFERROR(__xludf.DUMMYFUNCTION("""COMPUTED_VALUE"""),"1991")</x:f>
      </x:c>
    </x:row>
    <x:row r="6049" spans="1:10">
      <x:c r="A6049" s="1" t="s">
        <x:v>6057</x:v>
      </x:c>
      <x:c r="B6049" s="1">
        <x:f>IFERROR(__xludf.DUMMYFUNCTION("""COMPUTED_VALUE"""),"Solitud")</x:f>
      </x:c>
      <x:c r="C6049" s="1">
        <x:f>IFERROR(__xludf.DUMMYFUNCTION("""COMPUTED_VALUE"""),"2021")</x:f>
      </x:c>
    </x:row>
    <x:row r="6050" spans="1:10">
      <x:c r="A6050" s="1" t="s">
        <x:v>6058</x:v>
      </x:c>
      <x:c r="B6050" s="1">
        <x:f>IFERROR(__xludf.DUMMYFUNCTION("""COMPUTED_VALUE"""),"Solo, el destructor")</x:f>
      </x:c>
      <x:c r="C6050" s="1">
        <x:f>IFERROR(__xludf.DUMMYFUNCTION("""COMPUTED_VALUE"""),"1996")</x:f>
      </x:c>
    </x:row>
    <x:row r="6051" spans="1:10">
      <x:c r="A6051" s="1" t="s">
        <x:v>6059</x:v>
      </x:c>
      <x:c r="B6051" s="1">
        <x:f>IFERROR(__xludf.DUMMYFUNCTION("""COMPUTED_VALUE"""),"Solomon Kane")</x:f>
      </x:c>
      <x:c r="C6051" s="1">
        <x:f>IFERROR(__xludf.DUMMYFUNCTION("""COMPUTED_VALUE"""),"2009")</x:f>
      </x:c>
    </x:row>
    <x:row r="6052" spans="1:10">
      <x:c r="A6052" s="1" t="s">
        <x:v>6060</x:v>
      </x:c>
      <x:c r="B6052" s="1">
        <x:f>IFERROR(__xludf.DUMMYFUNCTION("""COMPUTED_VALUE"""),"Som els Miller")</x:f>
      </x:c>
      <x:c r="C6052" s="1">
        <x:f>IFERROR(__xludf.DUMMYFUNCTION("""COMPUTED_VALUE"""),"2013")</x:f>
      </x:c>
    </x:row>
    <x:row r="6053" spans="1:10">
      <x:c r="A6053" s="1" t="s">
        <x:v>6061</x:v>
      </x:c>
      <x:c r="B6053" s="1">
        <x:f>IFERROR(__xludf.DUMMYFUNCTION("""COMPUTED_VALUE"""),"Som gent honrada")</x:f>
      </x:c>
      <x:c r="C6053" s="1">
        <x:f>IFERROR(__xludf.DUMMYFUNCTION("""COMPUTED_VALUE"""),"2013")</x:f>
      </x:c>
    </x:row>
    <x:row r="6054" spans="1:10">
      <x:c r="A6054" s="1" t="s">
        <x:v>6062</x:v>
      </x:c>
      <x:c r="B6054" s="1">
        <x:f>IFERROR(__xludf.DUMMYFUNCTION("""COMPUTED_VALUE"""),"Somewhere")</x:f>
      </x:c>
      <x:c r="C6054" s="1">
        <x:f>IFERROR(__xludf.DUMMYFUNCTION("""COMPUTED_VALUE"""),"2010")</x:f>
      </x:c>
    </x:row>
    <x:row r="6055" spans="1:10">
      <x:c r="A6055" s="1" t="s">
        <x:v>6063</x:v>
      </x:c>
      <x:c r="B6055" s="1">
        <x:f>IFERROR(__xludf.DUMMYFUNCTION("""COMPUTED_VALUE"""),"Somiar un país, construir un somni.")</x:f>
      </x:c>
      <x:c r="C6055" s="1">
        <x:f>IFERROR(__xludf.DUMMYFUNCTION("""COMPUTED_VALUE"""),"2013")</x:f>
      </x:c>
    </x:row>
    <x:row r="6056" spans="1:10">
      <x:c r="A6056" s="1" t="s">
        <x:v>6064</x:v>
      </x:c>
      <x:c r="B6056" s="1">
        <x:f>IFERROR(__xludf.DUMMYFUNCTION("""COMPUTED_VALUE"""),"Sommersby")</x:f>
      </x:c>
      <x:c r="C6056" s="1">
        <x:f>IFERROR(__xludf.DUMMYFUNCTION("""COMPUTED_VALUE"""),"1993")</x:f>
      </x:c>
    </x:row>
    <x:row r="6057" spans="1:10">
      <x:c r="A6057" s="1" t="s">
        <x:v>6065</x:v>
      </x:c>
      <x:c r="B6057" s="1">
        <x:f>IFERROR(__xludf.DUMMYFUNCTION("""COMPUTED_VALUE"""),"Somni i silenci")</x:f>
      </x:c>
      <x:c r="C6057" s="1">
        <x:f>IFERROR(__xludf.DUMMYFUNCTION("""COMPUTED_VALUE"""),"2012")</x:f>
      </x:c>
    </x:row>
    <x:row r="6058" spans="1:10">
      <x:c r="A6058" s="1" t="s">
        <x:v>6066</x:v>
      </x:c>
      <x:c r="B6058" s="1">
        <x:f>IFERROR(__xludf.DUMMYFUNCTION("""COMPUTED_VALUE"""),"Somnis a Oslo")</x:f>
      </x:c>
      <x:c r="C6058" s="1">
        <x:f>IFERROR(__xludf.DUMMYFUNCTION("""COMPUTED_VALUE"""),"2024")</x:f>
      </x:c>
    </x:row>
    <x:row r="6059" spans="1:10">
      <x:c r="A6059" s="1" t="s">
        <x:v>6067</x:v>
      </x:c>
      <x:c r="B6059" s="1">
        <x:f>IFERROR(__xludf.DUMMYFUNCTION("""COMPUTED_VALUE"""),"Somnis d'una escriptora a Nova York")</x:f>
      </x:c>
      <x:c r="C6059" s="1">
        <x:f>IFERROR(__xludf.DUMMYFUNCTION("""COMPUTED_VALUE"""),"2020")</x:f>
      </x:c>
    </x:row>
    <x:row r="6060" spans="1:10">
      <x:c r="A6060" s="1" t="s">
        <x:v>6068</x:v>
      </x:c>
      <x:c r="B6060" s="1">
        <x:f>IFERROR(__xludf.DUMMYFUNCTION("""COMPUTED_VALUE"""),"Son &amp; Moon, diari d'un astronauta [VOSC]")</x:f>
      </x:c>
      <x:c r="C6060" s="1">
        <x:f>IFERROR(__xludf.DUMMYFUNCTION("""COMPUTED_VALUE"""),"2009")</x:f>
      </x:c>
    </x:row>
    <x:row r="6061" spans="1:10">
      <x:c r="A6061" s="1" t="s">
        <x:v>6069</x:v>
      </x:c>
      <x:c r="B6061" s="1">
        <x:f>IFERROR(__xludf.DUMMYFUNCTION("""COMPUTED_VALUE"""),"Són dins")</x:f>
      </x:c>
      <x:c r="C6061" s="1">
        <x:f>IFERROR(__xludf.DUMMYFUNCTION("""COMPUTED_VALUE"""),"2000")</x:f>
      </x:c>
    </x:row>
    <x:row r="6062" spans="1:10">
      <x:c r="A6062" s="1" t="s">
        <x:v>6070</x:v>
      </x:c>
      <x:c r="B6062" s="1">
        <x:f>IFERROR(__xludf.DUMMYFUNCTION("""COMPUTED_VALUE"""),"Son of the macho dancer")</x:f>
      </x:c>
      <x:c r="C6062" s="1">
        <x:f>IFERROR(__xludf.DUMMYFUNCTION("""COMPUTED_VALUE"""),"2021")</x:f>
      </x:c>
    </x:row>
    <x:row r="6063" spans="1:10">
      <x:c r="A6063" s="1" t="s">
        <x:v>6071</x:v>
      </x:c>
      <x:c r="B6063" s="1">
        <x:f>IFERROR(__xludf.DUMMYFUNCTION("""COMPUTED_VALUE"""),"Sonata per a violoncel")</x:f>
      </x:c>
      <x:c r="C6063" s="1">
        <x:f>IFERROR(__xludf.DUMMYFUNCTION("""COMPUTED_VALUE"""),"2015")</x:f>
      </x:c>
    </x:row>
    <x:row r="6064" spans="1:10">
      <x:c r="A6064" s="1" t="s">
        <x:v>6072</x:v>
      </x:c>
      <x:c r="B6064" s="1">
        <x:f>IFERROR(__xludf.DUMMYFUNCTION("""COMPUTED_VALUE"""),"Sopa de Cabra - El Retorn")</x:f>
      </x:c>
      <x:c r="C6064" s="1">
        <x:f>IFERROR(__xludf.DUMMYFUNCTION("""COMPUTED_VALUE"""),"2011")</x:f>
      </x:c>
    </x:row>
    <x:row r="6065" spans="1:10">
      <x:c r="A6065" s="1" t="s">
        <x:v>6073</x:v>
      </x:c>
      <x:c r="B6065" s="1">
        <x:f>IFERROR(__xludf.DUMMYFUNCTION("""COMPUTED_VALUE"""),"Sopar d'amics")</x:f>
      </x:c>
      <x:c r="C6065" s="1">
        <x:f>IFERROR(__xludf.DUMMYFUNCTION("""COMPUTED_VALUE"""),"2009")</x:f>
      </x:c>
    </x:row>
    <x:row r="6066" spans="1:10">
      <x:c r="A6066" s="1" t="s">
        <x:v>6074</x:v>
      </x:c>
      <x:c r="B6066" s="1">
        <x:f>IFERROR(__xludf.DUMMYFUNCTION("""COMPUTED_VALUE"""),"Sorry We Missed You")</x:f>
      </x:c>
      <x:c r="C6066" s="1">
        <x:f>IFERROR(__xludf.DUMMYFUNCTION("""COMPUTED_VALUE"""),"2019")</x:f>
      </x:c>
    </x:row>
    <x:row r="6067" spans="1:10">
      <x:c r="A6067" s="1" t="s">
        <x:v>6075</x:v>
      </x:c>
      <x:c r="B6067" s="1">
        <x:f>IFERROR(__xludf.DUMMYFUNCTION("""COMPUTED_VALUE"""),"Sortir dels marges")</x:f>
      </x:c>
      <x:c r="C6067" s="1">
        <x:f>IFERROR(__xludf.DUMMYFUNCTION("""COMPUTED_VALUE"""),"2026")</x:f>
      </x:c>
    </x:row>
    <x:row r="6068" spans="1:10">
      <x:c r="A6068" s="1" t="s">
        <x:v>6076</x:v>
      </x:c>
      <x:c r="B6068" s="1">
        <x:f>IFERROR(__xludf.DUMMYFUNCTION("""COMPUTED_VALUE"""),"Sospitós zero")</x:f>
      </x:c>
      <x:c r="C6068" s="1">
        <x:f>IFERROR(__xludf.DUMMYFUNCTION("""COMPUTED_VALUE"""),"2004")</x:f>
      </x:c>
    </x:row>
    <x:row r="6069" spans="1:10">
      <x:c r="A6069" s="1" t="s">
        <x:v>6077</x:v>
      </x:c>
      <x:c r="B6069" s="1">
        <x:f>IFERROR(__xludf.DUMMYFUNCTION("""COMPUTED_VALUE"""),"Sota amenaça")</x:f>
      </x:c>
      <x:c r="C6069" s="1">
        <x:f>IFERROR(__xludf.DUMMYFUNCTION("""COMPUTED_VALUE"""),"2011")</x:f>
      </x:c>
    </x:row>
    <x:row r="6070" spans="1:10">
      <x:c r="A6070" s="1" t="s">
        <x:v>6078</x:v>
      </x:c>
      <x:c r="B6070" s="1">
        <x:f>IFERROR(__xludf.DUMMYFUNCTION("""COMPUTED_VALUE"""),"Sota el mateix cel")</x:f>
      </x:c>
      <x:c r="C6070" s="1">
        <x:f>IFERROR(__xludf.DUMMYFUNCTION("""COMPUTED_VALUE"""),"2008")</x:f>
      </x:c>
    </x:row>
    <x:row r="6071" spans="1:10">
      <x:c r="A6071" s="1" t="s">
        <x:v>6079</x:v>
      </x:c>
      <x:c r="B6071" s="1">
        <x:f>IFERROR(__xludf.DUMMYFUNCTION("""COMPUTED_VALUE"""),"Sota el signe d'Anglaterra")</x:f>
      </x:c>
      <x:c r="C6071" s="1">
        <x:f>IFERROR(__xludf.DUMMYFUNCTION("""COMPUTED_VALUE"""),"1973")</x:f>
      </x:c>
    </x:row>
    <x:row r="6072" spans="1:10">
      <x:c r="A6072" s="1" t="s">
        <x:v>6080</x:v>
      </x:c>
      <x:c r="B6072" s="1">
        <x:f>IFERROR(__xludf.DUMMYFUNCTION("""COMPUTED_VALUE"""),"Sota el volcà")</x:f>
      </x:c>
      <x:c r="C6072" s="1">
        <x:f>IFERROR(__xludf.DUMMYFUNCTION("""COMPUTED_VALUE"""),"1984")</x:f>
      </x:c>
    </x:row>
    <x:row r="6073" spans="1:10">
      <x:c r="A6073" s="1" t="s">
        <x:v>6081</x:v>
      </x:c>
      <x:c r="B6073" s="1">
        <x:f>IFERROR(__xludf.DUMMYFUNCTION("""COMPUTED_VALUE"""),"Sota l'aigua tranquil·la")</x:f>
      </x:c>
      <x:c r="C6073" s="1">
        <x:f>IFERROR(__xludf.DUMMYFUNCTION("""COMPUTED_VALUE"""),"2005")</x:f>
      </x:c>
    </x:row>
    <x:row r="6074" spans="1:10">
      <x:c r="A6074" s="1" t="s">
        <x:v>6082</x:v>
      </x:c>
      <x:c r="B6074" s="1">
        <x:f>IFERROR(__xludf.DUMMYFUNCTION("""COMPUTED_VALUE"""),"Sota la superfície")</x:f>
      </x:c>
      <x:c r="C6074" s="1">
        <x:f>IFERROR(__xludf.DUMMYFUNCTION("""COMPUTED_VALUE"""),"2019")</x:f>
      </x:c>
    </x:row>
    <x:row r="6075" spans="1:10">
      <x:c r="A6075" s="1" t="s">
        <x:v>6083</x:v>
      </x:c>
      <x:c r="B6075" s="1">
        <x:f>IFERROR(__xludf.DUMMYFUNCTION("""COMPUTED_VALUE"""),"Sota les estrelles de París")</x:f>
      </x:c>
      <x:c r="C6075" s="1">
        <x:f>IFERROR(__xludf.DUMMYFUNCTION("""COMPUTED_VALUE"""),"2020")</x:f>
      </x:c>
    </x:row>
    <x:row r="6076" spans="1:10">
      <x:c r="A6076" s="1" t="s">
        <x:v>6084</x:v>
      </x:c>
      <x:c r="B6076" s="1">
        <x:f>IFERROR(__xludf.DUMMYFUNCTION("""COMPUTED_VALUE"""),"Sota sospita")</x:f>
      </x:c>
      <x:c r="C6076" s="1">
        <x:f>IFERROR(__xludf.DUMMYFUNCTION("""COMPUTED_VALUE"""),"1982")</x:f>
      </x:c>
    </x:row>
    <x:row r="6077" spans="1:10">
      <x:c r="A6077" s="1" t="s">
        <x:v>6085</x:v>
      </x:c>
      <x:c r="B6077" s="1">
        <x:f>IFERROR(__xludf.DUMMYFUNCTION("""COMPUTED_VALUE"""),"Sota un cel tòxic")</x:f>
      </x:c>
      <x:c r="C6077" s="1">
        <x:f>IFERROR(__xludf.DUMMYFUNCTION("""COMPUTED_VALUE"""),"2023")</x:f>
      </x:c>
    </x:row>
    <x:row r="6078" spans="1:10">
      <x:c r="A6078" s="1" t="s">
        <x:v>6086</x:v>
      </x:c>
      <x:c r="B6078" s="1">
        <x:f>IFERROR(__xludf.DUMMYFUNCTION("""COMPUTED_VALUE"""),"Sota una altra bandera")</x:f>
      </x:c>
      <x:c r="C6078" s="1">
        <x:f>IFERROR(__xludf.DUMMYFUNCTION("""COMPUTED_VALUE"""),"1990")</x:f>
      </x:c>
    </x:row>
    <x:row r="6079" spans="1:10">
      <x:c r="A6079" s="1" t="s">
        <x:v>6087</x:v>
      </x:c>
      <x:c r="B6079" s="1">
        <x:f>IFERROR(__xludf.DUMMYFUNCTION("""COMPUTED_VALUE"""),"Sotazero")</x:f>
      </x:c>
      <x:c r="C6079" s="1">
        <x:f>IFERROR(__xludf.DUMMYFUNCTION("""COMPUTED_VALUE"""),"2021")</x:f>
      </x:c>
    </x:row>
    <x:row r="6080" spans="1:10">
      <x:c r="A6080" s="1" t="s">
        <x:v>6088</x:v>
      </x:c>
      <x:c r="B6080" s="1">
        <x:f>IFERROR(__xludf.DUMMYFUNCTION("""COMPUTED_VALUE"""),"Soul")</x:f>
      </x:c>
      <x:c r="C6080" s="1">
        <x:f>IFERROR(__xludf.DUMMYFUNCTION("""COMPUTED_VALUE"""),"2020")</x:f>
      </x:c>
    </x:row>
    <x:row r="6081" spans="1:10">
      <x:c r="A6081" s="1" t="s">
        <x:v>6089</x:v>
      </x:c>
      <x:c r="B6081" s="1">
        <x:f>IFERROR(__xludf.DUMMYFUNCTION("""COMPUTED_VALUE"""),"Souvenir")</x:f>
      </x:c>
      <x:c r="C6081" s="1">
        <x:f>IFERROR(__xludf.DUMMYFUNCTION("""COMPUTED_VALUE"""),"1994")</x:f>
      </x:c>
    </x:row>
    <x:row r="6082" spans="1:10">
      <x:c r="A6082" s="1" t="s">
        <x:v>6090</x:v>
      </x:c>
      <x:c r="B6082" s="1">
        <x:f>IFERROR(__xludf.DUMMYFUNCTION("""COMPUTED_VALUE"""),"Soy Cuba. El mamut siberià [VOSC]")</x:f>
      </x:c>
      <x:c r="C6082" s="1">
        <x:f>IFERROR(__xludf.DUMMYFUNCTION("""COMPUTED_VALUE"""),"2004")</x:f>
      </x:c>
    </x:row>
    <x:row r="6083" spans="1:10">
      <x:c r="A6083" s="1" t="s">
        <x:v>6091</x:v>
      </x:c>
      <x:c r="B6083" s="1">
        <x:f>IFERROR(__xludf.DUMMYFUNCTION("""COMPUTED_VALUE"""),"Soylent Green")</x:f>
      </x:c>
      <x:c r="C6083" s="1">
        <x:f>IFERROR(__xludf.DUMMYFUNCTION("""COMPUTED_VALUE"""),"1973")</x:f>
      </x:c>
    </x:row>
    <x:row r="6084" spans="1:10">
      <x:c r="A6084" s="1" t="s">
        <x:v>6092</x:v>
      </x:c>
      <x:c r="B6084" s="1">
        <x:f>IFERROR(__xludf.DUMMYFUNCTION("""COMPUTED_VALUE"""),"Space Chimps - Missió espacial")</x:f>
      </x:c>
      <x:c r="C6084" s="1">
        <x:f>IFERROR(__xludf.DUMMYFUNCTION("""COMPUTED_VALUE"""),"2008")</x:f>
      </x:c>
    </x:row>
    <x:row r="6085" spans="1:10">
      <x:c r="A6085" s="1" t="s">
        <x:v>6093</x:v>
      </x:c>
      <x:c r="B6085" s="1">
        <x:f>IFERROR(__xludf.DUMMYFUNCTION("""COMPUTED_VALUE"""),"Space Cowboys")</x:f>
      </x:c>
      <x:c r="C6085" s="1">
        <x:f>IFERROR(__xludf.DUMMYFUNCTION("""COMPUTED_VALUE"""),"2000")</x:f>
      </x:c>
    </x:row>
    <x:row r="6086" spans="1:10">
      <x:c r="A6086" s="1" t="s">
        <x:v>6094</x:v>
      </x:c>
      <x:c r="B6086" s="1">
        <x:f>IFERROR(__xludf.DUMMYFUNCTION("""COMPUTED_VALUE"""),"Space Jam")</x:f>
      </x:c>
      <x:c r="C6086" s="1">
        <x:f>IFERROR(__xludf.DUMMYFUNCTION("""COMPUTED_VALUE"""),"1996")</x:f>
      </x:c>
    </x:row>
    <x:row r="6087" spans="1:10">
      <x:c r="A6087" s="1" t="s">
        <x:v>6095</x:v>
      </x:c>
      <x:c r="B6087" s="1">
        <x:f>IFERROR(__xludf.DUMMYFUNCTION("""COMPUTED_VALUE"""),"Space Jam: Noves llegendes")</x:f>
      </x:c>
      <x:c r="C6087" s="1">
        <x:f>IFERROR(__xludf.DUMMYFUNCTION("""COMPUTED_VALUE"""),"2021")</x:f>
      </x:c>
    </x:row>
    <x:row r="6088" spans="1:10">
      <x:c r="A6088" s="1" t="s">
        <x:v>6096</x:v>
      </x:c>
      <x:c r="B6088" s="1">
        <x:f>IFERROR(__xludf.DUMMYFUNCTION("""COMPUTED_VALUE"""),"Spark, una aventura espacial")</x:f>
      </x:c>
      <x:c r="C6088" s="1">
        <x:f>IFERROR(__xludf.DUMMYFUNCTION("""COMPUTED_VALUE"""),"2016")</x:f>
      </x:c>
    </x:row>
    <x:row r="6089" spans="1:10">
      <x:c r="A6089" s="1" t="s">
        <x:v>6097</x:v>
      </x:c>
      <x:c r="B6089" s="1">
        <x:f>IFERROR(__xludf.DUMMYFUNCTION("""COMPUTED_VALUE"""),"Sparrows (Pardals)")</x:f>
      </x:c>
      <x:c r="C6089" s="1">
        <x:f>IFERROR(__xludf.DUMMYFUNCTION("""COMPUTED_VALUE"""),"2015")</x:f>
      </x:c>
    </x:row>
    <x:row r="6090" spans="1:10">
      <x:c r="A6090" s="1" t="s">
        <x:v>6098</x:v>
      </x:c>
      <x:c r="B6090" s="1">
        <x:f>IFERROR(__xludf.DUMMYFUNCTION("""COMPUTED_VALUE"""),"Spawn")</x:f>
      </x:c>
      <x:c r="C6090" s="1">
        <x:f>IFERROR(__xludf.DUMMYFUNCTION("""COMPUTED_VALUE"""),"1997")</x:f>
      </x:c>
    </x:row>
    <x:row r="6091" spans="1:10">
      <x:c r="A6091" s="1" t="s">
        <x:v>6099</x:v>
      </x:c>
      <x:c r="B6091" s="1">
        <x:f>IFERROR(__xludf.DUMMYFUNCTION("""COMPUTED_VALUE"""),"Species 1: Espècie mortal")</x:f>
      </x:c>
      <x:c r="C6091" s="1">
        <x:f>IFERROR(__xludf.DUMMYFUNCTION("""COMPUTED_VALUE"""),"1995")</x:f>
      </x:c>
    </x:row>
    <x:row r="6092" spans="1:10">
      <x:c r="A6092" s="1" t="s">
        <x:v>6100</x:v>
      </x:c>
      <x:c r="B6092" s="1">
        <x:f>IFERROR(__xludf.DUMMYFUNCTION("""COMPUTED_VALUE"""),"Species 2: Espècie mortal 2")</x:f>
      </x:c>
      <x:c r="C6092" s="1">
        <x:f>IFERROR(__xludf.DUMMYFUNCTION("""COMPUTED_VALUE"""),"1998")</x:f>
      </x:c>
    </x:row>
    <x:row r="6093" spans="1:10">
      <x:c r="A6093" s="1" t="s">
        <x:v>6101</x:v>
      </x:c>
      <x:c r="B6093" s="1">
        <x:f>IFERROR(__xludf.DUMMYFUNCTION("""COMPUTED_VALUE"""),"Spectre")</x:f>
      </x:c>
      <x:c r="C6093" s="1">
        <x:f>IFERROR(__xludf.DUMMYFUNCTION("""COMPUTED_VALUE"""),"2015")</x:f>
      </x:c>
    </x:row>
    <x:row r="6094" spans="1:10">
      <x:c r="A6094" s="1" t="s">
        <x:v>6102</x:v>
      </x:c>
      <x:c r="B6094" s="1">
        <x:f>IFERROR(__xludf.DUMMYFUNCTION("""COMPUTED_VALUE"""),"Speed")</x:f>
      </x:c>
      <x:c r="C6094" s="1">
        <x:f>IFERROR(__xludf.DUMMYFUNCTION("""COMPUTED_VALUE"""),"1994")</x:f>
      </x:c>
    </x:row>
    <x:row r="6095" spans="1:10">
      <x:c r="A6095" s="1" t="s">
        <x:v>6103</x:v>
      </x:c>
      <x:c r="B6095" s="1">
        <x:f>IFERROR(__xludf.DUMMYFUNCTION("""COMPUTED_VALUE"""),"Speed Racer")</x:f>
      </x:c>
      <x:c r="C6095" s="1">
        <x:f>IFERROR(__xludf.DUMMYFUNCTION("""COMPUTED_VALUE"""),"2008")</x:f>
      </x:c>
    </x:row>
    <x:row r="6096" spans="1:10">
      <x:c r="A6096" s="1" t="s">
        <x:v>6104</x:v>
      </x:c>
      <x:c r="B6096" s="1">
        <x:f>IFERROR(__xludf.DUMMYFUNCTION("""COMPUTED_VALUE"""),"Spider-Man: creuant el Multivers")</x:f>
      </x:c>
      <x:c r="C6096" s="1">
        <x:f>IFERROR(__xludf.DUMMYFUNCTION("""COMPUTED_VALUE"""),"2023")</x:f>
      </x:c>
    </x:row>
    <x:row r="6097" spans="1:10">
      <x:c r="A6097" s="1" t="s">
        <x:v>6105</x:v>
      </x:c>
      <x:c r="B6097" s="1">
        <x:f>IFERROR(__xludf.DUMMYFUNCTION("""COMPUTED_VALUE"""),"Spider-Man. Un nou univers")</x:f>
      </x:c>
      <x:c r="C6097" s="1">
        <x:f>IFERROR(__xludf.DUMMYFUNCTION("""COMPUTED_VALUE"""),"2018")</x:f>
      </x:c>
    </x:row>
    <x:row r="6098" spans="1:10">
      <x:c r="A6098" s="1" t="s">
        <x:v>6106</x:v>
      </x:c>
      <x:c r="B6098" s="1">
        <x:f>IFERROR(__xludf.DUMMYFUNCTION("""COMPUTED_VALUE"""),"Spiderman I")</x:f>
      </x:c>
      <x:c r="C6098" s="1">
        <x:f>IFERROR(__xludf.DUMMYFUNCTION("""COMPUTED_VALUE"""),"2002")</x:f>
      </x:c>
    </x:row>
    <x:row r="6099" spans="1:10">
      <x:c r="A6099" s="1" t="s">
        <x:v>6107</x:v>
      </x:c>
      <x:c r="B6099" s="1">
        <x:f>IFERROR(__xludf.DUMMYFUNCTION("""COMPUTED_VALUE"""),"Spiderman II")</x:f>
      </x:c>
      <x:c r="C6099" s="1">
        <x:f>IFERROR(__xludf.DUMMYFUNCTION("""COMPUTED_VALUE"""),"2004")</x:f>
      </x:c>
    </x:row>
    <x:row r="6100" spans="1:10">
      <x:c r="A6100" s="1" t="s">
        <x:v>6108</x:v>
      </x:c>
      <x:c r="B6100" s="1">
        <x:f>IFERROR(__xludf.DUMMYFUNCTION("""COMPUTED_VALUE"""),"Spiderman III")</x:f>
      </x:c>
      <x:c r="C6100" s="1">
        <x:f>IFERROR(__xludf.DUMMYFUNCTION("""COMPUTED_VALUE"""),"2007")</x:f>
      </x:c>
    </x:row>
    <x:row r="6101" spans="1:10">
      <x:c r="A6101" s="1" t="s">
        <x:v>6109</x:v>
      </x:c>
      <x:c r="B6101" s="1">
        <x:f>IFERROR(__xludf.DUMMYFUNCTION("""COMPUTED_VALUE"""),"Spielzeugland [VOSC]")</x:f>
      </x:c>
      <x:c r="C6101" s="1">
        <x:f>IFERROR(__xludf.DUMMYFUNCTION("""COMPUTED_VALUE"""),"2007")</x:f>
      </x:c>
    </x:row>
    <x:row r="6102" spans="1:10">
      <x:c r="A6102" s="1" t="s">
        <x:v>6110</x:v>
      </x:c>
      <x:c r="B6102" s="1">
        <x:f>IFERROR(__xludf.DUMMYFUNCTION("""COMPUTED_VALUE"""),"Spirit, cavalcant en llibertat: L'esperit de Nadal")</x:f>
      </x:c>
      <x:c r="C6102" s="1">
        <x:f>IFERROR(__xludf.DUMMYFUNCTION("""COMPUTED_VALUE"""),"2019")</x:f>
      </x:c>
    </x:row>
    <x:row r="6103" spans="1:10">
      <x:c r="A6103" s="1" t="s">
        <x:v>6111</x:v>
      </x:c>
      <x:c r="B6103" s="1">
        <x:f>IFERROR(__xludf.DUMMYFUNCTION("""COMPUTED_VALUE"""),"Spirit: el cavall indomable")</x:f>
      </x:c>
      <x:c r="C6103" s="1">
        <x:f>IFERROR(__xludf.DUMMYFUNCTION("""COMPUTED_VALUE"""),"2002")</x:f>
      </x:c>
    </x:row>
    <x:row r="6104" spans="1:10">
      <x:c r="A6104" s="1" t="s">
        <x:v>6112</x:v>
      </x:c>
      <x:c r="B6104" s="1">
        <x:f>IFERROR(__xludf.DUMMYFUNCTION("""COMPUTED_VALUE"""),"Spirit: Indomable")</x:f>
      </x:c>
      <x:c r="C6104" s="1">
        <x:f>IFERROR(__xludf.DUMMYFUNCTION("""COMPUTED_VALUE"""),"2021")</x:f>
      </x:c>
    </x:row>
    <x:row r="6105" spans="1:10">
      <x:c r="A6105" s="1" t="s">
        <x:v>6113</x:v>
      </x:c>
      <x:c r="B6105" s="1">
        <x:f>IFERROR(__xludf.DUMMYFUNCTION("""COMPUTED_VALUE"""),"Splice experiment mortal")</x:f>
      </x:c>
      <x:c r="C6105" s="1">
        <x:f>IFERROR(__xludf.DUMMYFUNCTION("""COMPUTED_VALUE"""),"2009")</x:f>
      </x:c>
    </x:row>
    <x:row r="6106" spans="1:10">
      <x:c r="A6106" s="1" t="s">
        <x:v>6114</x:v>
      </x:c>
      <x:c r="B6106" s="1">
        <x:f>IFERROR(__xludf.DUMMYFUNCTION("""COMPUTED_VALUE"""),"Spotlight")</x:f>
      </x:c>
      <x:c r="C6106" s="1">
        <x:f>IFERROR(__xludf.DUMMYFUNCTION("""COMPUTED_VALUE"""),"2015")</x:f>
      </x:c>
    </x:row>
    <x:row r="6107" spans="1:10">
      <x:c r="A6107" s="1" t="s">
        <x:v>6115</x:v>
      </x:c>
      <x:c r="B6107" s="1">
        <x:f>IFERROR(__xludf.DUMMYFUNCTION("""COMPUTED_VALUE"""),"Spy Cat")</x:f>
      </x:c>
      <x:c r="C6107" s="1">
        <x:f>IFERROR(__xludf.DUMMYFUNCTION("""COMPUTED_VALUE"""),"2018")</x:f>
      </x:c>
    </x:row>
    <x:row r="6108" spans="1:10">
      <x:c r="A6108" s="1" t="s">
        <x:v>6116</x:v>
      </x:c>
      <x:c r="B6108" s="1">
        <x:f>IFERROR(__xludf.DUMMYFUNCTION("""COMPUTED_VALUE"""),"Spy Game")</x:f>
      </x:c>
      <x:c r="C6108" s="1">
        <x:f>IFERROR(__xludf.DUMMYFUNCTION("""COMPUTED_VALUE"""),"2001")</x:f>
      </x:c>
    </x:row>
    <x:row r="6109" spans="1:10">
      <x:c r="A6109" s="1" t="s">
        <x:v>6117</x:v>
      </x:c>
      <x:c r="B6109" s="1">
        <x:f>IFERROR(__xludf.DUMMYFUNCTION("""COMPUTED_VALUE"""),"Spy High")</x:f>
      </x:c>
      <x:c r="C6109" s="1">
        <x:f>IFERROR(__xludf.DUMMYFUNCTION("""COMPUTED_VALUE"""),"2000")</x:f>
      </x:c>
    </x:row>
    <x:row r="6110" spans="1:10">
      <x:c r="A6110" s="1" t="s">
        <x:v>6118</x:v>
      </x:c>
      <x:c r="B6110" s="1">
        <x:f>IFERROR(__xludf.DUMMYFUNCTION("""COMPUTED_VALUE"""),"Spycies: Dos espies rebels")</x:f>
      </x:c>
      <x:c r="C6110" s="1">
        <x:f>IFERROR(__xludf.DUMMYFUNCTION("""COMPUTED_VALUE"""),"2019")</x:f>
      </x:c>
    </x:row>
    <x:row r="6111" spans="1:10">
      <x:c r="A6111" s="1" t="s">
        <x:v>6119</x:v>
      </x:c>
      <x:c r="B6111" s="1">
        <x:f>IFERROR(__xludf.DUMMYFUNCTION("""COMPUTED_VALUE"""),"St. Vincent")</x:f>
      </x:c>
      <x:c r="C6111" s="1">
        <x:f>IFERROR(__xludf.DUMMYFUNCTION("""COMPUTED_VALUE"""),"2014")</x:f>
      </x:c>
    </x:row>
    <x:row r="6112" spans="1:10">
      <x:c r="A6112" s="1" t="s">
        <x:v>6120</x:v>
      </x:c>
      <x:c r="B6112" s="1">
        <x:f>IFERROR(__xludf.DUMMYFUNCTION("""COMPUTED_VALUE"""),"Stalingrad")</x:f>
      </x:c>
      <x:c r="C6112" s="1">
        <x:f>IFERROR(__xludf.DUMMYFUNCTION("""COMPUTED_VALUE"""),"1993")</x:f>
      </x:c>
    </x:row>
    <x:row r="6113" spans="1:10">
      <x:c r="A6113" s="1" t="s">
        <x:v>6121</x:v>
      </x:c>
      <x:c r="B6113" s="1">
        <x:f>IFERROR(__xludf.DUMMYFUNCTION("""COMPUTED_VALUE"""),"Stand by Me Doraemon")</x:f>
      </x:c>
      <x:c r="C6113" s="1">
        <x:f>IFERROR(__xludf.DUMMYFUNCTION("""COMPUTED_VALUE"""),"2014")</x:f>
      </x:c>
    </x:row>
    <x:row r="6114" spans="1:10">
      <x:c r="A6114" s="1" t="s">
        <x:v>6122</x:v>
      </x:c>
      <x:c r="B6114" s="1">
        <x:f>IFERROR(__xludf.DUMMYFUNCTION("""COMPUTED_VALUE"""),"Star Trek I: La pel·lícula")</x:f>
      </x:c>
      <x:c r="C6114" s="1">
        <x:f>IFERROR(__xludf.DUMMYFUNCTION("""COMPUTED_VALUE"""),"1979")</x:f>
      </x:c>
    </x:row>
    <x:row r="6115" spans="1:10">
      <x:c r="A6115" s="1" t="s">
        <x:v>6123</x:v>
      </x:c>
      <x:c r="B6115" s="1">
        <x:f>IFERROR(__xludf.DUMMYFUNCTION("""COMPUTED_VALUE"""),"Star Trek II: La ira de Khan")</x:f>
      </x:c>
      <x:c r="C6115" s="1">
        <x:f>IFERROR(__xludf.DUMMYFUNCTION("""COMPUTED_VALUE"""),"1982")</x:f>
      </x:c>
    </x:row>
    <x:row r="6116" spans="1:10">
      <x:c r="A6116" s="1" t="s">
        <x:v>6124</x:v>
      </x:c>
      <x:c r="B6116" s="1">
        <x:f>IFERROR(__xludf.DUMMYFUNCTION("""COMPUTED_VALUE"""),"Star Trek III: A la recerca de Spock")</x:f>
      </x:c>
      <x:c r="C6116" s="1">
        <x:f>IFERROR(__xludf.DUMMYFUNCTION("""COMPUTED_VALUE"""),"1984")</x:f>
      </x:c>
    </x:row>
    <x:row r="6117" spans="1:10">
      <x:c r="A6117" s="1" t="s">
        <x:v>6125</x:v>
      </x:c>
      <x:c r="B6117" s="1">
        <x:f>IFERROR(__xludf.DUMMYFUNCTION("""COMPUTED_VALUE"""),"Star Trek IV: Missió salvar la Terra")</x:f>
      </x:c>
      <x:c r="C6117" s="1">
        <x:f>IFERROR(__xludf.DUMMYFUNCTION("""COMPUTED_VALUE"""),"1986")</x:f>
      </x:c>
    </x:row>
    <x:row r="6118" spans="1:10">
      <x:c r="A6118" s="1" t="s">
        <x:v>6126</x:v>
      </x:c>
      <x:c r="B6118" s="1">
        <x:f>IFERROR(__xludf.DUMMYFUNCTION("""COMPUTED_VALUE"""),"Star Trek V: L'última frontera")</x:f>
      </x:c>
      <x:c r="C6118" s="1">
        <x:f>IFERROR(__xludf.DUMMYFUNCTION("""COMPUTED_VALUE"""),"1989")</x:f>
      </x:c>
    </x:row>
    <x:row r="6119" spans="1:10">
      <x:c r="A6119" s="1" t="s">
        <x:v>6127</x:v>
      </x:c>
      <x:c r="B6119" s="1">
        <x:f>IFERROR(__xludf.DUMMYFUNCTION("""COMPUTED_VALUE"""),"Star Trek VI: Aquell país desconegut [VOSC]")</x:f>
      </x:c>
      <x:c r="C6119" s="1">
        <x:f>IFERROR(__xludf.DUMMYFUNCTION("""COMPUTED_VALUE"""),"1991")</x:f>
      </x:c>
    </x:row>
    <x:row r="6120" spans="1:10">
      <x:c r="A6120" s="1" t="s">
        <x:v>6128</x:v>
      </x:c>
      <x:c r="B6120" s="1">
        <x:f>IFERROR(__xludf.DUMMYFUNCTION("""COMPUTED_VALUE"""),"Star Wars 2: Episodi II - L'atac dels clons")</x:f>
      </x:c>
      <x:c r="C6120" s="1">
        <x:f>IFERROR(__xludf.DUMMYFUNCTION("""COMPUTED_VALUE"""),"2002")</x:f>
      </x:c>
    </x:row>
    <x:row r="6121" spans="1:10">
      <x:c r="A6121" s="1" t="s">
        <x:v>6129</x:v>
      </x:c>
      <x:c r="B6121" s="1">
        <x:f>IFERROR(__xludf.DUMMYFUNCTION("""COMPUTED_VALUE"""),"Star Wars 3: Episodi III - La venjança dels Sith")</x:f>
      </x:c>
      <x:c r="C6121" s="1">
        <x:f>IFERROR(__xludf.DUMMYFUNCTION("""COMPUTED_VALUE"""),"2005")</x:f>
      </x:c>
    </x:row>
    <x:row r="6122" spans="1:10">
      <x:c r="A6122" s="1" t="s">
        <x:v>6130</x:v>
      </x:c>
      <x:c r="B6122" s="1">
        <x:f>IFERROR(__xludf.DUMMYFUNCTION("""COMPUTED_VALUE"""),"Star Wars 4: Episodi IV - Una nova esperança")</x:f>
      </x:c>
      <x:c r="C6122" s="1">
        <x:f>IFERROR(__xludf.DUMMYFUNCTION("""COMPUTED_VALUE"""),"1977")</x:f>
      </x:c>
    </x:row>
    <x:row r="6123" spans="1:10">
      <x:c r="A6123" s="1" t="s">
        <x:v>6131</x:v>
      </x:c>
      <x:c r="B6123" s="1">
        <x:f>IFERROR(__xludf.DUMMYFUNCTION("""COMPUTED_VALUE"""),"Star Wars 5: Episodi V - L'imperi contraataca")</x:f>
      </x:c>
      <x:c r="C6123" s="1">
        <x:f>IFERROR(__xludf.DUMMYFUNCTION("""COMPUTED_VALUE"""),"1980")</x:f>
      </x:c>
    </x:row>
    <x:row r="6124" spans="1:10">
      <x:c r="A6124" s="1" t="s">
        <x:v>6132</x:v>
      </x:c>
      <x:c r="B6124" s="1">
        <x:f>IFERROR(__xludf.DUMMYFUNCTION("""COMPUTED_VALUE"""),"Star Wars 6: Episodi VI - El retorn del Jedi")</x:f>
      </x:c>
      <x:c r="C6124" s="1">
        <x:f>IFERROR(__xludf.DUMMYFUNCTION("""COMPUTED_VALUE"""),"1983")</x:f>
      </x:c>
    </x:row>
    <x:row r="6125" spans="1:10">
      <x:c r="A6125" s="1" t="s">
        <x:v>6133</x:v>
      </x:c>
      <x:c r="B6125" s="1">
        <x:f>IFERROR(__xludf.DUMMYFUNCTION("""COMPUTED_VALUE"""),"Star Wars 7: Episodi VII - El despertar de la força")</x:f>
      </x:c>
      <x:c r="C6125" s="1">
        <x:f>IFERROR(__xludf.DUMMYFUNCTION("""COMPUTED_VALUE"""),"2015")</x:f>
      </x:c>
    </x:row>
    <x:row r="6126" spans="1:10">
      <x:c r="A6126" s="1" t="s">
        <x:v>6134</x:v>
      </x:c>
      <x:c r="B6126" s="1">
        <x:f>IFERROR(__xludf.DUMMYFUNCTION("""COMPUTED_VALUE"""),"Star Wars 8: Episodi VIII - Els últims Jedi")</x:f>
      </x:c>
      <x:c r="C6126" s="1">
        <x:f>IFERROR(__xludf.DUMMYFUNCTION("""COMPUTED_VALUE"""),"2017")</x:f>
      </x:c>
    </x:row>
    <x:row r="6127" spans="1:10">
      <x:c r="A6127" s="1" t="s">
        <x:v>6135</x:v>
      </x:c>
      <x:c r="B6127" s="1">
        <x:f>IFERROR(__xludf.DUMMYFUNCTION("""COMPUTED_VALUE"""),"Star Wars 9: Episodi IX - L'ascens de Skywalker")</x:f>
      </x:c>
      <x:c r="C6127" s="1">
        <x:f>IFERROR(__xludf.DUMMYFUNCTION("""COMPUTED_VALUE"""),"2019")</x:f>
      </x:c>
    </x:row>
    <x:row r="6128" spans="1:10">
      <x:c r="A6128" s="1" t="s">
        <x:v>6136</x:v>
      </x:c>
      <x:c r="B6128" s="1">
        <x:f>IFERROR(__xludf.DUMMYFUNCTION("""COMPUTED_VALUE"""),"Star Wars: The Clone Wars")</x:f>
      </x:c>
      <x:c r="C6128" s="1">
        <x:f>IFERROR(__xludf.DUMMYFUNCTION("""COMPUTED_VALUE"""),"2008")</x:f>
      </x:c>
    </x:row>
    <x:row r="6129" spans="1:10">
      <x:c r="A6129" s="1" t="s">
        <x:v>6137</x:v>
      </x:c>
      <x:c r="B6129" s="1">
        <x:f>IFERROR(__xludf.DUMMYFUNCTION("""COMPUTED_VALUE"""),"Stardust")</x:f>
      </x:c>
      <x:c r="C6129" s="1">
        <x:f>IFERROR(__xludf.DUMMYFUNCTION("""COMPUTED_VALUE"""),"2007")</x:f>
      </x:c>
    </x:row>
    <x:row r="6130" spans="1:10">
      <x:c r="A6130" s="1" t="s">
        <x:v>6138</x:v>
      </x:c>
      <x:c r="B6130" s="1">
        <x:f>IFERROR(__xludf.DUMMYFUNCTION("""COMPUTED_VALUE"""),"Stargate [Muntatge del director]")</x:f>
      </x:c>
      <x:c r="C6130" s="1">
        <x:f>IFERROR(__xludf.DUMMYFUNCTION("""COMPUTED_VALUE"""),"1994")</x:f>
      </x:c>
    </x:row>
    <x:row r="6131" spans="1:10">
      <x:c r="A6131" s="1" t="s">
        <x:v>6139</x:v>
      </x:c>
      <x:c r="B6131" s="1">
        <x:f>IFERROR(__xludf.DUMMYFUNCTION("""COMPUTED_VALUE"""),"Stargate: El continu [VOSC]")</x:f>
      </x:c>
      <x:c r="C6131" s="1">
        <x:f>IFERROR(__xludf.DUMMYFUNCTION("""COMPUTED_VALUE"""),"2008")</x:f>
      </x:c>
    </x:row>
    <x:row r="6132" spans="1:10">
      <x:c r="A6132" s="1" t="s">
        <x:v>6140</x:v>
      </x:c>
      <x:c r="B6132" s="1">
        <x:f>IFERROR(__xludf.DUMMYFUNCTION("""COMPUTED_VALUE"""),"Stargate: L'Arca de la veritat [VOSC]")</x:f>
      </x:c>
      <x:c r="C6132" s="1">
        <x:f>IFERROR(__xludf.DUMMYFUNCTION("""COMPUTED_VALUE"""),"2008")</x:f>
      </x:c>
    </x:row>
    <x:row r="6133" spans="1:10">
      <x:c r="A6133" s="1" t="s">
        <x:v>6141</x:v>
      </x:c>
      <x:c r="B6133" s="1">
        <x:f>IFERROR(__xludf.DUMMYFUNCTION("""COMPUTED_VALUE"""),"Starman")</x:f>
      </x:c>
      <x:c r="C6133" s="1">
        <x:f>IFERROR(__xludf.DUMMYFUNCTION("""COMPUTED_VALUE"""),"1984")</x:f>
      </x:c>
    </x:row>
    <x:row r="6134" spans="1:10">
      <x:c r="A6134" s="1" t="s">
        <x:v>6142</x:v>
      </x:c>
      <x:c r="B6134" s="1">
        <x:f>IFERROR(__xludf.DUMMYFUNCTION("""COMPUTED_VALUE"""),"Starship Troopers 2: L'heroi de la federació")</x:f>
      </x:c>
      <x:c r="C6134" s="1">
        <x:f>IFERROR(__xludf.DUMMYFUNCTION("""COMPUTED_VALUE"""),"2004")</x:f>
      </x:c>
    </x:row>
    <x:row r="6135" spans="1:10">
      <x:c r="A6135" s="1" t="s">
        <x:v>6143</x:v>
      </x:c>
      <x:c r="B6135" s="1">
        <x:f>IFERROR(__xludf.DUMMYFUNCTION("""COMPUTED_VALUE"""),"Starsky i Hutch")</x:f>
      </x:c>
      <x:c r="C6135" s="1">
        <x:f>IFERROR(__xludf.DUMMYFUNCTION("""COMPUTED_VALUE"""),"2004")</x:f>
      </x:c>
    </x:row>
    <x:row r="6136" spans="1:10">
      <x:c r="A6136" s="1" t="s">
        <x:v>6144</x:v>
      </x:c>
      <x:c r="B6136" s="1">
        <x:f>IFERROR(__xludf.DUMMYFUNCTION("""COMPUTED_VALUE"""),"Stealth: L'amenaça invisible")</x:f>
      </x:c>
      <x:c r="C6136" s="1">
        <x:f>IFERROR(__xludf.DUMMYFUNCTION("""COMPUTED_VALUE"""),"2005")</x:f>
      </x:c>
    </x:row>
    <x:row r="6137" spans="1:10">
      <x:c r="A6137" s="1" t="s">
        <x:v>6145</x:v>
      </x:c>
      <x:c r="B6137" s="1">
        <x:f>IFERROR(__xludf.DUMMYFUNCTION("""COMPUTED_VALUE"""),"Steel")</x:f>
      </x:c>
      <x:c r="C6137" s="1">
        <x:f>IFERROR(__xludf.DUMMYFUNCTION("""COMPUTED_VALUE"""),"1997")</x:f>
      </x:c>
    </x:row>
    <x:row r="6138" spans="1:10">
      <x:c r="A6138" s="1" t="s">
        <x:v>6146</x:v>
      </x:c>
      <x:c r="B6138" s="1">
        <x:f>IFERROR(__xludf.DUMMYFUNCTION("""COMPUTED_VALUE"""),"Steins;Gate: l'àrea de càrrega del déjà-vu")</x:f>
      </x:c>
      <x:c r="C6138" s="1">
        <x:f>IFERROR(__xludf.DUMMYFUNCTION("""COMPUTED_VALUE"""),"2013")</x:f>
      </x:c>
    </x:row>
    <x:row r="6139" spans="1:10">
      <x:c r="A6139" s="1" t="s">
        <x:v>6147</x:v>
      </x:c>
      <x:c r="B6139" s="1">
        <x:f>IFERROR(__xludf.DUMMYFUNCTION("""COMPUTED_VALUE"""),"Stella Cadente")</x:f>
      </x:c>
      <x:c r="C6139" s="1">
        <x:f>IFERROR(__xludf.DUMMYFUNCTION("""COMPUTED_VALUE"""),"2014")</x:f>
      </x:c>
    </x:row>
    <x:row r="6140" spans="1:10">
      <x:c r="A6140" s="1" t="s">
        <x:v>6148</x:v>
      </x:c>
      <x:c r="B6140" s="1">
        <x:f>IFERROR(__xludf.DUMMYFUNCTION("""COMPUTED_VALUE"""),"Stella: Víctima i culpable")</x:f>
      </x:c>
      <x:c r="C6140" s="1">
        <x:f>IFERROR(__xludf.DUMMYFUNCTION("""COMPUTED_VALUE"""),"2023")</x:f>
      </x:c>
    </x:row>
    <x:row r="6141" spans="1:10">
      <x:c r="A6141" s="1" t="s">
        <x:v>6149</x:v>
      </x:c>
      <x:c r="B6141" s="1">
        <x:f>IFERROR(__xludf.DUMMYFUNCTION("""COMPUTED_VALUE"""),"Step Up All In")</x:f>
      </x:c>
      <x:c r="C6141" s="1">
        <x:f>IFERROR(__xludf.DUMMYFUNCTION("""COMPUTED_VALUE"""),"2014")</x:f>
      </x:c>
    </x:row>
    <x:row r="6142" spans="1:10">
      <x:c r="A6142" s="1" t="s">
        <x:v>6150</x:v>
      </x:c>
      <x:c r="B6142" s="1">
        <x:f>IFERROR(__xludf.DUMMYFUNCTION("""COMPUTED_VALUE"""),"Steve Jobs")</x:f>
      </x:c>
      <x:c r="C6142" s="1">
        <x:f>IFERROR(__xludf.DUMMYFUNCTION("""COMPUTED_VALUE"""),"2015")</x:f>
      </x:c>
    </x:row>
    <x:row r="6143" spans="1:10">
      <x:c r="A6143" s="1" t="s">
        <x:v>6151</x:v>
      </x:c>
      <x:c r="B6143" s="1">
        <x:f>IFERROR(__xludf.DUMMYFUNCTION("""COMPUTED_VALUE"""),"Stigmata")</x:f>
      </x:c>
      <x:c r="C6143" s="1">
        <x:f>IFERROR(__xludf.DUMMYFUNCTION("""COMPUTED_VALUE"""),"1999")</x:f>
      </x:c>
    </x:row>
    <x:row r="6144" spans="1:10">
      <x:c r="A6144" s="1" t="s">
        <x:v>6152</x:v>
      </x:c>
      <x:c r="B6144" s="1">
        <x:f>IFERROR(__xludf.DUMMYFUNCTION("""COMPUTED_VALUE"""),"Stillwater")</x:f>
      </x:c>
      <x:c r="C6144" s="1">
        <x:f>IFERROR(__xludf.DUMMYFUNCTION("""COMPUTED_VALUE"""),"2021")</x:f>
      </x:c>
    </x:row>
    <x:row r="6145" spans="1:10">
      <x:c r="A6145" s="1" t="s">
        <x:v>6153</x:v>
      </x:c>
      <x:c r="B6145" s="1">
        <x:f>IFERROR(__xludf.DUMMYFUNCTION("""COMPUTED_VALUE"""),"Stoc de coc")</x:f>
      </x:c>
      <x:c r="C6145" s="1">
        <x:f>IFERROR(__xludf.DUMMYFUNCTION("""COMPUTED_VALUE"""),"1992")</x:f>
      </x:c>
    </x:row>
    <x:row r="6146" spans="1:10">
      <x:c r="A6146" s="1" t="s">
        <x:v>6154</x:v>
      </x:c>
      <x:c r="B6146" s="1">
        <x:f>IFERROR(__xludf.DUMMYFUNCTION("""COMPUTED_VALUE"""),"Stone")</x:f>
      </x:c>
      <x:c r="C6146" s="1">
        <x:f>IFERROR(__xludf.DUMMYFUNCTION("""COMPUTED_VALUE"""),"2010")</x:f>
      </x:c>
    </x:row>
    <x:row r="6147" spans="1:10">
      <x:c r="A6147" s="1" t="s">
        <x:v>6155</x:v>
      </x:c>
      <x:c r="B6147" s="1">
        <x:f>IFERROR(__xludf.DUMMYFUNCTION("""COMPUTED_VALUE"""),"Stoned")</x:f>
      </x:c>
      <x:c r="C6147" s="1">
        <x:f>IFERROR(__xludf.DUMMYFUNCTION("""COMPUTED_VALUE"""),"2005")</x:f>
      </x:c>
    </x:row>
    <x:row r="6148" spans="1:10">
      <x:c r="A6148" s="1" t="s">
        <x:v>6156</x:v>
      </x:c>
      <x:c r="B6148" s="1">
        <x:f>IFERROR(__xludf.DUMMYFUNCTION("""COMPUTED_VALUE"""),"Stonehenge i les cultures megalítiques")</x:f>
      </x:c>
      <x:c r="C6148" s="1">
        <x:f>IFERROR(__xludf.DUMMYFUNCTION("""COMPUTED_VALUE"""),"1996")</x:f>
      </x:c>
    </x:row>
    <x:row r="6149" spans="1:10">
      <x:c r="A6149" s="1" t="s">
        <x:v>6157</x:v>
      </x:c>
      <x:c r="B6149" s="1">
        <x:f>IFERROR(__xludf.DUMMYFUNCTION("""COMPUTED_VALUE"""),"StopMotion Independència")</x:f>
      </x:c>
      <x:c r="C6149" s="1">
        <x:f>IFERROR(__xludf.DUMMYFUNCTION("""COMPUTED_VALUE"""),"2013")</x:f>
      </x:c>
    </x:row>
    <x:row r="6150" spans="1:10">
      <x:c r="A6150" s="1" t="s">
        <x:v>6158</x:v>
      </x:c>
      <x:c r="B6150" s="1">
        <x:f>IFERROR(__xludf.DUMMYFUNCTION("""COMPUTED_VALUE"""),"Stopped on Track [VOSC]")</x:f>
      </x:c>
      <x:c r="C6150" s="1">
        <x:f>IFERROR(__xludf.DUMMYFUNCTION("""COMPUTED_VALUE"""),"2011")</x:f>
      </x:c>
    </x:row>
    <x:row r="6151" spans="1:10">
      <x:c r="A6151" s="1" t="s">
        <x:v>6159</x:v>
      </x:c>
      <x:c r="B6151" s="1">
        <x:f>IFERROR(__xludf.DUMMYFUNCTION("""COMPUTED_VALUE"""),"Storm, La tempesta")</x:f>
      </x:c>
      <x:c r="C6151" s="1">
        <x:f>IFERROR(__xludf.DUMMYFUNCTION("""COMPUTED_VALUE"""),"2005")</x:f>
      </x:c>
    </x:row>
    <x:row r="6152" spans="1:10">
      <x:c r="A6152" s="1" t="s">
        <x:v>6160</x:v>
      </x:c>
      <x:c r="B6152" s="1">
        <x:f>IFERROR(__xludf.DUMMYFUNCTION("""COMPUTED_VALUE"""),"Street Fighter: La llegenda")</x:f>
      </x:c>
      <x:c r="C6152" s="1">
        <x:f>IFERROR(__xludf.DUMMYFUNCTION("""COMPUTED_VALUE"""),"2009")</x:f>
      </x:c>
    </x:row>
    <x:row r="6153" spans="1:10">
      <x:c r="A6153" s="1" t="s">
        <x:v>6161</x:v>
      </x:c>
      <x:c r="B6153" s="1">
        <x:f>IFERROR(__xludf.DUMMYFUNCTION("""COMPUTED_VALUE"""),"StreetDance")</x:f>
      </x:c>
      <x:c r="C6153" s="1">
        <x:f>IFERROR(__xludf.DUMMYFUNCTION("""COMPUTED_VALUE"""),"2010")</x:f>
      </x:c>
    </x:row>
    <x:row r="6154" spans="1:10">
      <x:c r="A6154" s="1" t="s">
        <x:v>6162</x:v>
      </x:c>
      <x:c r="B6154" s="1">
        <x:f>IFERROR(__xludf.DUMMYFUNCTION("""COMPUTED_VALUE"""),"Striptease")</x:f>
      </x:c>
      <x:c r="C6154" s="1">
        <x:f>IFERROR(__xludf.DUMMYFUNCTION("""COMPUTED_VALUE"""),"1996")</x:f>
      </x:c>
    </x:row>
    <x:row r="6155" spans="1:10">
      <x:c r="A6155" s="1" t="s">
        <x:v>6163</x:v>
      </x:c>
      <x:c r="B6155" s="1">
        <x:f>IFERROR(__xludf.DUMMYFUNCTION("""COMPUTED_VALUE"""),"Stuart Little")</x:f>
      </x:c>
      <x:c r="C6155" s="1">
        <x:f>IFERROR(__xludf.DUMMYFUNCTION("""COMPUTED_VALUE"""),"1999")</x:f>
      </x:c>
    </x:row>
    <x:row r="6156" spans="1:10">
      <x:c r="A6156" s="1" t="s">
        <x:v>6164</x:v>
      </x:c>
      <x:c r="B6156" s="1">
        <x:f>IFERROR(__xludf.DUMMYFUNCTION("""COMPUTED_VALUE"""),"Stuart Little 2")</x:f>
      </x:c>
      <x:c r="C6156" s="1">
        <x:f>IFERROR(__xludf.DUMMYFUNCTION("""COMPUTED_VALUE"""),"2002")</x:f>
      </x:c>
    </x:row>
    <x:row r="6157" spans="1:10">
      <x:c r="A6157" s="1" t="s">
        <x:v>6165</x:v>
      </x:c>
      <x:c r="B6157" s="1">
        <x:f>IFERROR(__xludf.DUMMYFUNCTION("""COMPUTED_VALUE"""),"Subjúdice")</x:f>
      </x:c>
      <x:c r="C6157" s="1">
        <x:f>IFERROR(__xludf.DUMMYFUNCTION("""COMPUTED_VALUE"""),"1998")</x:f>
      </x:c>
    </x:row>
    <x:row r="6158" spans="1:10">
      <x:c r="A6158" s="1" t="s">
        <x:v>6166</x:v>
      </x:c>
      <x:c r="B6158" s="1">
        <x:f>IFERROR(__xludf.DUMMYFUNCTION("""COMPUTED_VALUE"""),"Submarine")</x:f>
      </x:c>
      <x:c r="C6158" s="1">
        <x:f>IFERROR(__xludf.DUMMYFUNCTION("""COMPUTED_VALUE"""),"2010")</x:f>
      </x:c>
    </x:row>
    <x:row r="6159" spans="1:10">
      <x:c r="A6159" s="1" t="s">
        <x:v>6167</x:v>
      </x:c>
      <x:c r="B6159" s="1">
        <x:f>IFERROR(__xludf.DUMMYFUNCTION("""COMPUTED_VALUE"""),"Submarino")</x:f>
      </x:c>
      <x:c r="C6159" s="1">
        <x:f>IFERROR(__xludf.DUMMYFUNCTION("""COMPUTED_VALUE"""),"2010")</x:f>
      </x:c>
    </x:row>
    <x:row r="6160" spans="1:10">
      <x:c r="A6160" s="1" t="s">
        <x:v>6168</x:v>
      </x:c>
      <x:c r="B6160" s="1">
        <x:f>IFERROR(__xludf.DUMMYFUNCTION("""COMPUTED_VALUE"""),"Suburra")</x:f>
      </x:c>
      <x:c r="C6160" s="1">
        <x:f>IFERROR(__xludf.DUMMYFUNCTION("""COMPUTED_VALUE"""),"2015")</x:f>
      </x:c>
    </x:row>
    <x:row r="6161" spans="1:10">
      <x:c r="A6161" s="1" t="s">
        <x:v>6169</x:v>
      </x:c>
      <x:c r="B6161" s="1">
        <x:f>IFERROR(__xludf.DUMMYFUNCTION("""COMPUTED_VALUE"""),"Sucker Punch")</x:f>
      </x:c>
      <x:c r="C6161" s="1">
        <x:f>IFERROR(__xludf.DUMMYFUNCTION("""COMPUTED_VALUE"""),"2011")</x:f>
      </x:c>
    </x:row>
    <x:row r="6162" spans="1:10">
      <x:c r="A6162" s="1" t="s">
        <x:v>6170</x:v>
      </x:c>
      <x:c r="B6162" s="1">
        <x:f>IFERROR(__xludf.DUMMYFUNCTION("""COMPUTED_VALUE"""),"Sufragistes")</x:f>
      </x:c>
      <x:c r="C6162" s="1">
        <x:f>IFERROR(__xludf.DUMMYFUNCTION("""COMPUTED_VALUE"""),"2015")</x:f>
      </x:c>
    </x:row>
    <x:row r="6163" spans="1:10">
      <x:c r="A6163" s="1" t="s">
        <x:v>6171</x:v>
      </x:c>
      <x:c r="B6163" s="1">
        <x:f>IFERROR(__xludf.DUMMYFUNCTION("""COMPUTED_VALUE"""),"Suite francesa")</x:f>
      </x:c>
      <x:c r="C6163" s="1">
        <x:f>IFERROR(__xludf.DUMMYFUNCTION("""COMPUTED_VALUE"""),"2014")</x:f>
      </x:c>
    </x:row>
    <x:row r="6164" spans="1:10">
      <x:c r="A6164" s="1" t="s">
        <x:v>6172</x:v>
      </x:c>
      <x:c r="B6164" s="1">
        <x:f>IFERROR(__xludf.DUMMYFUNCTION("""COMPUTED_VALUE"""),"Sully")</x:f>
      </x:c>
      <x:c r="C6164" s="1">
        <x:f>IFERROR(__xludf.DUMMYFUNCTION("""COMPUTED_VALUE"""),"2016")</x:f>
      </x:c>
    </x:row>
    <x:row r="6165" spans="1:10">
      <x:c r="A6165" s="1" t="s">
        <x:v>6173</x:v>
      </x:c>
      <x:c r="B6165" s="1">
        <x:f>IFERROR(__xludf.DUMMYFUNCTION("""COMPUTED_VALUE"""),"Sumaríssim 477: Especial Carrasco i Formiguera")</x:f>
      </x:c>
      <x:c r="C6165" s="1">
        <x:f>IFERROR(__xludf.DUMMYFUNCTION("""COMPUTED_VALUE"""),"1994")</x:f>
      </x:c>
    </x:row>
    <x:row r="6166" spans="1:10">
      <x:c r="A6166" s="1" t="s">
        <x:v>6174</x:v>
      </x:c>
      <x:c r="B6166" s="1">
        <x:f>IFERROR(__xludf.DUMMYFUNCTION("""COMPUTED_VALUE"""),"Sundown")</x:f>
      </x:c>
      <x:c r="C6166" s="1">
        <x:f>IFERROR(__xludf.DUMMYFUNCTION("""COMPUTED_VALUE"""),"2021")</x:f>
      </x:c>
    </x:row>
    <x:row r="6167" spans="1:10">
      <x:c r="A6167" s="1" t="s">
        <x:v>6175</x:v>
      </x:c>
      <x:c r="B6167" s="1">
        <x:f>IFERROR(__xludf.DUMMYFUNCTION("""COMPUTED_VALUE"""),"Suñol, un crit valent")</x:f>
      </x:c>
      <x:c r="C6167" s="1">
        <x:f>IFERROR(__xludf.DUMMYFUNCTION("""COMPUTED_VALUE"""),"2016")</x:f>
      </x:c>
    </x:row>
    <x:row r="6168" spans="1:10">
      <x:c r="A6168" s="1" t="s">
        <x:v>6176</x:v>
      </x:c>
      <x:c r="B6168" s="1">
        <x:f>IFERROR(__xludf.DUMMYFUNCTION("""COMPUTED_VALUE"""),"Super Mario Bros.")</x:f>
      </x:c>
      <x:c r="C6168" s="1">
        <x:f>IFERROR(__xludf.DUMMYFUNCTION("""COMPUTED_VALUE"""),"1993")</x:f>
      </x:c>
    </x:row>
    <x:row r="6169" spans="1:10">
      <x:c r="A6169" s="1" t="s">
        <x:v>6177</x:v>
      </x:c>
      <x:c r="B6169" s="1">
        <x:f>IFERROR(__xludf.DUMMYFUNCTION("""COMPUTED_VALUE"""),"Super Mario Bros.: La pel·lícula")</x:f>
      </x:c>
      <x:c r="C6169" s="1">
        <x:f>IFERROR(__xludf.DUMMYFUNCTION("""COMPUTED_VALUE"""),"2023")</x:f>
      </x:c>
    </x:row>
    <x:row r="6170" spans="1:10">
      <x:c r="A6170" s="1" t="s">
        <x:v>6178</x:v>
      </x:c>
      <x:c r="B6170" s="1">
        <x:f>IFERROR(__xludf.DUMMYFUNCTION("""COMPUTED_VALUE"""),"Superagent 86 de pel·lícula")</x:f>
      </x:c>
      <x:c r="C6170" s="1">
        <x:f>IFERROR(__xludf.DUMMYFUNCTION("""COMPUTED_VALUE"""),"2008")</x:f>
      </x:c>
    </x:row>
    <x:row r="6171" spans="1:10">
      <x:c r="A6171" s="1" t="s">
        <x:v>6179</x:v>
      </x:c>
      <x:c r="B6171" s="1">
        <x:f>IFERROR(__xludf.DUMMYFUNCTION("""COMPUTED_VALUE"""),"Superant la ficció")</x:f>
      </x:c>
      <x:c r="C6171" s="1">
        <x:f>IFERROR(__xludf.DUMMYFUNCTION("""COMPUTED_VALUE"""),"2006")</x:f>
      </x:c>
    </x:row>
    <x:row r="6172" spans="1:10">
      <x:c r="A6172" s="1" t="s">
        <x:v>6180</x:v>
      </x:c>
      <x:c r="B6172" s="1">
        <x:f>IFERROR(__xludf.DUMMYFUNCTION("""COMPUTED_VALUE"""),"Supercop")</x:f>
      </x:c>
      <x:c r="C6172" s="1">
        <x:f>IFERROR(__xludf.DUMMYFUNCTION("""COMPUTED_VALUE"""),"1992")</x:f>
      </x:c>
    </x:row>
    <x:row r="6173" spans="1:10">
      <x:c r="A6173" s="1" t="s">
        <x:v>6181</x:v>
      </x:c>
      <x:c r="B6173" s="1">
        <x:f>IFERROR(__xludf.DUMMYFUNCTION("""COMPUTED_VALUE"""),"Supercuc")</x:f>
      </x:c>
      <x:c r="C6173" s="1">
        <x:f>IFERROR(__xludf.DUMMYFUNCTION("""COMPUTED_VALUE"""),"2021")</x:f>
      </x:c>
    </x:row>
    <x:row r="6174" spans="1:10">
      <x:c r="A6174" s="1" t="s">
        <x:v>6182</x:v>
      </x:c>
      <x:c r="B6174" s="1">
        <x:f>IFERROR(__xludf.DUMMYFUNCTION("""COMPUTED_VALUE"""),"Superfumats")</x:f>
      </x:c>
      <x:c r="C6174" s="1">
        <x:f>IFERROR(__xludf.DUMMYFUNCTION("""COMPUTED_VALUE"""),"2008")</x:f>
      </x:c>
    </x:row>
    <x:row r="6175" spans="1:10">
      <x:c r="A6175" s="1" t="s">
        <x:v>6183</x:v>
      </x:c>
      <x:c r="B6175" s="1">
        <x:f>IFERROR(__xludf.DUMMYFUNCTION("""COMPUTED_VALUE"""),"Superhero movie")</x:f>
      </x:c>
      <x:c r="C6175" s="1">
        <x:f>IFERROR(__xludf.DUMMYFUNCTION("""COMPUTED_VALUE"""),"2008")</x:f>
      </x:c>
    </x:row>
    <x:row r="6176" spans="1:10">
      <x:c r="A6176" s="1" t="s">
        <x:v>6184</x:v>
      </x:c>
      <x:c r="B6176" s="1">
        <x:f>IFERROR(__xludf.DUMMYFUNCTION("""COMPUTED_VALUE"""),"SuperKlaus")</x:f>
      </x:c>
      <x:c r="C6176" s="1">
        <x:f>IFERROR(__xludf.DUMMYFUNCTION("""COMPUTED_VALUE"""),"2024")</x:f>
      </x:c>
    </x:row>
    <x:row r="6177" spans="1:10">
      <x:c r="A6177" s="1" t="s">
        <x:v>6185</x:v>
      </x:c>
      <x:c r="B6177" s="1">
        <x:f>IFERROR(__xludf.DUMMYFUNCTION("""COMPUTED_VALUE"""),"Superman I")</x:f>
      </x:c>
      <x:c r="C6177" s="1">
        <x:f>IFERROR(__xludf.DUMMYFUNCTION("""COMPUTED_VALUE"""),"1978")</x:f>
      </x:c>
    </x:row>
    <x:row r="6178" spans="1:10">
      <x:c r="A6178" s="1" t="s">
        <x:v>6186</x:v>
      </x:c>
      <x:c r="B6178" s="1">
        <x:f>IFERROR(__xludf.DUMMYFUNCTION("""COMPUTED_VALUE"""),"Superman II")</x:f>
      </x:c>
      <x:c r="C6178" s="1">
        <x:f>IFERROR(__xludf.DUMMYFUNCTION("""COMPUTED_VALUE"""),"1980")</x:f>
      </x:c>
    </x:row>
    <x:row r="6179" spans="1:10">
      <x:c r="A6179" s="1" t="s">
        <x:v>6187</x:v>
      </x:c>
      <x:c r="B6179" s="1">
        <x:f>IFERROR(__xludf.DUMMYFUNCTION("""COMPUTED_VALUE"""),"Superman III")</x:f>
      </x:c>
      <x:c r="C6179" s="1">
        <x:f>IFERROR(__xludf.DUMMYFUNCTION("""COMPUTED_VALUE"""),"1983")</x:f>
      </x:c>
    </x:row>
    <x:row r="6180" spans="1:10">
      <x:c r="A6180" s="1" t="s">
        <x:v>6188</x:v>
      </x:c>
      <x:c r="B6180" s="1">
        <x:f>IFERROR(__xludf.DUMMYFUNCTION("""COMPUTED_VALUE"""),"Superman: el retorn")</x:f>
      </x:c>
      <x:c r="C6180" s="1">
        <x:f>IFERROR(__xludf.DUMMYFUNCTION("""COMPUTED_VALUE"""),"2006")</x:f>
      </x:c>
    </x:row>
    <x:row r="6181" spans="1:10">
      <x:c r="A6181" s="1" t="s">
        <x:v>6189</x:v>
      </x:c>
      <x:c r="B6181" s="1">
        <x:f>IFERROR(__xludf.DUMMYFUNCTION("""COMPUTED_VALUE"""),"Supernova")</x:f>
      </x:c>
      <x:c r="C6181" s="1">
        <x:f>IFERROR(__xludf.DUMMYFUNCTION("""COMPUTED_VALUE"""),"2020")</x:f>
      </x:c>
    </x:row>
    <x:row r="6182" spans="1:10">
      <x:c r="A6182" s="1" t="s">
        <x:v>6190</x:v>
      </x:c>
      <x:c r="B6182" s="1">
        <x:f>IFERROR(__xludf.DUMMYFUNCTION("""COMPUTED_VALUE"""),"Supernova, La fi de l'univers")</x:f>
      </x:c>
      <x:c r="C6182" s="1">
        <x:f>IFERROR(__xludf.DUMMYFUNCTION("""COMPUTED_VALUE"""),"2000")</x:f>
      </x:c>
    </x:row>
    <x:row r="6183" spans="1:10">
      <x:c r="A6183" s="1" t="s">
        <x:v>6191</x:v>
      </x:c>
      <x:c r="B6183" s="1">
        <x:f>IFERROR(__xludf.DUMMYFUNCTION("""COMPUTED_VALUE"""),"Superpoli de centre comercial")</x:f>
      </x:c>
      <x:c r="C6183" s="1">
        <x:f>IFERROR(__xludf.DUMMYFUNCTION("""COMPUTED_VALUE"""),"2009")</x:f>
      </x:c>
    </x:row>
    <x:row r="6184" spans="1:10">
      <x:c r="A6184" s="1" t="s">
        <x:v>6192</x:v>
      </x:c>
      <x:c r="B6184" s="1">
        <x:f>IFERROR(__xludf.DUMMYFUNCTION("""COMPUTED_VALUE"""),"Superpolicia en dificultats")</x:f>
      </x:c>
      <x:c r="C6184" s="1">
        <x:f>IFERROR(__xludf.DUMMYFUNCTION("""COMPUTED_VALUE"""),"1988")</x:f>
      </x:c>
    </x:row>
    <x:row r="6185" spans="1:10">
      <x:c r="A6185" s="1" t="s">
        <x:v>6193</x:v>
      </x:c>
      <x:c r="B6185" s="1">
        <x:f>IFERROR(__xludf.DUMMYFUNCTION("""COMPUTED_VALUE"""),"Supersortits")</x:f>
      </x:c>
      <x:c r="C6185" s="1">
        <x:f>IFERROR(__xludf.DUMMYFUNCTION("""COMPUTED_VALUE"""),"2007")</x:f>
      </x:c>
    </x:row>
    <x:row r="6186" spans="1:10">
      <x:c r="A6186" s="1" t="s">
        <x:v>6194</x:v>
      </x:c>
      <x:c r="B6186" s="1">
        <x:f>IFERROR(__xludf.DUMMYFUNCTION("""COMPUTED_VALUE"""),"Supertramp - Live At Queen Mary's College")</x:f>
      </x:c>
      <x:c r="C6186" s="1">
        <x:f>IFERROR(__xludf.DUMMYFUNCTION("""COMPUTED_VALUE"""),"1977")</x:f>
      </x:c>
    </x:row>
    <x:row r="6187" spans="1:10">
      <x:c r="A6187" s="1" t="s">
        <x:v>6195</x:v>
      </x:c>
      <x:c r="B6187" s="1">
        <x:f>IFERROR(__xludf.DUMMYFUNCTION("""COMPUTED_VALUE"""),"Supervivent")</x:f>
      </x:c>
      <x:c r="C6187" s="1">
        <x:f>IFERROR(__xludf.DUMMYFUNCTION("""COMPUTED_VALUE"""),"2015")</x:f>
      </x:c>
    </x:row>
    <x:row r="6188" spans="1:10">
      <x:c r="A6188" s="1" t="s">
        <x:v>6196</x:v>
      </x:c>
      <x:c r="B6188" s="1">
        <x:f>IFERROR(__xludf.DUMMYFUNCTION("""COMPUTED_VALUE"""),"Surge")</x:f>
      </x:c>
      <x:c r="C6188" s="1">
        <x:f>IFERROR(__xludf.DUMMYFUNCTION("""COMPUTED_VALUE"""),"2020")</x:f>
      </x:c>
    </x:row>
    <x:row r="6189" spans="1:10">
      <x:c r="A6189" s="1" t="s">
        <x:v>6197</x:v>
      </x:c>
      <x:c r="B6189" s="1">
        <x:f>IFERROR(__xludf.DUMMYFUNCTION("""COMPUTED_VALUE"""),"Suro")</x:f>
      </x:c>
      <x:c r="C6189" s="1">
        <x:f>IFERROR(__xludf.DUMMYFUNCTION("""COMPUTED_VALUE"""),"2022")</x:f>
      </x:c>
    </x:row>
    <x:row r="6190" spans="1:10">
      <x:c r="A6190" s="1" t="s">
        <x:v>6198</x:v>
      </x:c>
      <x:c r="B6190" s="1">
        <x:f>IFERROR(__xludf.DUMMYFUNCTION("""COMPUTED_VALUE"""),"Surt el sol a Edimburg")</x:f>
      </x:c>
      <x:c r="C6190" s="1">
        <x:f>IFERROR(__xludf.DUMMYFUNCTION("""COMPUTED_VALUE"""),"2013")</x:f>
      </x:c>
    </x:row>
    <x:row r="6191" spans="1:10">
      <x:c r="A6191" s="1" t="s">
        <x:v>6199</x:v>
      </x:c>
      <x:c r="B6191" s="1">
        <x:f>IFERROR(__xludf.DUMMYFUNCTION("""COMPUTED_VALUE"""),"Surto amb l'Amber")</x:f>
      </x:c>
      <x:c r="C6191" s="1">
        <x:f>IFERROR(__xludf.DUMMYFUNCTION("""COMPUTED_VALUE"""),"2020")</x:f>
      </x:c>
    </x:row>
    <x:row r="6192" spans="1:10">
      <x:c r="A6192" s="1" t="s">
        <x:v>6200</x:v>
      </x:c>
      <x:c r="B6192" s="1">
        <x:f>IFERROR(__xludf.DUMMYFUNCTION("""COMPUTED_VALUE"""),"Surveilled (Espiats) [VOSC]")</x:f>
      </x:c>
      <x:c r="C6192" s="1">
        <x:f>IFERROR(__xludf.DUMMYFUNCTION("""COMPUTED_VALUE"""),"2024")</x:f>
      </x:c>
    </x:row>
    <x:row r="6193" spans="1:10">
      <x:c r="A6193" s="1" t="s">
        <x:v>6201</x:v>
      </x:c>
      <x:c r="B6193" s="1">
        <x:f>IFERROR(__xludf.DUMMYFUNCTION("""COMPUTED_VALUE"""),"Susan Slade")</x:f>
      </x:c>
      <x:c r="C6193" s="1">
        <x:f>IFERROR(__xludf.DUMMYFUNCTION("""COMPUTED_VALUE"""),"1961")</x:f>
      </x:c>
    </x:row>
    <x:row r="6194" spans="1:10">
      <x:c r="A6194" s="1" t="s">
        <x:v>6202</x:v>
      </x:c>
      <x:c r="B6194" s="1">
        <x:f>IFERROR(__xludf.DUMMYFUNCTION("""COMPUTED_VALUE"""),"Susanna")</x:f>
      </x:c>
      <x:c r="C6194" s="1">
        <x:f>IFERROR(__xludf.DUMMYFUNCTION("""COMPUTED_VALUE"""),"1996")</x:f>
      </x:c>
    </x:row>
    <x:row r="6195" spans="1:10">
      <x:c r="A6195" s="1" t="s">
        <x:v>6203</x:v>
      </x:c>
      <x:c r="B6195" s="1">
        <x:f>IFERROR(__xludf.DUMMYFUNCTION("""COMPUTED_VALUE"""),"Sweeney Todd: el barber diabòlic del carrer Fleet")</x:f>
      </x:c>
      <x:c r="C6195" s="1">
        <x:f>IFERROR(__xludf.DUMMYFUNCTION("""COMPUTED_VALUE"""),"2007")</x:f>
      </x:c>
    </x:row>
    <x:row r="6196" spans="1:10">
      <x:c r="A6196" s="1" t="s">
        <x:v>6204</x:v>
      </x:c>
      <x:c r="B6196" s="1">
        <x:f>IFERROR(__xludf.DUMMYFUNCTION("""COMPUTED_VALUE"""),"Sweet As [VOSC]")</x:f>
      </x:c>
      <x:c r="C6196" s="1">
        <x:f>IFERROR(__xludf.DUMMYFUNCTION("""COMPUTED_VALUE"""),"2022")</x:f>
      </x:c>
    </x:row>
    <x:row r="6197" spans="1:10">
      <x:c r="A6197" s="1" t="s">
        <x:v>6205</x:v>
      </x:c>
      <x:c r="B6197" s="1">
        <x:f>IFERROR(__xludf.DUMMYFUNCTION("""COMPUTED_VALUE"""),"Sweet Home")</x:f>
      </x:c>
      <x:c r="C6197" s="1">
        <x:f>IFERROR(__xludf.DUMMYFUNCTION("""COMPUTED_VALUE"""),"2015")</x:f>
      </x:c>
    </x:row>
    <x:row r="6198" spans="1:10">
      <x:c r="A6198" s="1" t="s">
        <x:v>6206</x:v>
      </x:c>
      <x:c r="B6198" s="1">
        <x:f>IFERROR(__xludf.DUMMYFUNCTION("""COMPUTED_VALUE"""),"Symphonic Project - Els amics de les arts")</x:f>
      </x:c>
      <x:c r="C6198" s="1">
        <x:f>IFERROR(__xludf.DUMMYFUNCTION("""COMPUTED_VALUE"""),"2018")</x:f>
      </x:c>
    </x:row>
    <x:row r="6199" spans="1:10">
      <x:c r="A6199" s="1" t="s">
        <x:v>6207</x:v>
      </x:c>
      <x:c r="B6199" s="1">
        <x:f>IFERROR(__xludf.DUMMYFUNCTION("""COMPUTED_VALUE"""),"Syriana")</x:f>
      </x:c>
      <x:c r="C6199" s="1">
        <x:f>IFERROR(__xludf.DUMMYFUNCTION("""COMPUTED_VALUE"""),"2005")</x:f>
      </x:c>
    </x:row>
    <x:row r="6200" spans="1:10">
      <x:c r="A6200" s="1" t="s">
        <x:v>6208</x:v>
      </x:c>
      <x:c r="B6200" s="1">
        <x:f>IFERROR(__xludf.DUMMYFUNCTION("""COMPUTED_VALUE"""),"T'agrada Hitchcock")</x:f>
      </x:c>
      <x:c r="C6200" s="1">
        <x:f>IFERROR(__xludf.DUMMYFUNCTION("""COMPUTED_VALUE"""),"2005")</x:f>
      </x:c>
    </x:row>
    <x:row r="6201" spans="1:10">
      <x:c r="A6201" s="1" t="s">
        <x:v>6209</x:v>
      </x:c>
      <x:c r="B6201" s="1">
        <x:f>IFERROR(__xludf.DUMMYFUNCTION("""COMPUTED_VALUE"""),"T'estimo si he begut")</x:f>
      </x:c>
      <x:c r="C6201" s="1">
        <x:f>IFERROR(__xludf.DUMMYFUNCTION("""COMPUTED_VALUE"""),"2022")</x:f>
      </x:c>
    </x:row>
    <x:row r="6202" spans="1:10">
      <x:c r="A6202" s="1" t="s">
        <x:v>6210</x:v>
      </x:c>
      <x:c r="B6202" s="1">
        <x:f>IFERROR(__xludf.DUMMYFUNCTION("""COMPUTED_VALUE"""),"T'estimo tal com ets")</x:f>
      </x:c>
      <x:c r="C6202" s="1">
        <x:f>IFERROR(__xludf.DUMMYFUNCTION("""COMPUTED_VALUE"""),"2014")</x:f>
      </x:c>
    </x:row>
    <x:row r="6203" spans="1:10">
      <x:c r="A6203" s="1" t="s">
        <x:v>6211</x:v>
      </x:c>
      <x:c r="B6203" s="1">
        <x:f>IFERROR(__xludf.DUMMYFUNCTION("""COMPUTED_VALUE"""),"T'estimo, imbècil")</x:f>
      </x:c>
      <x:c r="C6203" s="1">
        <x:f>IFERROR(__xludf.DUMMYFUNCTION("""COMPUTED_VALUE"""),"2020")</x:f>
      </x:c>
    </x:row>
    <x:row r="6204" spans="1:10">
      <x:c r="A6204" s="1" t="s">
        <x:v>6212</x:v>
      </x:c>
      <x:c r="B6204" s="1">
        <x:f>IFERROR(__xludf.DUMMYFUNCTION("""COMPUTED_VALUE"""),"T'odio, amor meu")</x:f>
      </x:c>
      <x:c r="C6204" s="1">
        <x:f>IFERROR(__xludf.DUMMYFUNCTION("""COMPUTED_VALUE"""),"1996")</x:f>
      </x:c>
    </x:row>
    <x:row r="6205" spans="1:10">
      <x:c r="A6205" s="1" t="s">
        <x:v>6213</x:v>
      </x:c>
      <x:c r="B6205" s="1">
        <x:f>IFERROR(__xludf.DUMMYFUNCTION("""COMPUTED_VALUE"""),"Tabaluga i la princesa del gel")</x:f>
      </x:c>
      <x:c r="C6205" s="1">
        <x:f>IFERROR(__xludf.DUMMYFUNCTION("""COMPUTED_VALUE"""),"2018")</x:f>
      </x:c>
    </x:row>
    <x:row r="6206" spans="1:10">
      <x:c r="A6206" s="1" t="s">
        <x:v>6214</x:v>
      </x:c>
      <x:c r="B6206" s="1">
        <x:f>IFERROR(__xludf.DUMMYFUNCTION("""COMPUTED_VALUE"""),"Tadeu Jones 2. El secret del rei Mides")</x:f>
      </x:c>
      <x:c r="C6206" s="1">
        <x:f>IFERROR(__xludf.DUMMYFUNCTION("""COMPUTED_VALUE"""),"2017")</x:f>
      </x:c>
    </x:row>
    <x:row r="6207" spans="1:10">
      <x:c r="A6207" s="1" t="s">
        <x:v>6215</x:v>
      </x:c>
      <x:c r="B6207" s="1">
        <x:f>IFERROR(__xludf.DUMMYFUNCTION("""COMPUTED_VALUE"""),"Tadeu Jones 3. La taula maragda")</x:f>
      </x:c>
      <x:c r="C6207" s="1">
        <x:f>IFERROR(__xludf.DUMMYFUNCTION("""COMPUTED_VALUE"""),"2022")</x:f>
      </x:c>
    </x:row>
    <x:row r="6208" spans="1:10">
      <x:c r="A6208" s="1" t="s">
        <x:v>6216</x:v>
      </x:c>
      <x:c r="B6208" s="1">
        <x:f>IFERROR(__xludf.DUMMYFUNCTION("""COMPUTED_VALUE"""),"Taffin")</x:f>
      </x:c>
      <x:c r="C6208" s="1">
        <x:f>IFERROR(__xludf.DUMMYFUNCTION("""COMPUTED_VALUE"""),"1988")</x:f>
      </x:c>
    </x:row>
    <x:row r="6209" spans="1:10">
      <x:c r="A6209" s="1" t="s">
        <x:v>6217</x:v>
      </x:c>
      <x:c r="B6209" s="1">
        <x:f>IFERROR(__xludf.DUMMYFUNCTION("""COMPUTED_VALUE"""),"Take Cover")</x:f>
      </x:c>
      <x:c r="C6209" s="1">
        <x:f>IFERROR(__xludf.DUMMYFUNCTION("""COMPUTED_VALUE"""),"2024")</x:f>
      </x:c>
    </x:row>
    <x:row r="6210" spans="1:10">
      <x:c r="A6210" s="1" t="s">
        <x:v>6218</x:v>
      </x:c>
      <x:c r="B6210" s="1">
        <x:f>IFERROR(__xludf.DUMMYFUNCTION("""COMPUTED_VALUE"""),"Takers")</x:f>
      </x:c>
      <x:c r="C6210" s="1">
        <x:f>IFERROR(__xludf.DUMMYFUNCTION("""COMPUTED_VALUE"""),"2010")</x:f>
      </x:c>
    </x:row>
    <x:row r="6211" spans="1:10">
      <x:c r="A6211" s="1" t="s">
        <x:v>6219</x:v>
      </x:c>
      <x:c r="B6211" s="1">
        <x:f>IFERROR(__xludf.DUMMYFUNCTION("""COMPUTED_VALUE"""),"Tamara Drewe")</x:f>
      </x:c>
      <x:c r="C6211" s="1">
        <x:f>IFERROR(__xludf.DUMMYFUNCTION("""COMPUTED_VALUE"""),"2010")</x:f>
      </x:c>
    </x:row>
    <x:row r="6212" spans="1:10">
      <x:c r="A6212" s="1" t="s">
        <x:v>6220</x:v>
      </x:c>
      <x:c r="B6212" s="1">
        <x:f>IFERROR(__xludf.DUMMYFUNCTION("""COMPUTED_VALUE"""),"També un pistoler necessita ajuda")</x:f>
      </x:c>
      <x:c r="C6212" s="1">
        <x:f>IFERROR(__xludf.DUMMYFUNCTION("""COMPUTED_VALUE"""),"1971")</x:f>
      </x:c>
    </x:row>
    <x:row r="6213" spans="1:10">
      <x:c r="A6213" s="1" t="s">
        <x:v>6221</x:v>
      </x:c>
      <x:c r="B6213" s="1">
        <x:f>IFERROR(__xludf.DUMMYFUNCTION("""COMPUTED_VALUE"""),"Tan fort i tan a prop")</x:f>
      </x:c>
      <x:c r="C6213" s="1">
        <x:f>IFERROR(__xludf.DUMMYFUNCTION("""COMPUTED_VALUE"""),"2011")</x:f>
      </x:c>
    </x:row>
    <x:row r="6214" spans="1:10">
      <x:c r="A6214" s="1" t="s">
        <x:v>6222</x:v>
      </x:c>
      <x:c r="B6214" s="1">
        <x:f>IFERROR(__xludf.DUMMYFUNCTION("""COMPUTED_VALUE"""),"Tancant el cercle")</x:f>
      </x:c>
      <x:c r="C6214" s="1">
        <x:f>IFERROR(__xludf.DUMMYFUNCTION("""COMPUTED_VALUE"""),"2007")</x:f>
      </x:c>
    </x:row>
    <x:row r="6215" spans="1:10">
      <x:c r="A6215" s="1" t="s">
        <x:v>6223</x:v>
      </x:c>
      <x:c r="B6215" s="1">
        <x:f>IFERROR(__xludf.DUMMYFUNCTION("""COMPUTED_VALUE"""),"Tanja, diari d'una guerrillera")</x:f>
      </x:c>
      <x:c r="C6215" s="1">
        <x:f>IFERROR(__xludf.DUMMYFUNCTION("""COMPUTED_VALUE"""),"2023")</x:f>
      </x:c>
    </x:row>
    <x:row r="6216" spans="1:10">
      <x:c r="A6216" s="1" t="s">
        <x:v>6224</x:v>
      </x:c>
      <x:c r="B6216" s="1">
        <x:f>IFERROR(__xludf.DUMMYFUNCTION("""COMPUTED_VALUE"""),"Tanna")</x:f>
      </x:c>
      <x:c r="C6216" s="1">
        <x:f>IFERROR(__xludf.DUMMYFUNCTION("""COMPUTED_VALUE"""),"2015")</x:f>
      </x:c>
    </x:row>
    <x:row r="6217" spans="1:10">
      <x:c r="A6217" s="1" t="s">
        <x:v>6225</x:v>
      </x:c>
      <x:c r="B6217" s="1">
        <x:f>IFERROR(__xludf.DUMMYFUNCTION("""COMPUTED_VALUE"""),"Tapes")</x:f>
      </x:c>
      <x:c r="C6217" s="1">
        <x:f>IFERROR(__xludf.DUMMYFUNCTION("""COMPUTED_VALUE"""),"2005")</x:f>
      </x:c>
    </x:row>
    <x:row r="6218" spans="1:10">
      <x:c r="A6218" s="1" t="s">
        <x:v>6226</x:v>
      </x:c>
      <x:c r="B6218" s="1">
        <x:f>IFERROR(__xludf.DUMMYFUNCTION("""COMPUTED_VALUE"""),"Tara Road")</x:f>
      </x:c>
      <x:c r="C6218" s="1">
        <x:f>IFERROR(__xludf.DUMMYFUNCTION("""COMPUTED_VALUE"""),"2005")</x:f>
      </x:c>
    </x:row>
    <x:row r="6219" spans="1:10">
      <x:c r="A6219" s="1" t="s">
        <x:v>6227</x:v>
      </x:c>
      <x:c r="B6219" s="1">
        <x:f>IFERROR(__xludf.DUMMYFUNCTION("""COMPUTED_VALUE"""),"Tarajal Desmuntant la impunitat a la frontera sud")</x:f>
      </x:c>
      <x:c r="C6219" s="1">
        <x:f>IFERROR(__xludf.DUMMYFUNCTION("""COMPUTED_VALUE"""),"2016")</x:f>
      </x:c>
    </x:row>
    <x:row r="6220" spans="1:10">
      <x:c r="A6220" s="1" t="s">
        <x:v>6228</x:v>
      </x:c>
      <x:c r="B6220" s="1">
        <x:f>IFERROR(__xludf.DUMMYFUNCTION("""COMPUTED_VALUE"""),"Taran i la caldera màgica")</x:f>
      </x:c>
      <x:c r="C6220" s="1">
        <x:f>IFERROR(__xludf.DUMMYFUNCTION("""COMPUTED_VALUE"""),"1985")</x:f>
      </x:c>
    </x:row>
    <x:row r="6221" spans="1:10">
      <x:c r="A6221" s="1" t="s">
        <x:v>6229</x:v>
      </x:c>
      <x:c r="B6221" s="1">
        <x:f>IFERROR(__xludf.DUMMYFUNCTION("""COMPUTED_VALUE"""),"Tardor a Nova York")</x:f>
      </x:c>
      <x:c r="C6221" s="1">
        <x:f>IFERROR(__xludf.DUMMYFUNCTION("""COMPUTED_VALUE"""),"2000")</x:f>
      </x:c>
    </x:row>
    <x:row r="6222" spans="1:10">
      <x:c r="A6222" s="1" t="s">
        <x:v>6230</x:v>
      </x:c>
      <x:c r="B6222" s="1">
        <x:f>IFERROR(__xludf.DUMMYFUNCTION("""COMPUTED_VALUE"""),"Tardor a Vermont")</x:f>
      </x:c>
      <x:c r="C6222" s="1">
        <x:f>IFERROR(__xludf.DUMMYFUNCTION("""COMPUTED_VALUE"""),"2017")</x:f>
      </x:c>
    </x:row>
    <x:row r="6223" spans="1:10">
      <x:c r="A6223" s="1" t="s">
        <x:v>6231</x:v>
      </x:c>
      <x:c r="B6223" s="1">
        <x:f>IFERROR(__xludf.DUMMYFUNCTION("""COMPUTED_VALUE"""),"Tarzan")</x:f>
      </x:c>
      <x:c r="C6223" s="1">
        <x:f>IFERROR(__xludf.DUMMYFUNCTION("""COMPUTED_VALUE"""),"1999")</x:f>
      </x:c>
    </x:row>
    <x:row r="6224" spans="1:10">
      <x:c r="A6224" s="1" t="s">
        <x:v>6232</x:v>
      </x:c>
      <x:c r="B6224" s="1">
        <x:f>IFERROR(__xludf.DUMMYFUNCTION("""COMPUTED_VALUE"""),"Tarzan")</x:f>
      </x:c>
      <x:c r="C6224" s="1">
        <x:f>IFERROR(__xludf.DUMMYFUNCTION("""COMPUTED_VALUE"""),"2013")</x:f>
      </x:c>
    </x:row>
    <x:row r="6225" spans="1:10">
      <x:c r="A6225" s="1" t="s">
        <x:v>6233</x:v>
      </x:c>
      <x:c r="B6225" s="1">
        <x:f>IFERROR(__xludf.DUMMYFUNCTION("""COMPUTED_VALUE"""),"Tatawo")</x:f>
      </x:c>
      <x:c r="C6225" s="1">
        <x:f>IFERROR(__xludf.DUMMYFUNCTION("""COMPUTED_VALUE"""),"2000")</x:f>
      </x:c>
    </x:row>
    <x:row r="6226" spans="1:10">
      <x:c r="A6226" s="1" t="s">
        <x:v>6234</x:v>
      </x:c>
      <x:c r="B6226" s="1">
        <x:f>IFERROR(__xludf.DUMMYFUNCTION("""COMPUTED_VALUE"""),"Tauró")</x:f>
      </x:c>
      <x:c r="C6226" s="1">
        <x:f>IFERROR(__xludf.DUMMYFUNCTION("""COMPUTED_VALUE"""),"1975")</x:f>
      </x:c>
    </x:row>
    <x:row r="6227" spans="1:10">
      <x:c r="A6227" s="1" t="s">
        <x:v>6235</x:v>
      </x:c>
      <x:c r="B6227" s="1">
        <x:f>IFERROR(__xludf.DUMMYFUNCTION("""COMPUTED_VALUE"""),"Taxi Driver")</x:f>
      </x:c>
      <x:c r="C6227" s="1">
        <x:f>IFERROR(__xludf.DUMMYFUNCTION("""COMPUTED_VALUE"""),"1976")</x:f>
      </x:c>
    </x:row>
    <x:row r="6228" spans="1:10">
      <x:c r="A6228" s="1" t="s">
        <x:v>6236</x:v>
      </x:c>
      <x:c r="B6228" s="1">
        <x:f>IFERROR(__xludf.DUMMYFUNCTION("""COMPUTED_VALUE"""),"Team Amèrica: La policia del món")</x:f>
      </x:c>
      <x:c r="C6228" s="1">
        <x:f>IFERROR(__xludf.DUMMYFUNCTION("""COMPUTED_VALUE"""),"2004")</x:f>
      </x:c>
    </x:row>
    <x:row r="6229" spans="1:10">
      <x:c r="A6229" s="1" t="s">
        <x:v>6237</x:v>
      </x:c>
      <x:c r="B6229" s="1">
        <x:f>IFERROR(__xludf.DUMMYFUNCTION("""COMPUTED_VALUE"""),"Teddy, la màgia de Nadal")</x:f>
      </x:c>
      <x:c r="C6229" s="1">
        <x:f>IFERROR(__xludf.DUMMYFUNCTION("""COMPUTED_VALUE"""),"2022")</x:f>
      </x:c>
    </x:row>
    <x:row r="6230" spans="1:10">
      <x:c r="A6230" s="1" t="s">
        <x:v>6238</x:v>
      </x:c>
      <x:c r="B6230" s="1">
        <x:f>IFERROR(__xludf.DUMMYFUNCTION("""COMPUTED_VALUE"""),"Tehilim")</x:f>
      </x:c>
      <x:c r="C6230" s="1">
        <x:f>IFERROR(__xludf.DUMMYFUNCTION("""COMPUTED_VALUE"""),"2007")</x:f>
      </x:c>
    </x:row>
    <x:row r="6231" spans="1:10">
      <x:c r="A6231" s="1" t="s">
        <x:v>6239</x:v>
      </x:c>
      <x:c r="B6231" s="1">
        <x:f>IFERROR(__xludf.DUMMYFUNCTION("""COMPUTED_VALUE"""),"Teletubbies. Anem a cantar amb els Teletubbies")</x:f>
      </x:c>
      <x:c r="C6231" s="1">
        <x:f>IFERROR(__xludf.DUMMYFUNCTION("""COMPUTED_VALUE"""),"1997")</x:f>
      </x:c>
    </x:row>
    <x:row r="6232" spans="1:10">
      <x:c r="A6232" s="1" t="s">
        <x:v>6240</x:v>
      </x:c>
      <x:c r="B6232" s="1">
        <x:f>IFERROR(__xludf.DUMMYFUNCTION("""COMPUTED_VALUE"""),"Teletubbies. Animals petits i grans")</x:f>
      </x:c>
      <x:c r="C6232" s="1">
        <x:f>IFERROR(__xludf.DUMMYFUNCTION("""COMPUTED_VALUE"""),"1997")</x:f>
      </x:c>
    </x:row>
    <x:row r="6233" spans="1:10">
      <x:c r="A6233" s="1" t="s">
        <x:v>6241</x:v>
      </x:c>
      <x:c r="B6233" s="1">
        <x:f>IFERROR(__xludf.DUMMYFUNCTION("""COMPUTED_VALUE"""),"Teletubbies. Balla amb els Teletubbies!")</x:f>
      </x:c>
      <x:c r="C6233" s="1">
        <x:f>IFERROR(__xludf.DUMMYFUNCTION("""COMPUTED_VALUE"""),"2004")</x:f>
      </x:c>
    </x:row>
    <x:row r="6234" spans="1:10">
      <x:c r="A6234" s="1" t="s">
        <x:v>6242</x:v>
      </x:c>
      <x:c r="B6234" s="1">
        <x:f>IFERROR(__xludf.DUMMYFUNCTION("""COMPUTED_VALUE"""),"Teletubbies. Preparats, llestos, ja!")</x:f>
      </x:c>
      <x:c r="C6234" s="1">
        <x:f>IFERROR(__xludf.DUMMYFUNCTION("""COMPUTED_VALUE"""),"1999")</x:f>
      </x:c>
    </x:row>
    <x:row r="6235" spans="1:10">
      <x:c r="A6235" s="1" t="s">
        <x:v>6243</x:v>
      </x:c>
      <x:c r="B6235" s="1">
        <x:f>IFERROR(__xludf.DUMMYFUNCTION("""COMPUTED_VALUE"""),"Témer la policia")</x:f>
      </x:c>
      <x:c r="C6235" s="1">
        <x:f>IFERROR(__xludf.DUMMYFUNCTION("""COMPUTED_VALUE"""),"2018")</x:f>
      </x:c>
    </x:row>
    <x:row r="6236" spans="1:10">
      <x:c r="A6236" s="1" t="s">
        <x:v>6244</x:v>
      </x:c>
      <x:c r="B6236" s="1">
        <x:f>IFERROR(__xludf.DUMMYFUNCTION("""COMPUTED_VALUE"""),"Tempesta sobre el Nil")</x:f>
      </x:c>
      <x:c r="C6236" s="1">
        <x:f>IFERROR(__xludf.DUMMYFUNCTION("""COMPUTED_VALUE"""),"1955")</x:f>
      </x:c>
    </x:row>
    <x:row r="6237" spans="1:10">
      <x:c r="A6237" s="1" t="s">
        <x:v>6245</x:v>
      </x:c>
      <x:c r="B6237" s="1">
        <x:f>IFERROR(__xludf.DUMMYFUNCTION("""COMPUTED_VALUE"""),"Tempesta virtual")</x:f>
      </x:c>
      <x:c r="C6237" s="1">
        <x:f>IFERROR(__xludf.DUMMYFUNCTION("""COMPUTED_VALUE"""),"2002")</x:f>
      </x:c>
    </x:row>
    <x:row r="6238" spans="1:10">
      <x:c r="A6238" s="1" t="s">
        <x:v>6246</x:v>
      </x:c>
      <x:c r="B6238" s="1">
        <x:f>IFERROR(__xludf.DUMMYFUNCTION("""COMPUTED_VALUE"""),"Templer")</x:f>
      </x:c>
      <x:c r="C6238" s="1">
        <x:f>IFERROR(__xludf.DUMMYFUNCTION("""COMPUTED_VALUE"""),"2011")</x:f>
      </x:c>
    </x:row>
    <x:row r="6239" spans="1:10">
      <x:c r="A6239" s="1" t="s">
        <x:v>6247</x:v>
      </x:c>
      <x:c r="B6239" s="1">
        <x:f>IFERROR(__xludf.DUMMYFUNCTION("""COMPUTED_VALUE"""),"Temps afegit")</x:f>
      </x:c>
      <x:c r="C6239" s="1">
        <x:f>IFERROR(__xludf.DUMMYFUNCTION("""COMPUTED_VALUE"""),"2002")</x:f>
      </x:c>
    </x:row>
    <x:row r="6240" spans="1:10">
      <x:c r="A6240" s="1" t="s">
        <x:v>6248</x:v>
      </x:c>
      <x:c r="B6240" s="1">
        <x:f>IFERROR(__xludf.DUMMYFUNCTION("""COMPUTED_VALUE"""),"Temps de glòria")</x:f>
      </x:c>
      <x:c r="C6240" s="1">
        <x:f>IFERROR(__xludf.DUMMYFUNCTION("""COMPUTED_VALUE"""),"1989")</x:f>
      </x:c>
    </x:row>
    <x:row r="6241" spans="1:10">
      <x:c r="A6241" s="1" t="s">
        <x:v>6249</x:v>
      </x:c>
      <x:c r="B6241" s="1">
        <x:f>IFERROR(__xludf.DUMMYFUNCTION("""COMPUTED_VALUE"""),"Temps de pioners")</x:f>
      </x:c>
      <x:c r="C6241" s="1">
        <x:f>IFERROR(__xludf.DUMMYFUNCTION("""COMPUTED_VALUE"""),"2017")</x:f>
      </x:c>
    </x:row>
    <x:row r="6242" spans="1:10">
      <x:c r="A6242" s="1" t="s">
        <x:v>6250</x:v>
      </x:c>
      <x:c r="B6242" s="1">
        <x:f>IFERROR(__xludf.DUMMYFUNCTION("""COMPUTED_VALUE"""),"Temps moderns [VO]")</x:f>
      </x:c>
      <x:c r="C6242" s="1">
        <x:f>IFERROR(__xludf.DUMMYFUNCTION("""COMPUTED_VALUE"""),"1936")</x:f>
      </x:c>
    </x:row>
    <x:row r="6243" spans="1:10">
      <x:c r="A6243" s="1" t="s">
        <x:v>6251</x:v>
      </x:c>
      <x:c r="B6243" s="1">
        <x:f>IFERROR(__xludf.DUMMYFUNCTION("""COMPUTED_VALUE"""),"Temptació a Manhattan")</x:f>
      </x:c>
      <x:c r="C6243" s="1">
        <x:f>IFERROR(__xludf.DUMMYFUNCTION("""COMPUTED_VALUE"""),"2011")</x:f>
      </x:c>
    </x:row>
    <x:row r="6244" spans="1:10">
      <x:c r="A6244" s="1" t="s">
        <x:v>6252</x:v>
      </x:c>
      <x:c r="B6244" s="1">
        <x:f>IFERROR(__xludf.DUMMYFUNCTION("""COMPUTED_VALUE"""),"Tempus fugit")</x:f>
      </x:c>
      <x:c r="C6244" s="1">
        <x:f>IFERROR(__xludf.DUMMYFUNCTION("""COMPUTED_VALUE"""),"2003")</x:f>
      </x:c>
    </x:row>
    <x:row r="6245" spans="1:10">
      <x:c r="A6245" s="1" t="s">
        <x:v>6253</x:v>
      </x:c>
      <x:c r="B6245" s="1">
        <x:f>IFERROR(__xludf.DUMMYFUNCTION("""COMPUTED_VALUE"""),"Tenderness")</x:f>
      </x:c>
      <x:c r="C6245" s="1">
        <x:f>IFERROR(__xludf.DUMMYFUNCTION("""COMPUTED_VALUE"""),"2009")</x:f>
      </x:c>
    </x:row>
    <x:row r="6246" spans="1:10">
      <x:c r="A6246" s="1" t="s">
        <x:v>6254</x:v>
      </x:c>
      <x:c r="B6246" s="1">
        <x:f>IFERROR(__xludf.DUMMYFUNCTION("""COMPUTED_VALUE"""),"Tendre i poc fet")</x:f>
      </x:c>
      <x:c r="C6246" s="1">
        <x:f>IFERROR(__xludf.DUMMYFUNCTION("""COMPUTED_VALUE"""),"2020")</x:f>
      </x:c>
    </x:row>
    <x:row r="6247" spans="1:10">
      <x:c r="A6247" s="1" t="s">
        <x:v>6255</x:v>
      </x:c>
      <x:c r="B6247" s="1">
        <x:f>IFERROR(__xludf.DUMMYFUNCTION("""COMPUTED_VALUE"""),"Tenor")</x:f>
      </x:c>
      <x:c r="C6247" s="1">
        <x:f>IFERROR(__xludf.DUMMYFUNCTION("""COMPUTED_VALUE"""),"2022")</x:f>
      </x:c>
    </x:row>
    <x:row r="6248" spans="1:10">
      <x:c r="A6248" s="1" t="s">
        <x:v>6256</x:v>
      </x:c>
      <x:c r="B6248" s="1">
        <x:f>IFERROR(__xludf.DUMMYFUNCTION("""COMPUTED_VALUE"""),"Tens un e-mail")</x:f>
      </x:c>
      <x:c r="C6248" s="1">
        <x:f>IFERROR(__xludf.DUMMYFUNCTION("""COMPUTED_VALUE"""),"1998")</x:f>
      </x:c>
    </x:row>
    <x:row r="6249" spans="1:10">
      <x:c r="A6249" s="1" t="s">
        <x:v>6257</x:v>
      </x:c>
      <x:c r="B6249" s="1">
        <x:f>IFERROR(__xludf.DUMMYFUNCTION("""COMPUTED_VALUE"""),"Teorema zero")</x:f>
      </x:c>
      <x:c r="C6249" s="1">
        <x:f>IFERROR(__xludf.DUMMYFUNCTION("""COMPUTED_VALUE"""),"2013")</x:f>
      </x:c>
    </x:row>
    <x:row r="6250" spans="1:10">
      <x:c r="A6250" s="1" t="s">
        <x:v>6258</x:v>
      </x:c>
      <x:c r="B6250" s="1">
        <x:f>IFERROR(__xludf.DUMMYFUNCTION("""COMPUTED_VALUE"""),"Teràpies de malson")</x:f>
      </x:c>
      <x:c r="C6250" s="1">
        <x:f>IFERROR(__xludf.DUMMYFUNCTION("""COMPUTED_VALUE"""),"2021")</x:f>
      </x:c>
    </x:row>
    <x:row r="6251" spans="1:10">
      <x:c r="A6251" s="1" t="s">
        <x:v>6259</x:v>
      </x:c>
      <x:c r="B6251" s="1">
        <x:f>IFERROR(__xludf.DUMMYFUNCTION("""COMPUTED_VALUE"""),"Tercera identitat")</x:f>
      </x:c>
      <x:c r="C6251" s="1">
        <x:f>IFERROR(__xludf.DUMMYFUNCTION("""COMPUTED_VALUE"""),"2004")</x:f>
      </x:c>
    </x:row>
    <x:row r="6252" spans="1:10">
      <x:c r="A6252" s="1" t="s">
        <x:v>6260</x:v>
      </x:c>
      <x:c r="B6252" s="1">
        <x:f>IFERROR(__xludf.DUMMYFUNCTION("""COMPUTED_VALUE"""),"Terenci Moix: la fabulació infinita")</x:f>
      </x:c>
      <x:c r="C6252" s="1">
        <x:f>IFERROR(__xludf.DUMMYFUNCTION("""COMPUTED_VALUE"""),"2023")</x:f>
      </x:c>
    </x:row>
    <x:row r="6253" spans="1:10">
      <x:c r="A6253" s="1" t="s">
        <x:v>6261</x:v>
      </x:c>
      <x:c r="B6253" s="1">
        <x:f>IFERROR(__xludf.DUMMYFUNCTION("""COMPUTED_VALUE"""),"Teresa Forcades: El capitalisme no és ètic")</x:f>
      </x:c>
      <x:c r="C6253" s="1">
        <x:f>IFERROR(__xludf.DUMMYFUNCTION("""COMPUTED_VALUE"""),"2012")</x:f>
      </x:c>
    </x:row>
    <x:row r="6254" spans="1:10">
      <x:c r="A6254" s="1" t="s">
        <x:v>6262</x:v>
      </x:c>
      <x:c r="B6254" s="1">
        <x:f>IFERROR(__xludf.DUMMYFUNCTION("""COMPUTED_VALUE"""),"Teresa i Tim")</x:f>
      </x:c>
      <x:c r="C6254" s="1">
        <x:f>IFERROR(__xludf.DUMMYFUNCTION("""COMPUTED_VALUE"""),"2016")</x:f>
      </x:c>
    </x:row>
    <x:row r="6255" spans="1:10">
      <x:c r="A6255" s="1" t="s">
        <x:v>6263</x:v>
      </x:c>
      <x:c r="B6255" s="1">
        <x:f>IFERROR(__xludf.DUMMYFUNCTION("""COMPUTED_VALUE"""),"Terminator I")</x:f>
      </x:c>
      <x:c r="C6255" s="1">
        <x:f>IFERROR(__xludf.DUMMYFUNCTION("""COMPUTED_VALUE"""),"1984")</x:f>
      </x:c>
    </x:row>
    <x:row r="6256" spans="1:10">
      <x:c r="A6256" s="1" t="s">
        <x:v>6264</x:v>
      </x:c>
      <x:c r="B6256" s="1">
        <x:f>IFERROR(__xludf.DUMMYFUNCTION("""COMPUTED_VALUE"""),"Terminator II El judici final")</x:f>
      </x:c>
      <x:c r="C6256" s="1">
        <x:f>IFERROR(__xludf.DUMMYFUNCTION("""COMPUTED_VALUE"""),"1991")</x:f>
      </x:c>
    </x:row>
    <x:row r="6257" spans="1:10">
      <x:c r="A6257" s="1" t="s">
        <x:v>6265</x:v>
      </x:c>
      <x:c r="B6257" s="1">
        <x:f>IFERROR(__xludf.DUMMYFUNCTION("""COMPUTED_VALUE"""),"Terminator III La rebel·lió de les màquines")</x:f>
      </x:c>
      <x:c r="C6257" s="1">
        <x:f>IFERROR(__xludf.DUMMYFUNCTION("""COMPUTED_VALUE"""),"2003")</x:f>
      </x:c>
    </x:row>
    <x:row r="6258" spans="1:10">
      <x:c r="A6258" s="1" t="s">
        <x:v>6266</x:v>
      </x:c>
      <x:c r="B6258" s="1">
        <x:f>IFERROR(__xludf.DUMMYFUNCTION("""COMPUTED_VALUE"""),"Terminator Salvation")</x:f>
      </x:c>
      <x:c r="C6258" s="1">
        <x:f>IFERROR(__xludf.DUMMYFUNCTION("""COMPUTED_VALUE"""),"2009")</x:f>
      </x:c>
    </x:row>
    <x:row r="6259" spans="1:10">
      <x:c r="A6259" s="1" t="s">
        <x:v>6267</x:v>
      </x:c>
      <x:c r="B6259" s="1">
        <x:f>IFERROR(__xludf.DUMMYFUNCTION("""COMPUTED_VALUE"""),"Terra")</x:f>
      </x:c>
      <x:c r="C6259" s="1">
        <x:f>IFERROR(__xludf.DUMMYFUNCTION("""COMPUTED_VALUE"""),"2007")</x:f>
      </x:c>
    </x:row>
    <x:row r="6260" spans="1:10">
      <x:c r="A6260" s="1" t="s">
        <x:v>6268</x:v>
      </x:c>
      <x:c r="B6260" s="1">
        <x:f>IFERROR(__xludf.DUMMYFUNCTION("""COMPUTED_VALUE"""),"Terra Baixa")</x:f>
      </x:c>
      <x:c r="C6260" s="1">
        <x:f>IFERROR(__xludf.DUMMYFUNCTION("""COMPUTED_VALUE"""),"1982")</x:f>
      </x:c>
    </x:row>
    <x:row r="6261" spans="1:10">
      <x:c r="A6261" s="1" t="s">
        <x:v>6269</x:v>
      </x:c>
      <x:c r="B6261" s="1">
        <x:f>IFERROR(__xludf.DUMMYFUNCTION("""COMPUTED_VALUE"""),"Terra baixa")</x:f>
      </x:c>
      <x:c r="C6261" s="1">
        <x:f>IFERROR(__xludf.DUMMYFUNCTION("""COMPUTED_VALUE"""),"2011")</x:f>
      </x:c>
    </x:row>
    <x:row r="6262" spans="1:10">
      <x:c r="A6262" s="1" t="s">
        <x:v>6270</x:v>
      </x:c>
      <x:c r="B6262" s="1">
        <x:f>IFERROR(__xludf.DUMMYFUNCTION("""COMPUTED_VALUE"""),"Terra de Déu")</x:f>
      </x:c>
      <x:c r="C6262" s="1">
        <x:f>IFERROR(__xludf.DUMMYFUNCTION("""COMPUTED_VALUE"""),"2017")</x:f>
      </x:c>
    </x:row>
    <x:row r="6263" spans="1:10">
      <x:c r="A6263" s="1" t="s">
        <x:v>6271</x:v>
      </x:c>
      <x:c r="B6263" s="1">
        <x:f>IFERROR(__xludf.DUMMYFUNCTION("""COMPUTED_VALUE"""),"Terra de faraons")</x:f>
      </x:c>
      <x:c r="C6263" s="1">
        <x:f>IFERROR(__xludf.DUMMYFUNCTION("""COMPUTED_VALUE"""),"1955")</x:f>
      </x:c>
    </x:row>
    <x:row r="6264" spans="1:10">
      <x:c r="A6264" s="1" t="s">
        <x:v>6272</x:v>
      </x:c>
      <x:c r="B6264" s="1">
        <x:f>IFERROR(__xludf.DUMMYFUNCTION("""COMPUTED_VALUE"""),"Terra de telers")</x:f>
      </x:c>
      <x:c r="C6264" s="1">
        <x:f>IFERROR(__xludf.DUMMYFUNCTION("""COMPUTED_VALUE"""),"2020")</x:f>
      </x:c>
    </x:row>
    <x:row r="6265" spans="1:10">
      <x:c r="A6265" s="1" t="s">
        <x:v>6273</x:v>
      </x:c>
      <x:c r="B6265" s="1">
        <x:f>IFERROR(__xludf.DUMMYFUNCTION("""COMPUTED_VALUE"""),"Terra de violència")</x:f>
      </x:c>
      <x:c r="C6265" s="1">
        <x:f>IFERROR(__xludf.DUMMYFUNCTION("""COMPUTED_VALUE"""),"1956")</x:f>
      </x:c>
    </x:row>
    <x:row r="6266" spans="1:10">
      <x:c r="A6266" s="1" t="s">
        <x:v>6274</x:v>
      </x:c>
      <x:c r="B6266" s="1">
        <x:f>IFERROR(__xludf.DUMMYFUNCTION("""COMPUTED_VALUE"""),"Terra ferma")</x:f>
      </x:c>
      <x:c r="C6266" s="1">
        <x:f>IFERROR(__xludf.DUMMYFUNCTION("""COMPUTED_VALUE"""),"2017")</x:f>
      </x:c>
    </x:row>
    <x:row r="6267" spans="1:10">
      <x:c r="A6267" s="1" t="s">
        <x:v>6275</x:v>
      </x:c>
      <x:c r="B6267" s="1">
        <x:f>IFERROR(__xludf.DUMMYFUNCTION("""COMPUTED_VALUE"""),"Terra i llibertat")</x:f>
      </x:c>
      <x:c r="C6267" s="1">
        <x:f>IFERROR(__xludf.DUMMYFUNCTION("""COMPUTED_VALUE"""),"1995")</x:f>
      </x:c>
    </x:row>
    <x:row r="6268" spans="1:10">
      <x:c r="A6268" s="1" t="s">
        <x:v>6276</x:v>
      </x:c>
      <x:c r="B6268" s="1">
        <x:f>IFERROR(__xludf.DUMMYFUNCTION("""COMPUTED_VALUE"""),"Terra Lliure, punt final")</x:f>
      </x:c>
      <x:c r="C6268" s="1">
        <x:f>IFERROR(__xludf.DUMMYFUNCTION("""COMPUTED_VALUE"""),"2007")</x:f>
      </x:c>
    </x:row>
    <x:row r="6269" spans="1:10">
      <x:c r="A6269" s="1" t="s">
        <x:v>6277</x:v>
      </x:c>
      <x:c r="B6269" s="1">
        <x:f>IFERROR(__xludf.DUMMYFUNCTION("""COMPUTED_VALUE"""),"Terra Willy, planeta desconegut")</x:f>
      </x:c>
      <x:c r="C6269" s="1">
        <x:f>IFERROR(__xludf.DUMMYFUNCTION("""COMPUTED_VALUE"""),"2019")</x:f>
      </x:c>
    </x:row>
    <x:row r="6270" spans="1:10">
      <x:c r="A6270" s="1" t="s">
        <x:v>6278</x:v>
      </x:c>
      <x:c r="B6270" s="1">
        <x:f>IFERROR(__xludf.DUMMYFUNCTION("""COMPUTED_VALUE"""),"Terranova")</x:f>
      </x:c>
      <x:c r="C6270" s="1">
        <x:f>IFERROR(__xludf.DUMMYFUNCTION("""COMPUTED_VALUE"""),"1989")</x:f>
      </x:c>
    </x:row>
    <x:row r="6271" spans="1:10">
      <x:c r="A6271" s="1" t="s">
        <x:v>6279</x:v>
      </x:c>
      <x:c r="B6271" s="1">
        <x:f>IFERROR(__xludf.DUMMYFUNCTION("""COMPUTED_VALUE"""),"Terratrèmol")</x:f>
      </x:c>
      <x:c r="C6271" s="1">
        <x:f>IFERROR(__xludf.DUMMYFUNCTION("""COMPUTED_VALUE"""),"1974")</x:f>
      </x:c>
    </x:row>
    <x:row r="6272" spans="1:10">
      <x:c r="A6272" s="1" t="s">
        <x:v>6280</x:v>
      </x:c>
      <x:c r="B6272" s="1">
        <x:f>IFERROR(__xludf.DUMMYFUNCTION("""COMPUTED_VALUE"""),"Territori Al-Qaeda")</x:f>
      </x:c>
      <x:c r="C6272" s="1">
        <x:f>IFERROR(__xludf.DUMMYFUNCTION("""COMPUTED_VALUE"""),"2012")</x:f>
      </x:c>
    </x:row>
    <x:row r="6273" spans="1:10">
      <x:c r="A6273" s="1" t="s">
        <x:v>6281</x:v>
      </x:c>
      <x:c r="B6273" s="1">
        <x:f>IFERROR(__xludf.DUMMYFUNCTION("""COMPUTED_VALUE"""),"Territori hostil")</x:f>
      </x:c>
      <x:c r="C6273" s="1">
        <x:f>IFERROR(__xludf.DUMMYFUNCTION("""COMPUTED_VALUE"""),"2022")</x:f>
      </x:c>
    </x:row>
    <x:row r="6274" spans="1:10">
      <x:c r="A6274" s="1" t="s">
        <x:v>6282</x:v>
      </x:c>
      <x:c r="B6274" s="1">
        <x:f>IFERROR(__xludf.DUMMYFUNCTION("""COMPUTED_VALUE"""),"Territori prohibit")</x:f>
      </x:c>
      <x:c r="C6274" s="1">
        <x:f>IFERROR(__xludf.DUMMYFUNCTION("""COMPUTED_VALUE"""),"2009")</x:f>
      </x:c>
    </x:row>
    <x:row r="6275" spans="1:10">
      <x:c r="A6275" s="1" t="s">
        <x:v>6283</x:v>
      </x:c>
      <x:c r="B6275" s="1">
        <x:f>IFERROR(__xludf.DUMMYFUNCTION("""COMPUTED_VALUE"""),"Terror a l'abisme")</x:f>
      </x:c>
      <x:c r="C6275" s="1">
        <x:f>IFERROR(__xludf.DUMMYFUNCTION("""COMPUTED_VALUE"""),"2002")</x:f>
      </x:c>
    </x:row>
    <x:row r="6276" spans="1:10">
      <x:c r="A6276" s="1" t="s">
        <x:v>6284</x:v>
      </x:c>
      <x:c r="B6276" s="1">
        <x:f>IFERROR(__xludf.DUMMYFUNCTION("""COMPUTED_VALUE"""),"Terror en la boira")</x:f>
      </x:c>
      <x:c r="C6276" s="1">
        <x:f>IFERROR(__xludf.DUMMYFUNCTION("""COMPUTED_VALUE"""),"2005")</x:f>
      </x:c>
    </x:row>
    <x:row r="6277" spans="1:10">
      <x:c r="A6277" s="1" t="s">
        <x:v>6285</x:v>
      </x:c>
      <x:c r="B6277" s="1">
        <x:f>IFERROR(__xludf.DUMMYFUNCTION("""COMPUTED_VALUE"""),"Terrorífica lluna de mel")</x:f>
      </x:c>
      <x:c r="C6277" s="1">
        <x:f>IFERROR(__xludf.DUMMYFUNCTION("""COMPUTED_VALUE"""),"1986")</x:f>
      </x:c>
    </x:row>
    <x:row r="6278" spans="1:10">
      <x:c r="A6278" s="1" t="s">
        <x:v>6286</x:v>
      </x:c>
      <x:c r="B6278" s="1">
        <x:f>IFERROR(__xludf.DUMMYFUNCTION("""COMPUTED_VALUE"""),"Terrrific")</x:f>
      </x:c>
      <x:c r="C6278" s="1">
        <x:f>IFERROR(__xludf.DUMMYFUNCTION("""COMPUTED_VALUE"""),"1992")</x:f>
      </x:c>
    </x:row>
    <x:row r="6279" spans="1:10">
      <x:c r="A6279" s="1" t="s">
        <x:v>6287</x:v>
      </x:c>
      <x:c r="B6279" s="1">
        <x:f>IFERROR(__xludf.DUMMYFUNCTION("""COMPUTED_VALUE"""),"Tess")</x:f>
      </x:c>
      <x:c r="C6279" s="1">
        <x:f>IFERROR(__xludf.DUMMYFUNCTION("""COMPUTED_VALUE"""),"1979")</x:f>
      </x:c>
    </x:row>
    <x:row r="6280" spans="1:10">
      <x:c r="A6280" s="1" t="s">
        <x:v>6288</x:v>
      </x:c>
      <x:c r="B6280" s="1">
        <x:f>IFERROR(__xludf.DUMMYFUNCTION("""COMPUTED_VALUE"""),"Testimoni accidental")</x:f>
      </x:c>
      <x:c r="C6280" s="1">
        <x:f>IFERROR(__xludf.DUMMYFUNCTION("""COMPUTED_VALUE"""),"1990")</x:f>
      </x:c>
    </x:row>
    <x:row r="6281" spans="1:10">
      <x:c r="A6281" s="1" t="s">
        <x:v>6289</x:v>
      </x:c>
      <x:c r="B6281" s="1">
        <x:f>IFERROR(__xludf.DUMMYFUNCTION("""COMPUTED_VALUE"""),"Testimoni d'un assassinat")</x:f>
      </x:c>
      <x:c r="C6281" s="1">
        <x:f>IFERROR(__xludf.DUMMYFUNCTION("""COMPUTED_VALUE"""),"1954")</x:f>
      </x:c>
    </x:row>
    <x:row r="6282" spans="1:10">
      <x:c r="A6282" s="1" t="s">
        <x:v>6290</x:v>
      </x:c>
      <x:c r="B6282" s="1">
        <x:f>IFERROR(__xludf.DUMMYFUNCTION("""COMPUTED_VALUE"""),"Testimoni de càrrec")</x:f>
      </x:c>
      <x:c r="C6282" s="1">
        <x:f>IFERROR(__xludf.DUMMYFUNCTION("""COMPUTED_VALUE"""),"1957")</x:f>
      </x:c>
    </x:row>
    <x:row r="6283" spans="1:10">
      <x:c r="A6283" s="1" t="s">
        <x:v>6291</x:v>
      </x:c>
      <x:c r="B6283" s="1">
        <x:f>IFERROR(__xludf.DUMMYFUNCTION("""COMPUTED_VALUE"""),"Testimoni de càrrec")</x:f>
      </x:c>
      <x:c r="C6283" s="1">
        <x:f>IFERROR(__xludf.DUMMYFUNCTION("""COMPUTED_VALUE"""),"2016")</x:f>
      </x:c>
    </x:row>
    <x:row r="6284" spans="1:10">
      <x:c r="A6284" s="1" t="s">
        <x:v>6292</x:v>
      </x:c>
      <x:c r="B6284" s="1">
        <x:f>IFERROR(__xludf.DUMMYFUNCTION("""COMPUTED_VALUE"""),"Testimoni desprotegida")</x:f>
      </x:c>
      <x:c r="C6284" s="1">
        <x:f>IFERROR(__xludf.DUMMYFUNCTION("""COMPUTED_VALUE"""),"2018")</x:f>
      </x:c>
    </x:row>
    <x:row r="6285" spans="1:10">
      <x:c r="A6285" s="1" t="s">
        <x:v>6293</x:v>
      </x:c>
      <x:c r="B6285" s="1">
        <x:f>IFERROR(__xludf.DUMMYFUNCTION("""COMPUTED_VALUE"""),"Teus, meus i nostres")</x:f>
      </x:c>
      <x:c r="C6285" s="1">
        <x:f>IFERROR(__xludf.DUMMYFUNCTION("""COMPUTED_VALUE"""),"2005")</x:f>
      </x:c>
    </x:row>
    <x:row r="6286" spans="1:10">
      <x:c r="A6286" s="1" t="s">
        <x:v>6294</x:v>
      </x:c>
      <x:c r="B6286" s="1">
        <x:f>IFERROR(__xludf.DUMMYFUNCTION("""COMPUTED_VALUE"""),"Texas")</x:f>
      </x:c>
      <x:c r="C6286" s="1">
        <x:f>IFERROR(__xludf.DUMMYFUNCTION("""COMPUTED_VALUE"""),"1941")</x:f>
      </x:c>
    </x:row>
    <x:row r="6287" spans="1:10">
      <x:c r="A6287" s="1" t="s">
        <x:v>6295</x:v>
      </x:c>
      <x:c r="B6287" s="1">
        <x:f>IFERROR(__xludf.DUMMYFUNCTION("""COMPUTED_VALUE"""),"The Amazing Spider-Man")</x:f>
      </x:c>
      <x:c r="C6287" s="1">
        <x:f>IFERROR(__xludf.DUMMYFUNCTION("""COMPUTED_VALUE"""),"2012")</x:f>
      </x:c>
    </x:row>
    <x:row r="6288" spans="1:10">
      <x:c r="A6288" s="1" t="s">
        <x:v>6296</x:v>
      </x:c>
      <x:c r="B6288" s="1">
        <x:f>IFERROR(__xludf.DUMMYFUNCTION("""COMPUTED_VALUE"""),"The Amazing Spider-Man 2. El poder de l'Electro")</x:f>
      </x:c>
      <x:c r="C6288" s="1">
        <x:f>IFERROR(__xludf.DUMMYFUNCTION("""COMPUTED_VALUE"""),"2014")</x:f>
      </x:c>
    </x:row>
    <x:row r="6289" spans="1:10">
      <x:c r="A6289" s="1" t="s">
        <x:v>6297</x:v>
      </x:c>
      <x:c r="B6289" s="1">
        <x:f>IFERROR(__xludf.DUMMYFUNCTION("""COMPUTED_VALUE"""),"The Apprentice (la història de Trump)")</x:f>
      </x:c>
      <x:c r="C6289" s="1">
        <x:f>IFERROR(__xludf.DUMMYFUNCTION("""COMPUTED_VALUE"""),"2024")</x:f>
      </x:c>
    </x:row>
    <x:row r="6290" spans="1:10">
      <x:c r="A6290" s="1" t="s">
        <x:v>6298</x:v>
      </x:c>
      <x:c r="B6290" s="1">
        <x:f>IFERROR(__xludf.DUMMYFUNCTION("""COMPUTED_VALUE"""),"The Arctic Convoy")</x:f>
      </x:c>
      <x:c r="C6290" s="1">
        <x:f>IFERROR(__xludf.DUMMYFUNCTION("""COMPUTED_VALUE"""),"2023")</x:f>
      </x:c>
    </x:row>
    <x:row r="6291" spans="1:10">
      <x:c r="A6291" s="1" t="s">
        <x:v>6299</x:v>
      </x:c>
      <x:c r="B6291" s="1">
        <x:f>IFERROR(__xludf.DUMMYFUNCTION("""COMPUTED_VALUE"""),"The Assistant")</x:f>
      </x:c>
      <x:c r="C6291" s="1">
        <x:f>IFERROR(__xludf.DUMMYFUNCTION("""COMPUTED_VALUE"""),"2019")</x:f>
      </x:c>
    </x:row>
    <x:row r="6292" spans="1:10">
      <x:c r="A6292" s="1" t="s">
        <x:v>6300</x:v>
      </x:c>
      <x:c r="B6292" s="1">
        <x:f>IFERROR(__xludf.DUMMYFUNCTION("""COMPUTED_VALUE"""),"The Babadook")</x:f>
      </x:c>
      <x:c r="C6292" s="1">
        <x:f>IFERROR(__xludf.DUMMYFUNCTION("""COMPUTED_VALUE"""),"2014")</x:f>
      </x:c>
    </x:row>
    <x:row r="6293" spans="1:10">
      <x:c r="A6293" s="1" t="s">
        <x:v>6301</x:v>
      </x:c>
      <x:c r="B6293" s="1">
        <x:f>IFERROR(__xludf.DUMMYFUNCTION("""COMPUTED_VALUE"""),"The Batman")</x:f>
      </x:c>
      <x:c r="C6293" s="1">
        <x:f>IFERROR(__xludf.DUMMYFUNCTION("""COMPUTED_VALUE"""),"2022")</x:f>
      </x:c>
    </x:row>
    <x:row r="6294" spans="1:10">
      <x:c r="A6294" s="1" t="s">
        <x:v>6302</x:v>
      </x:c>
      <x:c r="B6294" s="1">
        <x:f>IFERROR(__xludf.DUMMYFUNCTION("""COMPUTED_VALUE"""),"The Beast")</x:f>
      </x:c>
      <x:c r="C6294" s="1">
        <x:f>IFERROR(__xludf.DUMMYFUNCTION("""COMPUTED_VALUE"""),"2019")</x:f>
      </x:c>
    </x:row>
    <x:row r="6295" spans="1:10">
      <x:c r="A6295" s="1" t="s">
        <x:v>6303</x:v>
      </x:c>
      <x:c r="B6295" s="1">
        <x:f>IFERROR(__xludf.DUMMYFUNCTION("""COMPUTED_VALUE"""),"The Beatles: Eight Days a Week")</x:f>
      </x:c>
      <x:c r="C6295" s="1">
        <x:f>IFERROR(__xludf.DUMMYFUNCTION("""COMPUTED_VALUE"""),"2016")</x:f>
      </x:c>
    </x:row>
    <x:row r="6296" spans="1:10">
      <x:c r="A6296" s="1" t="s">
        <x:v>6304</x:v>
      </x:c>
      <x:c r="B6296" s="1">
        <x:f>IFERROR(__xludf.DUMMYFUNCTION("""COMPUTED_VALUE"""),"The Belko Experiment")</x:f>
      </x:c>
      <x:c r="C6296" s="1">
        <x:f>IFERROR(__xludf.DUMMYFUNCTION("""COMPUTED_VALUE"""),"2016")</x:f>
      </x:c>
    </x:row>
    <x:row r="6297" spans="1:10">
      <x:c r="A6297" s="1" t="s">
        <x:v>6305</x:v>
      </x:c>
      <x:c r="B6297" s="1">
        <x:f>IFERROR(__xludf.DUMMYFUNCTION("""COMPUTED_VALUE"""),"The Birthday")</x:f>
      </x:c>
      <x:c r="C6297" s="1">
        <x:f>IFERROR(__xludf.DUMMYFUNCTION("""COMPUTED_VALUE"""),"2004")</x:f>
      </x:c>
    </x:row>
    <x:row r="6298" spans="1:10">
      <x:c r="A6298" s="1" t="s">
        <x:v>6306</x:v>
      </x:c>
      <x:c r="B6298" s="1">
        <x:f>IFERROR(__xludf.DUMMYFUNCTION("""COMPUTED_VALUE"""),"The Blind Side: un somni possible")</x:f>
      </x:c>
      <x:c r="C6298" s="1">
        <x:f>IFERROR(__xludf.DUMMYFUNCTION("""COMPUTED_VALUE"""),"2009")</x:f>
      </x:c>
    </x:row>
    <x:row r="6299" spans="1:10">
      <x:c r="A6299" s="1" t="s">
        <x:v>6307</x:v>
      </x:c>
      <x:c r="B6299" s="1">
        <x:f>IFERROR(__xludf.DUMMYFUNCTION("""COMPUTED_VALUE"""),"The blue girl [VOSC]")</x:f>
      </x:c>
      <x:c r="C6299" s="1">
        <x:f>IFERROR(__xludf.DUMMYFUNCTION("""COMPUTED_VALUE"""),"2021")</x:f>
      </x:c>
    </x:row>
    <x:row r="6300" spans="1:10">
      <x:c r="A6300" s="1" t="s">
        <x:v>6308</x:v>
      </x:c>
      <x:c r="B6300" s="1">
        <x:f>IFERROR(__xludf.DUMMYFUNCTION("""COMPUTED_VALUE"""),"The Body (El cos)")</x:f>
      </x:c>
      <x:c r="C6300" s="1">
        <x:f>IFERROR(__xludf.DUMMYFUNCTION("""COMPUTED_VALUE"""),"2001")</x:f>
      </x:c>
    </x:row>
    <x:row r="6301" spans="1:10">
      <x:c r="A6301" s="1" t="s">
        <x:v>6309</x:v>
      </x:c>
      <x:c r="B6301" s="1">
        <x:f>IFERROR(__xludf.DUMMYFUNCTION("""COMPUTED_VALUE"""),"The Box")</x:f>
      </x:c>
      <x:c r="C6301" s="1">
        <x:f>IFERROR(__xludf.DUMMYFUNCTION("""COMPUTED_VALUE"""),"2009")</x:f>
      </x:c>
    </x:row>
    <x:row r="6302" spans="1:10">
      <x:c r="A6302" s="1" t="s">
        <x:v>6310</x:v>
      </x:c>
      <x:c r="B6302" s="1">
        <x:f>IFERROR(__xludf.DUMMYFUNCTION("""COMPUTED_VALUE"""),"The Broken")</x:f>
      </x:c>
      <x:c r="C6302" s="1">
        <x:f>IFERROR(__xludf.DUMMYFUNCTION("""COMPUTED_VALUE"""),"2008")</x:f>
      </x:c>
    </x:row>
    <x:row r="6303" spans="1:10">
      <x:c r="A6303" s="1" t="s">
        <x:v>6311</x:v>
      </x:c>
      <x:c r="B6303" s="1">
        <x:f>IFERROR(__xludf.DUMMYFUNCTION("""COMPUTED_VALUE"""),"The Cabin in the Woods [VOSC]")</x:f>
      </x:c>
      <x:c r="C6303" s="1">
        <x:f>IFERROR(__xludf.DUMMYFUNCTION("""COMPUTED_VALUE"""),"2012")</x:f>
      </x:c>
    </x:row>
    <x:row r="6304" spans="1:10">
      <x:c r="A6304" s="1" t="s">
        <x:v>6312</x:v>
      </x:c>
      <x:c r="B6304" s="1">
        <x:f>IFERROR(__xludf.DUMMYFUNCTION("""COMPUTED_VALUE"""),"The Code")</x:f>
      </x:c>
      <x:c r="C6304" s="1">
        <x:f>IFERROR(__xludf.DUMMYFUNCTION("""COMPUTED_VALUE"""),"2009")</x:f>
      </x:c>
    </x:row>
    <x:row r="6305" spans="1:10">
      <x:c r="A6305" s="1" t="s">
        <x:v>6313</x:v>
      </x:c>
      <x:c r="B6305" s="1">
        <x:f>IFERROR(__xludf.DUMMYFUNCTION("""COMPUTED_VALUE"""),"The Contract")</x:f>
      </x:c>
      <x:c r="C6305" s="1">
        <x:f>IFERROR(__xludf.DUMMYFUNCTION("""COMPUTED_VALUE"""),"2006")</x:f>
      </x:c>
    </x:row>
    <x:row r="6306" spans="1:10">
      <x:c r="A6306" s="1" t="s">
        <x:v>6314</x:v>
      </x:c>
      <x:c r="B6306" s="1">
        <x:f>IFERROR(__xludf.DUMMYFUNCTION("""COMPUTED_VALUE"""),"The Damned United")</x:f>
      </x:c>
      <x:c r="C6306" s="1">
        <x:f>IFERROR(__xludf.DUMMYFUNCTION("""COMPUTED_VALUE"""),"2009")</x:f>
      </x:c>
    </x:row>
    <x:row r="6307" spans="1:10">
      <x:c r="A6307" s="1" t="s">
        <x:v>6315</x:v>
      </x:c>
      <x:c r="B6307" s="1">
        <x:f>IFERROR(__xludf.DUMMYFUNCTION("""COMPUTED_VALUE"""),"The Dead Girl")</x:f>
      </x:c>
      <x:c r="C6307" s="1">
        <x:f>IFERROR(__xludf.DUMMYFUNCTION("""COMPUTED_VALUE"""),"2006")</x:f>
      </x:c>
    </x:row>
    <x:row r="6308" spans="1:10">
      <x:c r="A6308" s="1" t="s">
        <x:v>6316</x:v>
      </x:c>
      <x:c r="B6308" s="1">
        <x:f>IFERROR(__xludf.DUMMYFUNCTION("""COMPUTED_VALUE"""),"The Deep Blue Sea")</x:f>
      </x:c>
      <x:c r="C6308" s="1">
        <x:f>IFERROR(__xludf.DUMMYFUNCTION("""COMPUTED_VALUE"""),"2011")</x:f>
      </x:c>
    </x:row>
    <x:row r="6309" spans="1:10">
      <x:c r="A6309" s="1" t="s">
        <x:v>6317</x:v>
      </x:c>
      <x:c r="B6309" s="1">
        <x:f>IFERROR(__xludf.DUMMYFUNCTION("""COMPUTED_VALUE"""),"The Deer King: El rei cérvol")</x:f>
      </x:c>
      <x:c r="C6309" s="1">
        <x:f>IFERROR(__xludf.DUMMYFUNCTION("""COMPUTED_VALUE"""),"2021")</x:f>
      </x:c>
    </x:row>
    <x:row r="6310" spans="1:10">
      <x:c r="A6310" s="1" t="s">
        <x:v>6318</x:v>
      </x:c>
      <x:c r="B6310" s="1">
        <x:f>IFERROR(__xludf.DUMMYFUNCTION("""COMPUTED_VALUE"""),"The Disaster Artist")</x:f>
      </x:c>
      <x:c r="C6310" s="1">
        <x:f>IFERROR(__xludf.DUMMYFUNCTION("""COMPUTED_VALUE"""),"2017")</x:f>
      </x:c>
    </x:row>
    <x:row r="6311" spans="1:10">
      <x:c r="A6311" s="1" t="s">
        <x:v>6319</x:v>
      </x:c>
      <x:c r="B6311" s="1">
        <x:f>IFERROR(__xludf.DUMMYFUNCTION("""COMPUTED_VALUE"""),"The Dish, La Lluna en directe [VOSC]")</x:f>
      </x:c>
      <x:c r="C6311" s="1">
        <x:f>IFERROR(__xludf.DUMMYFUNCTION("""COMPUTED_VALUE"""),"2000")</x:f>
      </x:c>
    </x:row>
    <x:row r="6312" spans="1:10">
      <x:c r="A6312" s="1" t="s">
        <x:v>6320</x:v>
      </x:c>
      <x:c r="B6312" s="1">
        <x:f>IFERROR(__xludf.DUMMYFUNCTION("""COMPUTED_VALUE"""),"The Escape [VOSC]")</x:f>
      </x:c>
      <x:c r="C6312" s="1">
        <x:f>IFERROR(__xludf.DUMMYFUNCTION("""COMPUTED_VALUE"""),"2016")</x:f>
      </x:c>
    </x:row>
    <x:row r="6313" spans="1:10">
      <x:c r="A6313" s="1" t="s">
        <x:v>6321</x:v>
      </x:c>
      <x:c r="B6313" s="1">
        <x:f>IFERROR(__xludf.DUMMYFUNCTION("""COMPUTED_VALUE"""),"The Eye (Visions)")</x:f>
      </x:c>
      <x:c r="C6313" s="1">
        <x:f>IFERROR(__xludf.DUMMYFUNCTION("""COMPUTED_VALUE"""),"2008")</x:f>
      </x:c>
    </x:row>
    <x:row r="6314" spans="1:10">
      <x:c r="A6314" s="1" t="s">
        <x:v>6322</x:v>
      </x:c>
      <x:c r="B6314" s="1">
        <x:f>IFERROR(__xludf.DUMMYFUNCTION("""COMPUTED_VALUE"""),"The Faculty")</x:f>
      </x:c>
      <x:c r="C6314" s="1">
        <x:f>IFERROR(__xludf.DUMMYFUNCTION("""COMPUTED_VALUE"""),"1999")</x:f>
      </x:c>
    </x:row>
    <x:row r="6315" spans="1:10">
      <x:c r="A6315" s="1" t="s">
        <x:v>6323</x:v>
      </x:c>
      <x:c r="B6315" s="1">
        <x:f>IFERROR(__xludf.DUMMYFUNCTION("""COMPUTED_VALUE"""),"The Fake")</x:f>
      </x:c>
      <x:c r="C6315" s="1">
        <x:f>IFERROR(__xludf.DUMMYFUNCTION("""COMPUTED_VALUE"""),"2013")</x:f>
      </x:c>
    </x:row>
    <x:row r="6316" spans="1:10">
      <x:c r="A6316" s="1" t="s">
        <x:v>6324</x:v>
      </x:c>
      <x:c r="B6316" s="1">
        <x:f>IFERROR(__xludf.DUMMYFUNCTION("""COMPUTED_VALUE"""),"The Fall: El somni d'Alexandria")</x:f>
      </x:c>
      <x:c r="C6316" s="1">
        <x:f>IFERROR(__xludf.DUMMYFUNCTION("""COMPUTED_VALUE"""),"2006")</x:f>
      </x:c>
    </x:row>
    <x:row r="6317" spans="1:10">
      <x:c r="A6317" s="1" t="s">
        <x:v>6325</x:v>
      </x:c>
      <x:c r="B6317" s="1">
        <x:f>IFERROR(__xludf.DUMMYFUNCTION("""COMPUTED_VALUE"""),"The Farewell")</x:f>
      </x:c>
      <x:c r="C6317" s="1">
        <x:f>IFERROR(__xludf.DUMMYFUNCTION("""COMPUTED_VALUE"""),"2019")</x:f>
      </x:c>
    </x:row>
    <x:row r="6318" spans="1:10">
      <x:c r="A6318" s="1" t="s">
        <x:v>6326</x:v>
      </x:c>
      <x:c r="B6318" s="1">
        <x:f>IFERROR(__xludf.DUMMYFUNCTION("""COMPUTED_VALUE"""),"The Fighter")</x:f>
      </x:c>
      <x:c r="C6318" s="1">
        <x:f>IFERROR(__xludf.DUMMYFUNCTION("""COMPUTED_VALUE"""),"2010")</x:f>
      </x:c>
    </x:row>
    <x:row r="6319" spans="1:10">
      <x:c r="A6319" s="1" t="s">
        <x:v>6327</x:v>
      </x:c>
      <x:c r="B6319" s="1">
        <x:f>IFERROR(__xludf.DUMMYFUNCTION("""COMPUTED_VALUE"""),"The First Slam Dunk")</x:f>
      </x:c>
      <x:c r="C6319" s="1">
        <x:f>IFERROR(__xludf.DUMMYFUNCTION("""COMPUTED_VALUE"""),"2022")</x:f>
      </x:c>
    </x:row>
    <x:row r="6320" spans="1:10">
      <x:c r="A6320" s="1" t="s">
        <x:v>6328</x:v>
      </x:c>
      <x:c r="B6320" s="1">
        <x:f>IFERROR(__xludf.DUMMYFUNCTION("""COMPUTED_VALUE"""),"The Frost (El gebre)")</x:f>
      </x:c>
      <x:c r="C6320" s="1">
        <x:f>IFERROR(__xludf.DUMMYFUNCTION("""COMPUTED_VALUE"""),"2009")</x:f>
      </x:c>
    </x:row>
    <x:row r="6321" spans="1:10">
      <x:c r="A6321" s="1" t="s">
        <x:v>6329</x:v>
      </x:c>
      <x:c r="B6321" s="1">
        <x:f>IFERROR(__xludf.DUMMYFUNCTION("""COMPUTED_VALUE"""),"The game")</x:f>
      </x:c>
      <x:c r="C6321" s="1">
        <x:f>IFERROR(__xludf.DUMMYFUNCTION("""COMPUTED_VALUE"""),"1997")</x:f>
      </x:c>
    </x:row>
    <x:row r="6322" spans="1:10">
      <x:c r="A6322" s="1" t="s">
        <x:v>6330</x:v>
      </x:c>
      <x:c r="B6322" s="1">
        <x:f>IFERROR(__xludf.DUMMYFUNCTION("""COMPUTED_VALUE"""),"The Generation of Evil (Els corruptes)")</x:f>
      </x:c>
      <x:c r="C6322" s="1">
        <x:f>IFERROR(__xludf.DUMMYFUNCTION("""COMPUTED_VALUE"""),"2021")</x:f>
      </x:c>
    </x:row>
    <x:row r="6323" spans="1:10">
      <x:c r="A6323" s="1" t="s">
        <x:v>6331</x:v>
      </x:c>
      <x:c r="B6323" s="1">
        <x:f>IFERROR(__xludf.DUMMYFUNCTION("""COMPUTED_VALUE"""),"The Gentlemen: Els senyors de la màfia")</x:f>
      </x:c>
      <x:c r="C6323" s="1">
        <x:f>IFERROR(__xludf.DUMMYFUNCTION("""COMPUTED_VALUE"""),"2019")</x:f>
      </x:c>
    </x:row>
    <x:row r="6324" spans="1:10">
      <x:c r="A6324" s="1" t="s">
        <x:v>6332</x:v>
      </x:c>
      <x:c r="B6324" s="1">
        <x:f>IFERROR(__xludf.DUMMYFUNCTION("""COMPUTED_VALUE"""),"The German")</x:f>
      </x:c>
      <x:c r="C6324" s="1">
        <x:f>IFERROR(__xludf.DUMMYFUNCTION("""COMPUTED_VALUE"""),"2008")</x:f>
      </x:c>
    </x:row>
    <x:row r="6325" spans="1:10">
      <x:c r="A6325" s="1" t="s">
        <x:v>6333</x:v>
      </x:c>
      <x:c r="B6325" s="1">
        <x:f>IFERROR(__xludf.DUMMYFUNCTION("""COMPUTED_VALUE"""),"The Glorias")</x:f>
      </x:c>
      <x:c r="C6325" s="1">
        <x:f>IFERROR(__xludf.DUMMYFUNCTION("""COMPUTED_VALUE"""),"2020")</x:f>
      </x:c>
    </x:row>
    <x:row r="6326" spans="1:10">
      <x:c r="A6326" s="1" t="s">
        <x:v>6334</x:v>
      </x:c>
      <x:c r="B6326" s="1">
        <x:f>IFERROR(__xludf.DUMMYFUNCTION("""COMPUTED_VALUE"""),"The Good Traitor (L'ambaixador Kauffmann)")</x:f>
      </x:c>
      <x:c r="C6326" s="1">
        <x:f>IFERROR(__xludf.DUMMYFUNCTION("""COMPUTED_VALUE"""),"2020")</x:f>
      </x:c>
    </x:row>
    <x:row r="6327" spans="1:10">
      <x:c r="A6327" s="1" t="s">
        <x:v>6335</x:v>
      </x:c>
      <x:c r="B6327" s="1">
        <x:f>IFERROR(__xludf.DUMMYFUNCTION("""COMPUTED_VALUE"""),"The Grandmaster")</x:f>
      </x:c>
      <x:c r="C6327" s="1">
        <x:f>IFERROR(__xludf.DUMMYFUNCTION("""COMPUTED_VALUE"""),"2013")</x:f>
      </x:c>
    </x:row>
    <x:row r="6328" spans="1:10">
      <x:c r="A6328" s="1" t="s">
        <x:v>6336</x:v>
      </x:c>
      <x:c r="B6328" s="1">
        <x:f>IFERROR(__xludf.DUMMYFUNCTION("""COMPUTED_VALUE"""),"The Green Hornet")</x:f>
      </x:c>
      <x:c r="C6328" s="1">
        <x:f>IFERROR(__xludf.DUMMYFUNCTION("""COMPUTED_VALUE"""),"2011")</x:f>
      </x:c>
    </x:row>
    <x:row r="6329" spans="1:10">
      <x:c r="A6329" s="1" t="s">
        <x:v>6337</x:v>
      </x:c>
      <x:c r="B6329" s="1">
        <x:f>IFERROR(__xludf.DUMMYFUNCTION("""COMPUTED_VALUE"""),"The Gunfighter [VOSC]")</x:f>
      </x:c>
      <x:c r="C6329" s="1">
        <x:f>IFERROR(__xludf.DUMMYFUNCTION("""COMPUTED_VALUE"""),"2013")</x:f>
      </x:c>
    </x:row>
    <x:row r="6330" spans="1:10">
      <x:c r="A6330" s="1" t="s">
        <x:v>6338</x:v>
      </x:c>
      <x:c r="B6330" s="1">
        <x:f>IFERROR(__xludf.DUMMYFUNCTION("""COMPUTED_VALUE"""),"The Haunting, La casa infernal")</x:f>
      </x:c>
      <x:c r="C6330" s="1">
        <x:f>IFERROR(__xludf.DUMMYFUNCTION("""COMPUTED_VALUE"""),"1999")</x:f>
      </x:c>
    </x:row>
    <x:row r="6331" spans="1:10">
      <x:c r="A6331" s="1" t="s">
        <x:v>6339</x:v>
      </x:c>
      <x:c r="B6331" s="1">
        <x:f>IFERROR(__xludf.DUMMYFUNCTION("""COMPUTED_VALUE"""),"The Hole")</x:f>
      </x:c>
      <x:c r="C6331" s="1">
        <x:f>IFERROR(__xludf.DUMMYFUNCTION("""COMPUTED_VALUE"""),"2009")</x:f>
      </x:c>
    </x:row>
    <x:row r="6332" spans="1:10">
      <x:c r="A6332" s="1" t="s">
        <x:v>6340</x:v>
      </x:c>
      <x:c r="B6332" s="1">
        <x:f>IFERROR(__xludf.DUMMYFUNCTION("""COMPUTED_VALUE"""),"The Horror Bus")</x:f>
      </x:c>
      <x:c r="C6332" s="1">
        <x:f>IFERROR(__xludf.DUMMYFUNCTION("""COMPUTED_VALUE"""),"2005")</x:f>
      </x:c>
    </x:row>
    <x:row r="6333" spans="1:10">
      <x:c r="A6333" s="1" t="s">
        <x:v>6341</x:v>
      </x:c>
      <x:c r="B6333" s="1">
        <x:f>IFERROR(__xludf.DUMMYFUNCTION("""COMPUTED_VALUE"""),"The Human Tower [VOSC]")</x:f>
      </x:c>
      <x:c r="C6333" s="1">
        <x:f>IFERROR(__xludf.DUMMYFUNCTION("""COMPUTED_VALUE"""),"2012")</x:f>
      </x:c>
    </x:row>
    <x:row r="6334" spans="1:10">
      <x:c r="A6334" s="1" t="s">
        <x:v>6342</x:v>
      </x:c>
      <x:c r="B6334" s="1">
        <x:f>IFERROR(__xludf.DUMMYFUNCTION("""COMPUTED_VALUE"""),"The Informer")</x:f>
      </x:c>
      <x:c r="C6334" s="1">
        <x:f>IFERROR(__xludf.DUMMYFUNCTION("""COMPUTED_VALUE"""),"2019")</x:f>
      </x:c>
    </x:row>
    <x:row r="6335" spans="1:10">
      <x:c r="A6335" s="1" t="s">
        <x:v>6343</x:v>
      </x:c>
      <x:c r="B6335" s="1">
        <x:f>IFERROR(__xludf.DUMMYFUNCTION("""COMPUTED_VALUE"""),"The International (diners a l'ombra)")</x:f>
      </x:c>
      <x:c r="C6335" s="1">
        <x:f>IFERROR(__xludf.DUMMYFUNCTION("""COMPUTED_VALUE"""),"2009")</x:f>
      </x:c>
    </x:row>
    <x:row r="6336" spans="1:10">
      <x:c r="A6336" s="1" t="s">
        <x:v>6344</x:v>
      </x:c>
      <x:c r="B6336" s="1">
        <x:f>IFERROR(__xludf.DUMMYFUNCTION("""COMPUTED_VALUE"""),"The Interview (L'entrevista)")</x:f>
      </x:c>
      <x:c r="C6336" s="1">
        <x:f>IFERROR(__xludf.DUMMYFUNCTION("""COMPUTED_VALUE"""),"2014")</x:f>
      </x:c>
    </x:row>
    <x:row r="6337" spans="1:10">
      <x:c r="A6337" s="1" t="s">
        <x:v>6345</x:v>
      </x:c>
      <x:c r="B6337" s="1">
        <x:f>IFERROR(__xludf.DUMMYFUNCTION("""COMPUTED_VALUE"""),"The Jacket")</x:f>
      </x:c>
      <x:c r="C6337" s="1">
        <x:f>IFERROR(__xludf.DUMMYFUNCTION("""COMPUTED_VALUE"""),"2005")</x:f>
      </x:c>
    </x:row>
    <x:row r="6338" spans="1:10">
      <x:c r="A6338" s="1" t="s">
        <x:v>6346</x:v>
      </x:c>
      <x:c r="B6338" s="1">
        <x:f>IFERROR(__xludf.DUMMYFUNCTION("""COMPUTED_VALUE"""),"The Jungle Bunch. La colla de la selva")</x:f>
      </x:c>
      <x:c r="C6338" s="1">
        <x:f>IFERROR(__xludf.DUMMYFUNCTION("""COMPUTED_VALUE"""),"2017")</x:f>
      </x:c>
    </x:row>
    <x:row r="6339" spans="1:10">
      <x:c r="A6339" s="1" t="s">
        <x:v>6347</x:v>
      </x:c>
      <x:c r="B6339" s="1">
        <x:f>IFERROR(__xludf.DUMMYFUNCTION("""COMPUTED_VALUE"""),"The Kid [VOSC]")</x:f>
      </x:c>
      <x:c r="C6339" s="1">
        <x:f>IFERROR(__xludf.DUMMYFUNCTION("""COMPUTED_VALUE"""),"1921")</x:f>
      </x:c>
    </x:row>
    <x:row r="6340" spans="1:10">
      <x:c r="A6340" s="1" t="s">
        <x:v>6348</x:v>
      </x:c>
      <x:c r="B6340" s="1">
        <x:f>IFERROR(__xludf.DUMMYFUNCTION("""COMPUTED_VALUE"""),"The Kindergarten Teacher [VOSC]")</x:f>
      </x:c>
      <x:c r="C6340" s="1">
        <x:f>IFERROR(__xludf.DUMMYFUNCTION("""COMPUTED_VALUE"""),"2018")</x:f>
      </x:c>
    </x:row>
    <x:row r="6341" spans="1:10">
      <x:c r="A6341" s="1" t="s">
        <x:v>6349</x:v>
      </x:c>
      <x:c r="B6341" s="1">
        <x:f>IFERROR(__xludf.DUMMYFUNCTION("""COMPUTED_VALUE"""),"The Last Showgirl [VOSC]")</x:f>
      </x:c>
      <x:c r="C6341" s="1">
        <x:f>IFERROR(__xludf.DUMMYFUNCTION("""COMPUTED_VALUE"""),"2024")</x:f>
      </x:c>
    </x:row>
    <x:row r="6342" spans="1:10">
      <x:c r="A6342" s="1" t="s">
        <x:v>6350</x:v>
      </x:c>
      <x:c r="B6342" s="1">
        <x:f>IFERROR(__xludf.DUMMYFUNCTION("""COMPUTED_VALUE"""),"The Last Temptation of Christ [VOSC]")</x:f>
      </x:c>
      <x:c r="C6342" s="1">
        <x:f>IFERROR(__xludf.DUMMYFUNCTION("""COMPUTED_VALUE"""),"1988")</x:f>
      </x:c>
    </x:row>
    <x:row r="6343" spans="1:10">
      <x:c r="A6343" s="1" t="s">
        <x:v>6351</x:v>
      </x:c>
      <x:c r="B6343" s="1">
        <x:f>IFERROR(__xludf.DUMMYFUNCTION("""COMPUTED_VALUE"""),"The Little Matchgirl")</x:f>
      </x:c>
      <x:c r="C6343" s="1">
        <x:f>IFERROR(__xludf.DUMMYFUNCTION("""COMPUTED_VALUE"""),"2006")</x:f>
      </x:c>
    </x:row>
    <x:row r="6344" spans="1:10">
      <x:c r="A6344" s="1" t="s">
        <x:v>6352</x:v>
      </x:c>
      <x:c r="B6344" s="1">
        <x:f>IFERROR(__xludf.DUMMYFUNCTION("""COMPUTED_VALUE"""),"The Lost Daughter [VOSC]")</x:f>
      </x:c>
      <x:c r="C6344" s="1">
        <x:f>IFERROR(__xludf.DUMMYFUNCTION("""COMPUTED_VALUE"""),"2021")</x:f>
      </x:c>
    </x:row>
    <x:row r="6345" spans="1:10">
      <x:c r="A6345" s="1" t="s">
        <x:v>6353</x:v>
      </x:c>
      <x:c r="B6345" s="1">
        <x:f>IFERROR(__xludf.DUMMYFUNCTION("""COMPUTED_VALUE"""),"The Lost King")</x:f>
      </x:c>
      <x:c r="C6345" s="1">
        <x:f>IFERROR(__xludf.DUMMYFUNCTION("""COMPUTED_VALUE"""),"2022")</x:f>
      </x:c>
    </x:row>
    <x:row r="6346" spans="1:10">
      <x:c r="A6346" s="1" t="s">
        <x:v>6354</x:v>
      </x:c>
      <x:c r="B6346" s="1">
        <x:f>IFERROR(__xludf.DUMMYFUNCTION("""COMPUTED_VALUE"""),"The Master")</x:f>
      </x:c>
      <x:c r="C6346" s="1">
        <x:f>IFERROR(__xludf.DUMMYFUNCTION("""COMPUTED_VALUE"""),"2012")</x:f>
      </x:c>
    </x:row>
    <x:row r="6347" spans="1:10">
      <x:c r="A6347" s="1" t="s">
        <x:v>6355</x:v>
      </x:c>
      <x:c r="B6347" s="1">
        <x:f>IFERROR(__xludf.DUMMYFUNCTION("""COMPUTED_VALUE"""),"The Mauritanian")</x:f>
      </x:c>
      <x:c r="C6347" s="1">
        <x:f>IFERROR(__xludf.DUMMYFUNCTION("""COMPUTED_VALUE"""),"2021")</x:f>
      </x:c>
    </x:row>
    <x:row r="6348" spans="1:10">
      <x:c r="A6348" s="1" t="s">
        <x:v>6356</x:v>
      </x:c>
      <x:c r="B6348" s="1">
        <x:f>IFERROR(__xludf.DUMMYFUNCTION("""COMPUTED_VALUE"""),"The Miseducation of Cameron Post [VOSC]")</x:f>
      </x:c>
      <x:c r="C6348" s="1">
        <x:f>IFERROR(__xludf.DUMMYFUNCTION("""COMPUTED_VALUE"""),"2018")</x:f>
      </x:c>
    </x:row>
    <x:row r="6349" spans="1:10">
      <x:c r="A6349" s="1" t="s">
        <x:v>6357</x:v>
      </x:c>
      <x:c r="B6349" s="1">
        <x:f>IFERROR(__xludf.DUMMYFUNCTION("""COMPUTED_VALUE"""),"The Nest")</x:f>
      </x:c>
      <x:c r="C6349" s="1">
        <x:f>IFERROR(__xludf.DUMMYFUNCTION("""COMPUTED_VALUE"""),"2020")</x:f>
      </x:c>
    </x:row>
    <x:row r="6350" spans="1:10">
      <x:c r="A6350" s="1" t="s">
        <x:v>6358</x:v>
      </x:c>
      <x:c r="B6350" s="1">
        <x:f>IFERROR(__xludf.DUMMYFUNCTION("""COMPUTED_VALUE"""),"The Nomad Experience")</x:f>
      </x:c>
      <x:c r="C6350" s="1">
        <x:f>IFERROR(__xludf.DUMMYFUNCTION("""COMPUTED_VALUE"""),"2006")</x:f>
      </x:c>
    </x:row>
    <x:row r="6351" spans="1:10">
      <x:c r="A6351" s="1" t="s">
        <x:v>6359</x:v>
      </x:c>
      <x:c r="B6351" s="1">
        <x:f>IFERROR(__xludf.DUMMYFUNCTION("""COMPUTED_VALUE"""),"The Pale Blue Eye [VOSC]")</x:f>
      </x:c>
      <x:c r="C6351" s="1">
        <x:f>IFERROR(__xludf.DUMMYFUNCTION("""COMPUTED_VALUE"""),"2022")</x:f>
      </x:c>
    </x:row>
    <x:row r="6352" spans="1:10">
      <x:c r="A6352" s="1" t="s">
        <x:v>6360</x:v>
      </x:c>
      <x:c r="B6352" s="1">
        <x:f>IFERROR(__xludf.DUMMYFUNCTION("""COMPUTED_VALUE"""),"The Passion of the Christ [VOSC]")</x:f>
      </x:c>
      <x:c r="C6352" s="1">
        <x:f>IFERROR(__xludf.DUMMYFUNCTION("""COMPUTED_VALUE"""),"2004")</x:f>
      </x:c>
    </x:row>
    <x:row r="6353" spans="1:10">
      <x:c r="A6353" s="1" t="s">
        <x:v>6361</x:v>
      </x:c>
      <x:c r="B6353" s="1">
        <x:f>IFERROR(__xludf.DUMMYFUNCTION("""COMPUTED_VALUE"""),"The Pelayos")</x:f>
      </x:c>
      <x:c r="C6353" s="1">
        <x:f>IFERROR(__xludf.DUMMYFUNCTION("""COMPUTED_VALUE"""),"2012")</x:f>
      </x:c>
    </x:row>
    <x:row r="6354" spans="1:10">
      <x:c r="A6354" s="1" t="s">
        <x:v>6362</x:v>
      </x:c>
      <x:c r="B6354" s="1">
        <x:f>IFERROR(__xludf.DUMMYFUNCTION("""COMPUTED_VALUE"""),"The Piano Player")</x:f>
      </x:c>
      <x:c r="C6354" s="1">
        <x:f>IFERROR(__xludf.DUMMYFUNCTION("""COMPUTED_VALUE"""),"2002")</x:f>
      </x:c>
    </x:row>
    <x:row r="6355" spans="1:10">
      <x:c r="A6355" s="1" t="s">
        <x:v>6363</x:v>
      </x:c>
      <x:c r="B6355" s="1">
        <x:f>IFERROR(__xludf.DUMMYFUNCTION("""COMPUTED_VALUE"""),"The Possession: L'origen del mal")</x:f>
      </x:c>
      <x:c r="C6355" s="1">
        <x:f>IFERROR(__xludf.DUMMYFUNCTION("""COMPUTED_VALUE"""),"2012")</x:f>
      </x:c>
    </x:row>
    <x:row r="6356" spans="1:10">
      <x:c r="A6356" s="1" t="s">
        <x:v>6364</x:v>
      </x:c>
      <x:c r="B6356" s="1">
        <x:f>IFERROR(__xludf.DUMMYFUNCTION("""COMPUTED_VALUE"""),"The Program")</x:f>
      </x:c>
      <x:c r="C6356" s="1">
        <x:f>IFERROR(__xludf.DUMMYFUNCTION("""COMPUTED_VALUE"""),"2015")</x:f>
      </x:c>
    </x:row>
    <x:row r="6357" spans="1:10">
      <x:c r="A6357" s="1" t="s">
        <x:v>6365</x:v>
      </x:c>
      <x:c r="B6357" s="1">
        <x:f>IFERROR(__xludf.DUMMYFUNCTION("""COMPUTED_VALUE"""),"The Quiet Girl")</x:f>
      </x:c>
      <x:c r="C6357" s="1">
        <x:f>IFERROR(__xludf.DUMMYFUNCTION("""COMPUTED_VALUE"""),"2022")</x:f>
      </x:c>
    </x:row>
    <x:row r="6358" spans="1:10">
      <x:c r="A6358" s="1" t="s">
        <x:v>6366</x:v>
      </x:c>
      <x:c r="B6358" s="1">
        <x:f>IFERROR(__xludf.DUMMYFUNCTION("""COMPUTED_VALUE"""),"The Red Suitcase [VOSC]")</x:f>
      </x:c>
      <x:c r="C6358" s="1">
        <x:f>IFERROR(__xludf.DUMMYFUNCTION("""COMPUTED_VALUE"""),"2023")</x:f>
      </x:c>
    </x:row>
    <x:row r="6359" spans="1:10">
      <x:c r="A6359" s="1" t="s">
        <x:v>6367</x:v>
      </x:c>
      <x:c r="B6359" s="1">
        <x:f>IFERROR(__xludf.DUMMYFUNCTION("""COMPUTED_VALUE"""),"The Relic")</x:f>
      </x:c>
      <x:c r="C6359" s="1">
        <x:f>IFERROR(__xludf.DUMMYFUNCTION("""COMPUTED_VALUE"""),"1997")</x:f>
      </x:c>
    </x:row>
    <x:row r="6360" spans="1:10">
      <x:c r="A6360" s="1" t="s">
        <x:v>6368</x:v>
      </x:c>
      <x:c r="B6360" s="1">
        <x:f>IFERROR(__xludf.DUMMYFUNCTION("""COMPUTED_VALUE"""),"The Ring II")</x:f>
      </x:c>
      <x:c r="C6360" s="1">
        <x:f>IFERROR(__xludf.DUMMYFUNCTION("""COMPUTED_VALUE"""),"2005")</x:f>
      </x:c>
    </x:row>
    <x:row r="6361" spans="1:10">
      <x:c r="A6361" s="1" t="s">
        <x:v>6369</x:v>
      </x:c>
      <x:c r="B6361" s="1">
        <x:f>IFERROR(__xludf.DUMMYFUNCTION("""COMPUTED_VALUE"""),"The Rocky Horror Picture Show [VOSC]")</x:f>
      </x:c>
      <x:c r="C6361" s="1">
        <x:f>IFERROR(__xludf.DUMMYFUNCTION("""COMPUTED_VALUE"""),"1975")</x:f>
      </x:c>
    </x:row>
    <x:row r="6362" spans="1:10">
      <x:c r="A6362" s="1" t="s">
        <x:v>6370</x:v>
      </x:c>
      <x:c r="B6362" s="1">
        <x:f>IFERROR(__xludf.DUMMYFUNCTION("""COMPUTED_VALUE"""),"The Roommate")</x:f>
      </x:c>
      <x:c r="C6362" s="1">
        <x:f>IFERROR(__xludf.DUMMYFUNCTION("""COMPUTED_VALUE"""),"2011")</x:f>
      </x:c>
    </x:row>
    <x:row r="6363" spans="1:10">
      <x:c r="A6363" s="1" t="s">
        <x:v>6371</x:v>
      </x:c>
      <x:c r="B6363" s="1">
        <x:f>IFERROR(__xludf.DUMMYFUNCTION("""COMPUTED_VALUE"""),"The Royal Game")</x:f>
      </x:c>
      <x:c r="C6363" s="1">
        <x:f>IFERROR(__xludf.DUMMYFUNCTION("""COMPUTED_VALUE"""),"2021")</x:f>
      </x:c>
    </x:row>
    <x:row r="6364" spans="1:10">
      <x:c r="A6364" s="1" t="s">
        <x:v>6372</x:v>
      </x:c>
      <x:c r="B6364" s="1">
        <x:f>IFERROR(__xludf.DUMMYFUNCTION("""COMPUTED_VALUE"""),"The Runaways")</x:f>
      </x:c>
      <x:c r="C6364" s="1">
        <x:f>IFERROR(__xludf.DUMMYFUNCTION("""COMPUTED_VALUE"""),"2010")</x:f>
      </x:c>
    </x:row>
    <x:row r="6365" spans="1:10">
      <x:c r="A6365" s="1" t="s">
        <x:v>6373</x:v>
      </x:c>
      <x:c r="B6365" s="1">
        <x:f>IFERROR(__xludf.DUMMYFUNCTION("""COMPUTED_VALUE"""),"The Shining [VOSC]")</x:f>
      </x:c>
      <x:c r="C6365" s="1">
        <x:f>IFERROR(__xludf.DUMMYFUNCTION("""COMPUTED_VALUE"""),"1980")</x:f>
      </x:c>
    </x:row>
    <x:row r="6366" spans="1:10">
      <x:c r="A6366" s="1" t="s">
        <x:v>6374</x:v>
      </x:c>
      <x:c r="B6366" s="1">
        <x:f>IFERROR(__xludf.DUMMYFUNCTION("""COMPUTED_VALUE"""),"The Skulls. Societat Secreta")</x:f>
      </x:c>
      <x:c r="C6366" s="1">
        <x:f>IFERROR(__xludf.DUMMYFUNCTION("""COMPUTED_VALUE"""),"2000")</x:f>
      </x:c>
    </x:row>
    <x:row r="6367" spans="1:10">
      <x:c r="A6367" s="1" t="s">
        <x:v>6375</x:v>
      </x:c>
      <x:c r="B6367" s="1">
        <x:f>IFERROR(__xludf.DUMMYFUNCTION("""COMPUTED_VALUE"""),"The Sky Crawlers")</x:f>
      </x:c>
      <x:c r="C6367" s="1">
        <x:f>IFERROR(__xludf.DUMMYFUNCTION("""COMPUTED_VALUE"""),"2008")</x:f>
      </x:c>
    </x:row>
    <x:row r="6368" spans="1:10">
      <x:c r="A6368" s="1" t="s">
        <x:v>6376</x:v>
      </x:c>
      <x:c r="B6368" s="1">
        <x:f>IFERROR(__xludf.DUMMYFUNCTION("""COMPUTED_VALUE"""),"The Snowman and the Snowdog")</x:f>
      </x:c>
      <x:c r="C6368" s="1">
        <x:f>IFERROR(__xludf.DUMMYFUNCTION("""COMPUTED_VALUE"""),"2012")</x:f>
      </x:c>
    </x:row>
    <x:row r="6369" spans="1:10">
      <x:c r="A6369" s="1" t="s">
        <x:v>6377</x:v>
      </x:c>
      <x:c r="B6369" s="1">
        <x:f>IFERROR(__xludf.DUMMYFUNCTION("""COMPUTED_VALUE"""),"The Spine of Night")</x:f>
      </x:c>
      <x:c r="C6369" s="1">
        <x:f>IFERROR(__xludf.DUMMYFUNCTION("""COMPUTED_VALUE"""),"2021")</x:f>
      </x:c>
    </x:row>
    <x:row r="6370" spans="1:10">
      <x:c r="A6370" s="1" t="s">
        <x:v>6378</x:v>
      </x:c>
      <x:c r="B6370" s="1">
        <x:f>IFERROR(__xludf.DUMMYFUNCTION("""COMPUTED_VALUE"""),"The Spirit")</x:f>
      </x:c>
      <x:c r="C6370" s="1">
        <x:f>IFERROR(__xludf.DUMMYFUNCTION("""COMPUTED_VALUE"""),"2008")</x:f>
      </x:c>
    </x:row>
    <x:row r="6371" spans="1:10">
      <x:c r="A6371" s="1" t="s">
        <x:v>6379</x:v>
      </x:c>
      <x:c r="B6371" s="1">
        <x:f>IFERROR(__xludf.DUMMYFUNCTION("""COMPUTED_VALUE"""),"The Thing [VOSC]")</x:f>
      </x:c>
      <x:c r="C6371" s="1">
        <x:f>IFERROR(__xludf.DUMMYFUNCTION("""COMPUTED_VALUE"""),"1982")</x:f>
      </x:c>
    </x:row>
    <x:row r="6372" spans="1:10">
      <x:c r="A6372" s="1" t="s">
        <x:v>6380</x:v>
      </x:c>
      <x:c r="B6372" s="1">
        <x:f>IFERROR(__xludf.DUMMYFUNCTION("""COMPUTED_VALUE"""),"The Town: ciutat de lladres")</x:f>
      </x:c>
      <x:c r="C6372" s="1">
        <x:f>IFERROR(__xludf.DUMMYFUNCTION("""COMPUTED_VALUE"""),"2010")</x:f>
      </x:c>
    </x:row>
    <x:row r="6373" spans="1:10">
      <x:c r="A6373" s="1" t="s">
        <x:v>6381</x:v>
      </x:c>
      <x:c r="B6373" s="1">
        <x:f>IFERROR(__xludf.DUMMYFUNCTION("""COMPUTED_VALUE"""),"The Transporter Refueled")</x:f>
      </x:c>
      <x:c r="C6373" s="1">
        <x:f>IFERROR(__xludf.DUMMYFUNCTION("""COMPUTED_VALUE"""),"2015")</x:f>
      </x:c>
    </x:row>
    <x:row r="6374" spans="1:10">
      <x:c r="A6374" s="1" t="s">
        <x:v>6382</x:v>
      </x:c>
      <x:c r="B6374" s="1">
        <x:f>IFERROR(__xludf.DUMMYFUNCTION("""COMPUTED_VALUE"""),"The Trip")</x:f>
      </x:c>
      <x:c r="C6374" s="1">
        <x:f>IFERROR(__xludf.DUMMYFUNCTION("""COMPUTED_VALUE"""),"2010")</x:f>
      </x:c>
    </x:row>
    <x:row r="6375" spans="1:10">
      <x:c r="A6375" s="1" t="s">
        <x:v>6383</x:v>
      </x:c>
      <x:c r="B6375" s="1">
        <x:f>IFERROR(__xludf.DUMMYFUNCTION("""COMPUTED_VALUE"""),"The Unknown [VOSC]")</x:f>
      </x:c>
      <x:c r="C6375" s="1">
        <x:f>IFERROR(__xludf.DUMMYFUNCTION("""COMPUTED_VALUE"""),"1927")</x:f>
      </x:c>
    </x:row>
    <x:row r="6376" spans="1:10">
      <x:c r="A6376" s="1" t="s">
        <x:v>6384</x:v>
      </x:c>
      <x:c r="B6376" s="1">
        <x:f>IFERROR(__xludf.DUMMYFUNCTION("""COMPUTED_VALUE"""),"The Unthinkable")</x:f>
      </x:c>
      <x:c r="C6376" s="1">
        <x:f>IFERROR(__xludf.DUMMYFUNCTION("""COMPUTED_VALUE"""),"2018")</x:f>
      </x:c>
    </x:row>
    <x:row r="6377" spans="1:10">
      <x:c r="A6377" s="1" t="s">
        <x:v>6385</x:v>
      </x:c>
      <x:c r="B6377" s="1">
        <x:f>IFERROR(__xludf.DUMMYFUNCTION("""COMPUTED_VALUE"""),"The Voorman Problem [VOSC]")</x:f>
      </x:c>
      <x:c r="C6377" s="1">
        <x:f>IFERROR(__xludf.DUMMYFUNCTION("""COMPUTED_VALUE"""),"2011")</x:f>
      </x:c>
    </x:row>
    <x:row r="6378" spans="1:10">
      <x:c r="A6378" s="1" t="s">
        <x:v>6386</x:v>
      </x:c>
      <x:c r="B6378" s="1">
        <x:f>IFERROR(__xludf.DUMMYFUNCTION("""COMPUTED_VALUE"""),"The Wall")</x:f>
      </x:c>
      <x:c r="C6378" s="1">
        <x:f>IFERROR(__xludf.DUMMYFUNCTION("""COMPUTED_VALUE"""),"2017")</x:f>
      </x:c>
    </x:row>
    <x:row r="6379" spans="1:10">
      <x:c r="A6379" s="1" t="s">
        <x:v>6387</x:v>
      </x:c>
      <x:c r="B6379" s="1">
        <x:f>IFERROR(__xludf.DUMMYFUNCTION("""COMPUTED_VALUE"""),"The Way")</x:f>
      </x:c>
      <x:c r="C6379" s="1">
        <x:f>IFERROR(__xludf.DUMMYFUNCTION("""COMPUTED_VALUE"""),"2010")</x:f>
      </x:c>
    </x:row>
    <x:row r="6380" spans="1:10">
      <x:c r="A6380" s="1" t="s">
        <x:v>6388</x:v>
      </x:c>
      <x:c r="B6380" s="1">
        <x:f>IFERROR(__xludf.DUMMYFUNCTION("""COMPUTED_VALUE"""),"The Who Maximum R&amp;B")</x:f>
      </x:c>
      <x:c r="C6380" s="1">
        <x:f>IFERROR(__xludf.DUMMYFUNCTION("""COMPUTED_VALUE"""),"1994")</x:f>
      </x:c>
    </x:row>
    <x:row r="6381" spans="1:10">
      <x:c r="A6381" s="1" t="s">
        <x:v>6389</x:v>
      </x:c>
      <x:c r="B6381" s="1">
        <x:f>IFERROR(__xludf.DUMMYFUNCTION("""COMPUTED_VALUE"""),"The Witch in the Window [VOSC]")</x:f>
      </x:c>
      <x:c r="C6381" s="1">
        <x:f>IFERROR(__xludf.DUMMYFUNCTION("""COMPUTED_VALUE"""),"2018")</x:f>
      </x:c>
    </x:row>
    <x:row r="6382" spans="1:10">
      <x:c r="A6382" s="1" t="s">
        <x:v>6390</x:v>
      </x:c>
      <x:c r="B6382" s="1">
        <x:f>IFERROR(__xludf.DUMMYFUNCTION("""COMPUTED_VALUE"""),"The women")</x:f>
      </x:c>
      <x:c r="C6382" s="1">
        <x:f>IFERROR(__xludf.DUMMYFUNCTION("""COMPUTED_VALUE"""),"2008")</x:f>
      </x:c>
    </x:row>
    <x:row r="6383" spans="1:10">
      <x:c r="A6383" s="1" t="s">
        <x:v>6391</x:v>
      </x:c>
      <x:c r="B6383" s="1">
        <x:f>IFERROR(__xludf.DUMMYFUNCTION("""COMPUTED_VALUE"""),"The Yellow Sea")</x:f>
      </x:c>
      <x:c r="C6383" s="1">
        <x:f>IFERROR(__xludf.DUMMYFUNCTION("""COMPUTED_VALUE"""),"2010")</x:f>
      </x:c>
    </x:row>
    <x:row r="6384" spans="1:10">
      <x:c r="A6384" s="1" t="s">
        <x:v>6392</x:v>
      </x:c>
      <x:c r="B6384" s="1">
        <x:f>IFERROR(__xludf.DUMMYFUNCTION("""COMPUTED_VALUE"""),"Thelma i Louise")</x:f>
      </x:c>
      <x:c r="C6384" s="1">
        <x:f>IFERROR(__xludf.DUMMYFUNCTION("""COMPUTED_VALUE"""),"1991")</x:f>
      </x:c>
    </x:row>
    <x:row r="6385" spans="1:10">
      <x:c r="A6385" s="1" t="s">
        <x:v>6393</x:v>
      </x:c>
      <x:c r="B6385" s="1">
        <x:f>IFERROR(__xludf.DUMMYFUNCTION("""COMPUTED_VALUE"""),"Thérèse Desqueyroux")</x:f>
      </x:c>
      <x:c r="C6385" s="1">
        <x:f>IFERROR(__xludf.DUMMYFUNCTION("""COMPUTED_VALUE"""),"2012")</x:f>
      </x:c>
    </x:row>
    <x:row r="6386" spans="1:10">
      <x:c r="A6386" s="1" t="s">
        <x:v>6394</x:v>
      </x:c>
      <x:c r="B6386" s="1">
        <x:f>IFERROR(__xludf.DUMMYFUNCTION("""COMPUTED_VALUE"""),"This Is It [VOSC]")</x:f>
      </x:c>
      <x:c r="C6386" s="1">
        <x:f>IFERROR(__xludf.DUMMYFUNCTION("""COMPUTED_VALUE"""),"2009")</x:f>
      </x:c>
    </x:row>
    <x:row r="6387" spans="1:10">
      <x:c r="A6387" s="1" t="s">
        <x:v>6395</x:v>
      </x:c>
      <x:c r="B6387" s="1">
        <x:f>IFERROR(__xludf.DUMMYFUNCTION("""COMPUTED_VALUE"""),"Thomas enamorat")</x:f>
      </x:c>
      <x:c r="C6387" s="1">
        <x:f>IFERROR(__xludf.DUMMYFUNCTION("""COMPUTED_VALUE"""),"2000")</x:f>
      </x:c>
    </x:row>
    <x:row r="6388" spans="1:10">
      <x:c r="A6388" s="1" t="s">
        <x:v>6396</x:v>
      </x:c>
      <x:c r="B6388" s="1">
        <x:f>IFERROR(__xludf.DUMMYFUNCTION("""COMPUTED_VALUE"""),"Thor: La llegenda del martell màgic")</x:f>
      </x:c>
      <x:c r="C6388" s="1">
        <x:f>IFERROR(__xludf.DUMMYFUNCTION("""COMPUTED_VALUE"""),"2011")</x:f>
      </x:c>
    </x:row>
    <x:row r="6389" spans="1:10">
      <x:c r="A6389" s="1" t="s">
        <x:v>6397</x:v>
      </x:c>
      <x:c r="B6389" s="1">
        <x:f>IFERROR(__xludf.DUMMYFUNCTION("""COMPUTED_VALUE"""),"Thumbsucker")</x:f>
      </x:c>
      <x:c r="C6389" s="1">
        <x:f>IFERROR(__xludf.DUMMYFUNCTION("""COMPUTED_VALUE"""),"2005")</x:f>
      </x:c>
    </x:row>
    <x:row r="6390" spans="1:10">
      <x:c r="A6390" s="1" t="s">
        <x:v>6398</x:v>
      </x:c>
      <x:c r="B6390" s="1">
        <x:f>IFERROR(__xludf.DUMMYFUNCTION("""COMPUTED_VALUE"""),"Ti mangio il cuore")</x:f>
      </x:c>
      <x:c r="C6390" s="1">
        <x:f>IFERROR(__xludf.DUMMYFUNCTION("""COMPUTED_VALUE"""),"2022")</x:f>
      </x:c>
    </x:row>
    <x:row r="6391" spans="1:10">
      <x:c r="A6391" s="1" t="s">
        <x:v>6399</x:v>
      </x:c>
      <x:c r="B6391" s="1">
        <x:f>IFERROR(__xludf.DUMMYFUNCTION("""COMPUTED_VALUE"""),"Tic Tac")</x:f>
      </x:c>
      <x:c r="C6391" s="1">
        <x:f>IFERROR(__xludf.DUMMYFUNCTION("""COMPUTED_VALUE"""),"1997")</x:f>
      </x:c>
    </x:row>
    <x:row r="6392" spans="1:10">
      <x:c r="A6392" s="1" t="s">
        <x:v>6400</x:v>
      </x:c>
      <x:c r="B6392" s="1">
        <x:f>IFERROR(__xludf.DUMMYFUNCTION("""COMPUTED_VALUE"""),"Tigre i drac")</x:f>
      </x:c>
      <x:c r="C6392" s="1">
        <x:f>IFERROR(__xludf.DUMMYFUNCTION("""COMPUTED_VALUE"""),"2000")</x:f>
      </x:c>
    </x:row>
    <x:row r="6393" spans="1:10">
      <x:c r="A6393" s="1" t="s">
        <x:v>6401</x:v>
      </x:c>
      <x:c r="B6393" s="1">
        <x:f>IFERROR(__xludf.DUMMYFUNCTION("""COMPUTED_VALUE"""),"Tigres enfilats")</x:f>
      </x:c>
      <x:c r="C6393" s="1">
        <x:f>IFERROR(__xludf.DUMMYFUNCTION("""COMPUTED_VALUE"""),"2014")</x:f>
      </x:c>
    </x:row>
    <x:row r="6394" spans="1:10">
      <x:c r="A6394" s="1" t="s">
        <x:v>6402</x:v>
      </x:c>
      <x:c r="B6394" s="1">
        <x:f>IFERROR(__xludf.DUMMYFUNCTION("""COMPUTED_VALUE"""),"Till")</x:f>
      </x:c>
      <x:c r="C6394" s="1">
        <x:f>IFERROR(__xludf.DUMMYFUNCTION("""COMPUTED_VALUE"""),"2022")</x:f>
      </x:c>
    </x:row>
    <x:row r="6395" spans="1:10">
      <x:c r="A6395" s="1" t="s">
        <x:v>6403</x:v>
      </x:c>
      <x:c r="B6395" s="1">
        <x:f>IFERROR(__xludf.DUMMYFUNCTION("""COMPUTED_VALUE"""),"Timbaler del Bruc")</x:f>
      </x:c>
      <x:c r="C6395" s="1">
        <x:f>IFERROR(__xludf.DUMMYFUNCTION("""COMPUTED_VALUE"""),"1982")</x:f>
      </x:c>
    </x:row>
    <x:row r="6396" spans="1:10">
      <x:c r="A6396" s="1" t="s">
        <x:v>6404</x:v>
      </x:c>
      <x:c r="B6396" s="1">
        <x:f>IFERROR(__xludf.DUMMYFUNCTION("""COMPUTED_VALUE"""),"Timbuktu")</x:f>
      </x:c>
      <x:c r="C6396" s="1">
        <x:f>IFERROR(__xludf.DUMMYFUNCTION("""COMPUTED_VALUE"""),"2014")</x:f>
      </x:c>
    </x:row>
    <x:row r="6397" spans="1:10">
      <x:c r="A6397" s="1" t="s">
        <x:v>6405</x:v>
      </x:c>
      <x:c r="B6397" s="1">
        <x:f>IFERROR(__xludf.DUMMYFUNCTION("""COMPUTED_VALUE"""),"Timewatch Stonehenge")</x:f>
      </x:c>
      <x:c r="C6397" s="1">
        <x:f>IFERROR(__xludf.DUMMYFUNCTION("""COMPUTED_VALUE"""),"2008")</x:f>
      </x:c>
    </x:row>
    <x:row r="6398" spans="1:10">
      <x:c r="A6398" s="1" t="s">
        <x:v>6406</x:v>
      </x:c>
      <x:c r="B6398" s="1">
        <x:f>IFERROR(__xludf.DUMMYFUNCTION("""COMPUTED_VALUE"""),"Tímids anònims")</x:f>
      </x:c>
      <x:c r="C6398" s="1">
        <x:f>IFERROR(__xludf.DUMMYFUNCTION("""COMPUTED_VALUE"""),"2010")</x:f>
      </x:c>
    </x:row>
    <x:row r="6399" spans="1:10">
      <x:c r="A6399" s="1" t="s">
        <x:v>6407</x:v>
      </x:c>
      <x:c r="B6399" s="1">
        <x:f>IFERROR(__xludf.DUMMYFUNCTION("""COMPUTED_VALUE"""),"Tina Superbruixa i el viatge a Mandolan")</x:f>
      </x:c>
      <x:c r="C6399" s="1">
        <x:f>IFERROR(__xludf.DUMMYFUNCTION("""COMPUTED_VALUE"""),"2011")</x:f>
      </x:c>
    </x:row>
    <x:row r="6400" spans="1:10">
      <x:c r="A6400" s="1" t="s">
        <x:v>6408</x:v>
      </x:c>
      <x:c r="B6400" s="1">
        <x:f>IFERROR(__xludf.DUMMYFUNCTION("""COMPUTED_VALUE"""),"Tina Superbruixa: Nova aventura d'hivern")</x:f>
      </x:c>
      <x:c r="C6400" s="1">
        <x:f>IFERROR(__xludf.DUMMYFUNCTION("""COMPUTED_VALUE"""),"2017")</x:f>
      </x:c>
    </x:row>
    <x:row r="6401" spans="1:10">
      <x:c r="A6401" s="1" t="s">
        <x:v>6409</x:v>
      </x:c>
      <x:c r="B6401" s="1">
        <x:f>IFERROR(__xludf.DUMMYFUNCTION("""COMPUTED_VALUE"""),"Tinent corrupte")</x:f>
      </x:c>
      <x:c r="C6401" s="1">
        <x:f>IFERROR(__xludf.DUMMYFUNCTION("""COMPUTED_VALUE"""),"2009")</x:f>
      </x:c>
    </x:row>
    <x:row r="6402" spans="1:10">
      <x:c r="A6402" s="1" t="s">
        <x:v>6410</x:v>
      </x:c>
      <x:c r="B6402" s="1">
        <x:f>IFERROR(__xludf.DUMMYFUNCTION("""COMPUTED_VALUE"""),"Tintín a Amèrica")</x:f>
      </x:c>
      <x:c r="C6402" s="1">
        <x:f>IFERROR(__xludf.DUMMYFUNCTION("""COMPUTED_VALUE"""),"1991")</x:f>
      </x:c>
    </x:row>
    <x:row r="6403" spans="1:10">
      <x:c r="A6403" s="1" t="s">
        <x:v>6411</x:v>
      </x:c>
      <x:c r="B6403" s="1">
        <x:f>IFERROR(__xludf.DUMMYFUNCTION("""COMPUTED_VALUE"""),"Tintín al país de l'or negre")</x:f>
      </x:c>
      <x:c r="C6403" s="1">
        <x:f>IFERROR(__xludf.DUMMYFUNCTION("""COMPUTED_VALUE"""),"1991")</x:f>
      </x:c>
    </x:row>
    <x:row r="6404" spans="1:10">
      <x:c r="A6404" s="1" t="s">
        <x:v>6412</x:v>
      </x:c>
      <x:c r="B6404" s="1">
        <x:f>IFERROR(__xludf.DUMMYFUNCTION("""COMPUTED_VALUE"""),"Tintín al Tibet")</x:f>
      </x:c>
      <x:c r="C6404" s="1">
        <x:f>IFERROR(__xludf.DUMMYFUNCTION("""COMPUTED_VALUE"""),"1992")</x:f>
      </x:c>
    </x:row>
    <x:row r="6405" spans="1:10">
      <x:c r="A6405" s="1" t="s">
        <x:v>6413</x:v>
      </x:c>
      <x:c r="B6405" s="1">
        <x:f>IFERROR(__xludf.DUMMYFUNCTION("""COMPUTED_VALUE"""),"Tintín i el llac dels taurons")</x:f>
      </x:c>
      <x:c r="C6405" s="1">
        <x:f>IFERROR(__xludf.DUMMYFUNCTION("""COMPUTED_VALUE"""),"1972")</x:f>
      </x:c>
    </x:row>
    <x:row r="6406" spans="1:10">
      <x:c r="A6406" s="1" t="s">
        <x:v>6414</x:v>
      </x:c>
      <x:c r="B6406" s="1">
        <x:f>IFERROR(__xludf.DUMMYFUNCTION("""COMPUTED_VALUE"""),"Tintín i el misteri del toisó d'or")</x:f>
      </x:c>
      <x:c r="C6406" s="1">
        <x:f>IFERROR(__xludf.DUMMYFUNCTION("""COMPUTED_VALUE"""),"1961")</x:f>
      </x:c>
    </x:row>
    <x:row r="6407" spans="1:10">
      <x:c r="A6407" s="1" t="s">
        <x:v>6415</x:v>
      </x:c>
      <x:c r="B6407" s="1">
        <x:f>IFERROR(__xludf.DUMMYFUNCTION("""COMPUTED_VALUE"""),"Tintín i els Pícaros")</x:f>
      </x:c>
      <x:c r="C6407" s="1">
        <x:f>IFERROR(__xludf.DUMMYFUNCTION("""COMPUTED_VALUE"""),"1992")</x:f>
      </x:c>
    </x:row>
    <x:row r="6408" spans="1:10">
      <x:c r="A6408" s="1" t="s">
        <x:v>6416</x:v>
      </x:c>
      <x:c r="B6408" s="1">
        <x:f>IFERROR(__xludf.DUMMYFUNCTION("""COMPUTED_VALUE"""),"Tipitips Qui balla")</x:f>
      </x:c>
      <x:c r="C6408" s="1">
        <x:f>IFERROR(__xludf.DUMMYFUNCTION("""COMPUTED_VALUE"""),"2010")</x:f>
      </x:c>
    </x:row>
    <x:row r="6409" spans="1:10">
      <x:c r="A6409" s="1" t="s">
        <x:v>6417</x:v>
      </x:c>
      <x:c r="B6409" s="1">
        <x:f>IFERROR(__xludf.DUMMYFUNCTION("""COMPUTED_VALUE"""),"Tipitips: Qui juga?")</x:f>
      </x:c>
      <x:c r="C6409" s="1">
        <x:f>IFERROR(__xludf.DUMMYFUNCTION("""COMPUTED_VALUE"""),"2010")</x:f>
      </x:c>
    </x:row>
    <x:row r="6410" spans="1:10">
      <x:c r="A6410" s="1" t="s">
        <x:v>6418</x:v>
      </x:c>
      <x:c r="B6410" s="1">
        <x:f>IFERROR(__xludf.DUMMYFUNCTION("""COMPUTED_VALUE"""),"Tirant lo Blanc")</x:f>
      </x:c>
      <x:c r="C6410" s="1">
        <x:f>IFERROR(__xludf.DUMMYFUNCTION("""COMPUTED_VALUE"""),"2005")</x:f>
      </x:c>
    </x:row>
    <x:row r="6411" spans="1:10">
      <x:c r="A6411" s="1" t="s">
        <x:v>6419</x:v>
      </x:c>
      <x:c r="B6411" s="1">
        <x:f>IFERROR(__xludf.DUMMYFUNCTION("""COMPUTED_VALUE"""),"Titan A.E.")</x:f>
      </x:c>
      <x:c r="C6411" s="1">
        <x:f>IFERROR(__xludf.DUMMYFUNCTION("""COMPUTED_VALUE"""),"2000")</x:f>
      </x:c>
    </x:row>
    <x:row r="6412" spans="1:10">
      <x:c r="A6412" s="1" t="s">
        <x:v>6420</x:v>
      </x:c>
      <x:c r="B6412" s="1">
        <x:f>IFERROR(__xludf.DUMMYFUNCTION("""COMPUTED_VALUE"""),"Titane")</x:f>
      </x:c>
      <x:c r="C6412" s="1">
        <x:f>IFERROR(__xludf.DUMMYFUNCTION("""COMPUTED_VALUE"""),"2021")</x:f>
      </x:c>
    </x:row>
    <x:row r="6413" spans="1:10">
      <x:c r="A6413" s="1" t="s">
        <x:v>6421</x:v>
      </x:c>
      <x:c r="B6413" s="1">
        <x:f>IFERROR(__xludf.DUMMYFUNCTION("""COMPUTED_VALUE"""),"Toc-toc")</x:f>
      </x:c>
      <x:c r="C6413" s="1">
        <x:f>IFERROR(__xludf.DUMMYFUNCTION("""COMPUTED_VALUE"""),"2015")</x:f>
      </x:c>
    </x:row>
    <x:row r="6414" spans="1:10">
      <x:c r="A6414" s="1" t="s">
        <x:v>6422</x:v>
      </x:c>
      <x:c r="B6414" s="1">
        <x:f>IFERROR(__xludf.DUMMYFUNCTION("""COMPUTED_VALUE"""),"Tocant el mar")</x:f>
      </x:c>
      <x:c r="C6414" s="1">
        <x:f>IFERROR(__xludf.DUMMYFUNCTION("""COMPUTED_VALUE"""),"2011")</x:f>
      </x:c>
    </x:row>
    <x:row r="6415" spans="1:10">
      <x:c r="A6415" s="1" t="s">
        <x:v>6423</x:v>
      </x:c>
      <x:c r="B6415" s="1">
        <x:f>IFERROR(__xludf.DUMMYFUNCTION("""COMPUTED_VALUE"""),"Tocar i parar")</x:f>
      </x:c>
      <x:c r="C6415" s="1">
        <x:f>IFERROR(__xludf.DUMMYFUNCTION("""COMPUTED_VALUE"""),"2018")</x:f>
      </x:c>
    </x:row>
    <x:row r="6416" spans="1:10">
      <x:c r="A6416" s="1" t="s">
        <x:v>6424</x:v>
      </x:c>
      <x:c r="B6416" s="1">
        <x:f>IFERROR(__xludf.DUMMYFUNCTION("""COMPUTED_VALUE"""),"Tocat")</x:f>
      </x:c>
      <x:c r="C6416" s="1">
        <x:f>IFERROR(__xludf.DUMMYFUNCTION("""COMPUTED_VALUE"""),"1997")</x:f>
      </x:c>
    </x:row>
    <x:row r="6417" spans="1:10">
      <x:c r="A6417" s="1" t="s">
        <x:v>6425</x:v>
      </x:c>
      <x:c r="B6417" s="1">
        <x:f>IFERROR(__xludf.DUMMYFUNCTION("""COMPUTED_VALUE"""),"Tocats pel foc")</x:f>
      </x:c>
      <x:c r="C6417" s="1">
        <x:f>IFERROR(__xludf.DUMMYFUNCTION("""COMPUTED_VALUE"""),"2020")</x:f>
      </x:c>
    </x:row>
    <x:row r="6418" spans="1:10">
      <x:c r="A6418" s="1" t="s">
        <x:v>6426</x:v>
      </x:c>
      <x:c r="B6418" s="1">
        <x:f>IFERROR(__xludf.DUMMYFUNCTION("""COMPUTED_VALUE"""),"Tokarev")</x:f>
      </x:c>
      <x:c r="C6418" s="1">
        <x:f>IFERROR(__xludf.DUMMYFUNCTION("""COMPUTED_VALUE"""),"2014")</x:f>
      </x:c>
    </x:row>
    <x:row r="6419" spans="1:10">
      <x:c r="A6419" s="1" t="s">
        <x:v>6427</x:v>
      </x:c>
      <x:c r="B6419" s="1">
        <x:f>IFERROR(__xludf.DUMMYFUNCTION("""COMPUTED_VALUE"""),"Tokyo Shaking")</x:f>
      </x:c>
      <x:c r="C6419" s="1">
        <x:f>IFERROR(__xludf.DUMMYFUNCTION("""COMPUTED_VALUE"""),"2021")</x:f>
      </x:c>
    </x:row>
    <x:row r="6420" spans="1:10">
      <x:c r="A6420" s="1" t="s">
        <x:v>6428</x:v>
      </x:c>
      <x:c r="B6420" s="1">
        <x:f>IFERROR(__xludf.DUMMYFUNCTION("""COMPUTED_VALUE"""),"Tolkien")</x:f>
      </x:c>
      <x:c r="C6420" s="1">
        <x:f>IFERROR(__xludf.DUMMYFUNCTION("""COMPUTED_VALUE"""),"2019")</x:f>
      </x:c>
    </x:row>
    <x:row r="6421" spans="1:10">
      <x:c r="A6421" s="1" t="s">
        <x:v>6429</x:v>
      </x:c>
      <x:c r="B6421" s="1">
        <x:f>IFERROR(__xludf.DUMMYFUNCTION("""COMPUTED_VALUE"""),"Toloriu")</x:f>
      </x:c>
      <x:c r="C6421" s="1">
        <x:f>IFERROR(__xludf.DUMMYFUNCTION("""COMPUTED_VALUE"""),"2020")</x:f>
      </x:c>
    </x:row>
    <x:row r="6422" spans="1:10">
      <x:c r="A6422" s="1" t="s">
        <x:v>6430</x:v>
      </x:c>
      <x:c r="B6422" s="1">
        <x:f>IFERROR(__xludf.DUMMYFUNCTION("""COMPUTED_VALUE"""),"Tolyatti Adrift (Tolyatti a la deriva)")</x:f>
      </x:c>
      <x:c r="C6422" s="1">
        <x:f>IFERROR(__xludf.DUMMYFUNCTION("""COMPUTED_VALUE"""),"2022")</x:f>
      </x:c>
    </x:row>
    <x:row r="6423" spans="1:10">
      <x:c r="A6423" s="1" t="s">
        <x:v>6431</x:v>
      </x:c>
      <x:c r="B6423" s="1">
        <x:f>IFERROR(__xludf.DUMMYFUNCTION("""COMPUTED_VALUE"""),"Tom Horn")</x:f>
      </x:c>
      <x:c r="C6423" s="1">
        <x:f>IFERROR(__xludf.DUMMYFUNCTION("""COMPUTED_VALUE"""),"1980")</x:f>
      </x:c>
    </x:row>
    <x:row r="6424" spans="1:10">
      <x:c r="A6424" s="1" t="s">
        <x:v>6432</x:v>
      </x:c>
      <x:c r="B6424" s="1">
        <x:f>IFERROR(__xludf.DUMMYFUNCTION("""COMPUTED_VALUE"""),"Tom i Jerry")</x:f>
      </x:c>
      <x:c r="C6424" s="1">
        <x:f>IFERROR(__xludf.DUMMYFUNCTION("""COMPUTED_VALUE"""),"2021")</x:f>
      </x:c>
    </x:row>
    <x:row r="6425" spans="1:10">
      <x:c r="A6425" s="1" t="s">
        <x:v>6433</x:v>
      </x:c>
      <x:c r="B6425" s="1">
        <x:f>IFERROR(__xludf.DUMMYFUNCTION("""COMPUTED_VALUE"""),"Tom i Jerry: El drac perdut")</x:f>
      </x:c>
      <x:c r="C6425" s="1">
        <x:f>IFERROR(__xludf.DUMMYFUNCTION("""COMPUTED_VALUE"""),"2014")</x:f>
      </x:c>
    </x:row>
    <x:row r="6426" spans="1:10">
      <x:c r="A6426" s="1" t="s">
        <x:v>6434</x:v>
      </x:c>
      <x:c r="B6426" s="1">
        <x:f>IFERROR(__xludf.DUMMYFUNCTION("""COMPUTED_VALUE"""),"Tom i Jerry: El Trencanous")</x:f>
      </x:c>
      <x:c r="C6426" s="1">
        <x:f>IFERROR(__xludf.DUMMYFUNCTION("""COMPUTED_VALUE"""),"2007")</x:f>
      </x:c>
    </x:row>
    <x:row r="6427" spans="1:10">
      <x:c r="A6427" s="1" t="s">
        <x:v>6435</x:v>
      </x:c>
      <x:c r="B6427" s="1">
        <x:f>IFERROR(__xludf.DUMMYFUNCTION("""COMPUTED_VALUE"""),"Tom i Jerry: La pel·lícula")</x:f>
      </x:c>
      <x:c r="C6427" s="1">
        <x:f>IFERROR(__xludf.DUMMYFUNCTION("""COMPUTED_VALUE"""),"1992")</x:f>
      </x:c>
    </x:row>
    <x:row r="6428" spans="1:10">
      <x:c r="A6428" s="1" t="s">
        <x:v>6436</x:v>
      </x:c>
      <x:c r="B6428" s="1">
        <x:f>IFERROR(__xludf.DUMMYFUNCTION("""COMPUTED_VALUE"""),"Tom i Jerry: Missió a Mart")</x:f>
      </x:c>
      <x:c r="C6428" s="1">
        <x:f>IFERROR(__xludf.DUMMYFUNCTION("""COMPUTED_VALUE"""),"2005")</x:f>
      </x:c>
    </x:row>
    <x:row r="6429" spans="1:10">
      <x:c r="A6429" s="1" t="s">
        <x:v>6437</x:v>
      </x:c>
      <x:c r="B6429" s="1">
        <x:f>IFERROR(__xludf.DUMMYFUNCTION("""COMPUTED_VALUE"""),"Tom Sawyer")</x:f>
      </x:c>
      <x:c r="C6429" s="1">
        <x:f>IFERROR(__xludf.DUMMYFUNCTION("""COMPUTED_VALUE"""),"2011")</x:f>
      </x:c>
    </x:row>
    <x:row r="6430" spans="1:10">
      <x:c r="A6430" s="1" t="s">
        <x:v>6438</x:v>
      </x:c>
      <x:c r="B6430" s="1">
        <x:f>IFERROR(__xludf.DUMMYFUNCTION("""COMPUTED_VALUE"""),"Tom yum goong - El drac de Tailàndia")</x:f>
      </x:c>
      <x:c r="C6430" s="1">
        <x:f>IFERROR(__xludf.DUMMYFUNCTION("""COMPUTED_VALUE"""),"2005")</x:f>
      </x:c>
    </x:row>
    <x:row r="6431" spans="1:10">
      <x:c r="A6431" s="1" t="s">
        <x:v>6439</x:v>
      </x:c>
      <x:c r="B6431" s="1">
        <x:f>IFERROR(__xludf.DUMMYFUNCTION("""COMPUTED_VALUE"""),"Tomàquets verds fregits")</x:f>
      </x:c>
      <x:c r="C6431" s="1">
        <x:f>IFERROR(__xludf.DUMMYFUNCTION("""COMPUTED_VALUE"""),"1991")</x:f>
      </x:c>
    </x:row>
    <x:row r="6432" spans="1:10">
      <x:c r="A6432" s="1" t="s">
        <x:v>6440</x:v>
      </x:c>
      <x:c r="B6432" s="1">
        <x:f>IFERROR(__xludf.DUMMYFUNCTION("""COMPUTED_VALUE"""),"Tombstone")</x:f>
      </x:c>
      <x:c r="C6432" s="1">
        <x:f>IFERROR(__xludf.DUMMYFUNCTION("""COMPUTED_VALUE"""),"1993")</x:f>
      </x:c>
    </x:row>
    <x:row r="6433" spans="1:10">
      <x:c r="A6433" s="1" t="s">
        <x:v>6441</x:v>
      </x:c>
      <x:c r="B6433" s="1">
        <x:f>IFERROR(__xludf.DUMMYFUNCTION("""COMPUTED_VALUE"""),"Tomeu Penya - 30 anys després")</x:f>
      </x:c>
      <x:c r="C6433" s="1">
        <x:f>IFERROR(__xludf.DUMMYFUNCTION("""COMPUTED_VALUE"""),"2010")</x:f>
      </x:c>
    </x:row>
    <x:row r="6434" spans="1:10">
      <x:c r="A6434" s="1" t="s">
        <x:v>6442</x:v>
      </x:c>
      <x:c r="B6434" s="1">
        <x:f>IFERROR(__xludf.DUMMYFUNCTION("""COMPUTED_VALUE"""),"Tommy")</x:f>
      </x:c>
      <x:c r="C6434" s="1">
        <x:f>IFERROR(__xludf.DUMMYFUNCTION("""COMPUTED_VALUE"""),"1975")</x:f>
      </x:c>
    </x:row>
    <x:row r="6435" spans="1:10">
      <x:c r="A6435" s="1" t="s">
        <x:v>6443</x:v>
      </x:c>
      <x:c r="B6435" s="1">
        <x:f>IFERROR(__xludf.DUMMYFUNCTION("""COMPUTED_VALUE"""),"Tooth, La fada de les dents")</x:f>
      </x:c>
      <x:c r="C6435" s="1">
        <x:f>IFERROR(__xludf.DUMMYFUNCTION("""COMPUTED_VALUE"""),"2004")</x:f>
      </x:c>
    </x:row>
    <x:row r="6436" spans="1:10">
      <x:c r="A6436" s="1" t="s">
        <x:v>6444</x:v>
      </x:c>
      <x:c r="B6436" s="1">
        <x:f>IFERROR(__xludf.DUMMYFUNCTION("""COMPUTED_VALUE"""),"Tootsie")</x:f>
      </x:c>
      <x:c r="C6436" s="1">
        <x:f>IFERROR(__xludf.DUMMYFUNCTION("""COMPUTED_VALUE"""),"1982")</x:f>
      </x:c>
    </x:row>
    <x:row r="6437" spans="1:10">
      <x:c r="A6437" s="1" t="s">
        <x:v>6445</x:v>
      </x:c>
      <x:c r="B6437" s="1">
        <x:f>IFERROR(__xludf.DUMMYFUNCTION("""COMPUTED_VALUE"""),"Top Gun")</x:f>
      </x:c>
      <x:c r="C6437" s="1">
        <x:f>IFERROR(__xludf.DUMMYFUNCTION("""COMPUTED_VALUE"""),"1986")</x:f>
      </x:c>
    </x:row>
    <x:row r="6438" spans="1:10">
      <x:c r="A6438" s="1" t="s">
        <x:v>6446</x:v>
      </x:c>
      <x:c r="B6438" s="1">
        <x:f>IFERROR(__xludf.DUMMYFUNCTION("""COMPUTED_VALUE"""),"Topaz")</x:f>
      </x:c>
      <x:c r="C6438" s="1">
        <x:f>IFERROR(__xludf.DUMMYFUNCTION("""COMPUTED_VALUE"""),"1969")</x:f>
      </x:c>
    </x:row>
    <x:row r="6439" spans="1:10">
      <x:c r="A6439" s="1" t="s">
        <x:v>6447</x:v>
      </x:c>
      <x:c r="B6439" s="1">
        <x:f>IFERROR(__xludf.DUMMYFUNCTION("""COMPUTED_VALUE"""),"Topografia de la memòria")</x:f>
      </x:c>
      <x:c r="C6439" s="1">
        <x:f>IFERROR(__xludf.DUMMYFUNCTION("""COMPUTED_VALUE"""),"2008")</x:f>
      </x:c>
    </x:row>
    <x:row r="6440" spans="1:10">
      <x:c r="A6440" s="1" t="s">
        <x:v>6448</x:v>
      </x:c>
      <x:c r="B6440" s="1">
        <x:f>IFERROR(__xludf.DUMMYFUNCTION("""COMPUTED_VALUE"""),"Tor, la muntanya maleïda")</x:f>
      </x:c>
      <x:c r="C6440" s="1">
        <x:f>IFERROR(__xludf.DUMMYFUNCTION("""COMPUTED_VALUE"""),"1997")</x:f>
      </x:c>
    </x:row>
    <x:row r="6441" spans="1:10">
      <x:c r="A6441" s="1" t="s">
        <x:v>6449</x:v>
      </x:c>
      <x:c r="B6441" s="1">
        <x:f>IFERROR(__xludf.DUMMYFUNCTION("""COMPUTED_VALUE"""),"Toresky: el prodigi de la imaginació")</x:f>
      </x:c>
      <x:c r="C6441" s="1">
        <x:f>IFERROR(__xludf.DUMMYFUNCTION("""COMPUTED_VALUE"""),"2024")</x:f>
      </x:c>
    </x:row>
    <x:row r="6442" spans="1:10">
      <x:c r="A6442" s="1" t="s">
        <x:v>6450</x:v>
      </x:c>
      <x:c r="B6442" s="1">
        <x:f>IFERROR(__xludf.DUMMYFUNCTION("""COMPUTED_VALUE"""),"Torna La Trinca")</x:f>
      </x:c>
      <x:c r="C6442" s="1">
        <x:f>IFERROR(__xludf.DUMMYFUNCTION("""COMPUTED_VALUE"""),"2022")</x:f>
      </x:c>
    </x:row>
    <x:row r="6443" spans="1:10">
      <x:c r="A6443" s="1" t="s">
        <x:v>6451</x:v>
      </x:c>
      <x:c r="B6443" s="1">
        <x:f>IFERROR(__xludf.DUMMYFUNCTION("""COMPUTED_VALUE"""),"Tornada a casa de la meva filla")</x:f>
      </x:c>
      <x:c r="C6443" s="1">
        <x:f>IFERROR(__xludf.DUMMYFUNCTION("""COMPUTED_VALUE"""),"2021")</x:f>
      </x:c>
    </x:row>
    <x:row r="6444" spans="1:10">
      <x:c r="A6444" s="1" t="s">
        <x:v>6452</x:v>
      </x:c>
      <x:c r="B6444" s="1">
        <x:f>IFERROR(__xludf.DUMMYFUNCTION("""COMPUTED_VALUE"""),"Tornar a casa")</x:f>
      </x:c>
      <x:c r="C6444" s="1">
        <x:f>IFERROR(__xludf.DUMMYFUNCTION("""COMPUTED_VALUE"""),"2010")</x:f>
      </x:c>
    </x:row>
    <x:row r="6445" spans="1:10">
      <x:c r="A6445" s="1" t="s">
        <x:v>6453</x:v>
      </x:c>
      <x:c r="B6445" s="1">
        <x:f>IFERROR(__xludf.DUMMYFUNCTION("""COMPUTED_VALUE"""),"Tornar a casa")</x:f>
      </x:c>
      <x:c r="C6445" s="1">
        <x:f>IFERROR(__xludf.DUMMYFUNCTION("""COMPUTED_VALUE"""),"2013")</x:f>
      </x:c>
    </x:row>
    <x:row r="6446" spans="1:10">
      <x:c r="A6446" s="1" t="s">
        <x:v>6454</x:v>
      </x:c>
      <x:c r="B6446" s="1">
        <x:f>IFERROR(__xludf.DUMMYFUNCTION("""COMPUTED_VALUE"""),"Tornar a casa per Nadal")</x:f>
      </x:c>
      <x:c r="C6446" s="1">
        <x:f>IFERROR(__xludf.DUMMYFUNCTION("""COMPUTED_VALUE"""),"2013")</x:f>
      </x:c>
    </x:row>
    <x:row r="6447" spans="1:10">
      <x:c r="A6447" s="1" t="s">
        <x:v>6455</x:v>
      </x:c>
      <x:c r="B6447" s="1">
        <x:f>IFERROR(__xludf.DUMMYFUNCTION("""COMPUTED_VALUE"""),"Tornar a començar")</x:f>
      </x:c>
      <x:c r="C6447" s="1">
        <x:f>IFERROR(__xludf.DUMMYFUNCTION("""COMPUTED_VALUE"""),"2015")</x:f>
      </x:c>
    </x:row>
    <x:row r="6448" spans="1:10">
      <x:c r="A6448" s="1" t="s">
        <x:v>6456</x:v>
      </x:c>
      <x:c r="B6448" s="1">
        <x:f>IFERROR(__xludf.DUMMYFUNCTION("""COMPUTED_VALUE"""),"Tornar a començar")</x:f>
      </x:c>
      <x:c r="C6448" s="1">
        <x:f>IFERROR(__xludf.DUMMYFUNCTION("""COMPUTED_VALUE"""),"2020")</x:f>
      </x:c>
    </x:row>
    <x:row r="6449" spans="1:10">
      <x:c r="A6449" s="1" t="s">
        <x:v>6457</x:v>
      </x:c>
      <x:c r="B6449" s="1">
        <x:f>IFERROR(__xludf.DUMMYFUNCTION("""COMPUTED_VALUE"""),"Tornar a l'amor")</x:f>
      </x:c>
      <x:c r="C6449" s="1">
        <x:f>IFERROR(__xludf.DUMMYFUNCTION("""COMPUTED_VALUE"""),"2017")</x:f>
      </x:c>
    </x:row>
    <x:row r="6450" spans="1:10">
      <x:c r="A6450" s="1" t="s">
        <x:v>6458</x:v>
      </x:c>
      <x:c r="B6450" s="1">
        <x:f>IFERROR(__xludf.DUMMYFUNCTION("""COMPUTED_VALUE"""),"Tornar a morir [VOSC]")</x:f>
      </x:c>
      <x:c r="C6450" s="1">
        <x:f>IFERROR(__xludf.DUMMYFUNCTION("""COMPUTED_VALUE"""),"1991")</x:f>
      </x:c>
    </x:row>
    <x:row r="6451" spans="1:10">
      <x:c r="A6451" s="1" t="s">
        <x:v>6459</x:v>
      </x:c>
      <x:c r="B6451" s="1">
        <x:f>IFERROR(__xludf.DUMMYFUNCTION("""COMPUTED_VALUE"""),"Tornar a néixer")</x:f>
      </x:c>
      <x:c r="C6451" s="1">
        <x:f>IFERROR(__xludf.DUMMYFUNCTION("""COMPUTED_VALUE"""),"2012")</x:f>
      </x:c>
    </x:row>
    <x:row r="6452" spans="1:10">
      <x:c r="A6452" s="1" t="s">
        <x:v>6460</x:v>
      </x:c>
      <x:c r="B6452" s="1">
        <x:f>IFERROR(__xludf.DUMMYFUNCTION("""COMPUTED_VALUE"""),"Tornar a ser nosaltres")</x:f>
      </x:c>
      <x:c r="C6452" s="1">
        <x:f>IFERROR(__xludf.DUMMYFUNCTION("""COMPUTED_VALUE"""),"2021")</x:f>
      </x:c>
    </x:row>
    <x:row r="6453" spans="1:10">
      <x:c r="A6453" s="1" t="s">
        <x:v>6461</x:v>
      </x:c>
      <x:c r="B6453" s="1">
        <x:f>IFERROR(__xludf.DUMMYFUNCTION("""COMPUTED_VALUE"""),"Tornarem")</x:f>
      </x:c>
      <x:c r="C6453" s="1">
        <x:f>IFERROR(__xludf.DUMMYFUNCTION("""COMPUTED_VALUE"""),"2011")</x:f>
      </x:c>
    </x:row>
    <x:row r="6454" spans="1:10">
      <x:c r="A6454" s="1" t="s">
        <x:v>6462</x:v>
      </x:c>
      <x:c r="B6454" s="1">
        <x:f>IFERROR(__xludf.DUMMYFUNCTION("""COMPUTED_VALUE"""),"Torno a casa de la meva mare")</x:f>
      </x:c>
      <x:c r="C6454" s="1">
        <x:f>IFERROR(__xludf.DUMMYFUNCTION("""COMPUTED_VALUE"""),"2016")</x:f>
      </x:c>
    </x:row>
    <x:row r="6455" spans="1:10">
      <x:c r="A6455" s="1" t="s">
        <x:v>6463</x:v>
      </x:c>
      <x:c r="B6455" s="1">
        <x:f>IFERROR(__xludf.DUMMYFUNCTION("""COMPUTED_VALUE"""),"Toro Salvatge")</x:f>
      </x:c>
      <x:c r="C6455" s="1">
        <x:f>IFERROR(__xludf.DUMMYFUNCTION("""COMPUTED_VALUE"""),"1980")</x:f>
      </x:c>
    </x:row>
    <x:row r="6456" spans="1:10">
      <x:c r="A6456" s="1" t="s">
        <x:v>6464</x:v>
      </x:c>
      <x:c r="B6456" s="1">
        <x:f>IFERROR(__xludf.DUMMYFUNCTION("""COMPUTED_VALUE"""),"Tortugues ninja joves mutants")</x:f>
      </x:c>
      <x:c r="C6456" s="1">
        <x:f>IFERROR(__xludf.DUMMYFUNCTION("""COMPUTED_VALUE"""),"2007")</x:f>
      </x:c>
    </x:row>
    <x:row r="6457" spans="1:10">
      <x:c r="A6457" s="1" t="s">
        <x:v>6465</x:v>
      </x:c>
      <x:c r="B6457" s="1">
        <x:f>IFERROR(__xludf.DUMMYFUNCTION("""COMPUTED_VALUE"""),"Toscana")</x:f>
      </x:c>
      <x:c r="C6457" s="1">
        <x:f>IFERROR(__xludf.DUMMYFUNCTION("""COMPUTED_VALUE"""),"2021")</x:f>
      </x:c>
    </x:row>
    <x:row r="6458" spans="1:10">
      <x:c r="A6458" s="1" t="s">
        <x:v>6466</x:v>
      </x:c>
      <x:c r="B6458" s="1">
        <x:f>IFERROR(__xludf.DUMMYFUNCTION("""COMPUTED_VALUE"""),"Tot alhora a tot arreu")</x:f>
      </x:c>
      <x:c r="C6458" s="1">
        <x:f>IFERROR(__xludf.DUMMYFUNCTION("""COMPUTED_VALUE"""),"2022")</x:f>
      </x:c>
    </x:row>
    <x:row r="6459" spans="1:10">
      <x:c r="A6459" s="1" t="s">
        <x:v>6467</x:v>
      </x:c>
      <x:c r="B6459" s="1">
        <x:f>IFERROR(__xludf.DUMMYFUNCTION("""COMPUTED_VALUE"""),"Tot assajant Flotats")</x:f>
      </x:c>
      <x:c r="C6459" s="1">
        <x:f>IFERROR(__xludf.DUMMYFUNCTION("""COMPUTED_VALUE"""),"2024")</x:f>
      </x:c>
    </x:row>
    <x:row r="6460" spans="1:10">
      <x:c r="A6460" s="1" t="s">
        <x:v>6468</x:v>
      </x:c>
      <x:c r="B6460" s="1">
        <x:f>IFERROR(__xludf.DUMMYFUNCTION("""COMPUTED_VALUE"""),"Tot coses bones")</x:f>
      </x:c>
      <x:c r="C6460" s="1">
        <x:f>IFERROR(__xludf.DUMMYFUNCTION("""COMPUTED_VALUE"""),"2010")</x:f>
      </x:c>
    </x:row>
    <x:row r="6461" spans="1:10">
      <x:c r="A6461" s="1" t="s">
        <x:v>6469</x:v>
      </x:c>
      <x:c r="B6461" s="1">
        <x:f>IFERROR(__xludf.DUMMYFUNCTION("""COMPUTED_VALUE"""),"Tot el que ha volgut saber sempre sobre el sexe que no ha gosat preguntar mai")</x:f>
      </x:c>
      <x:c r="C6461" s="1">
        <x:f>IFERROR(__xludf.DUMMYFUNCTION("""COMPUTED_VALUE"""),"1972")</x:f>
      </x:c>
    </x:row>
    <x:row r="6462" spans="1:10">
      <x:c r="A6462" s="1" t="s">
        <x:v>6470</x:v>
      </x:c>
      <x:c r="B6462" s="1">
        <x:f>IFERROR(__xludf.DUMMYFUNCTION("""COMPUTED_VALUE"""),"Tot ens separa")</x:f>
      </x:c>
      <x:c r="C6462" s="1">
        <x:f>IFERROR(__xludf.DUMMYFUNCTION("""COMPUTED_VALUE"""),"2017")</x:f>
      </x:c>
    </x:row>
    <x:row r="6463" spans="1:10">
      <x:c r="A6463" s="1" t="s">
        <x:v>6471</x:v>
      </x:c>
      <x:c r="B6463" s="1">
        <x:f>IFERROR(__xludf.DUMMYFUNCTION("""COMPUTED_VALUE"""),"Tot esperant el Rei")</x:f>
      </x:c>
      <x:c r="C6463" s="1">
        <x:f>IFERROR(__xludf.DUMMYFUNCTION("""COMPUTED_VALUE"""),"2016")</x:f>
      </x:c>
    </x:row>
    <x:row r="6464" spans="1:10">
      <x:c r="A6464" s="1" t="s">
        <x:v>6472</x:v>
      </x:c>
      <x:c r="B6464" s="1">
        <x:f>IFERROR(__xludf.DUMMYFUNCTION("""COMPUTED_VALUE"""),"Tot passa a Tel Aviv")</x:f>
      </x:c>
      <x:c r="C6464" s="1">
        <x:f>IFERROR(__xludf.DUMMYFUNCTION("""COMPUTED_VALUE"""),"2018")</x:f>
      </x:c>
    </x:row>
    <x:row r="6465" spans="1:10">
      <x:c r="A6465" s="1" t="s">
        <x:v>6473</x:v>
      </x:c>
      <x:c r="B6465" s="1">
        <x:f>IFERROR(__xludf.DUMMYFUNCTION("""COMPUTED_VALUE"""),"Tot passejant Miss Daisy")</x:f>
      </x:c>
      <x:c r="C6465" s="1">
        <x:f>IFERROR(__xludf.DUMMYFUNCTION("""COMPUTED_VALUE"""),"1989")</x:f>
      </x:c>
    </x:row>
    <x:row r="6466" spans="1:10">
      <x:c r="A6466" s="1" t="s">
        <x:v>6474</x:v>
      </x:c>
      <x:c r="B6466" s="1">
        <x:f>IFERROR(__xludf.DUMMYFUNCTION("""COMPUTED_VALUE"""),"Tot per amor")</x:f>
      </x:c>
      <x:c r="C6466" s="1">
        <x:f>IFERROR(__xludf.DUMMYFUNCTION("""COMPUTED_VALUE"""),"2017")</x:f>
      </x:c>
    </x:row>
    <x:row r="6467" spans="1:10">
      <x:c r="A6467" s="1" t="s">
        <x:v>6475</x:v>
      </x:c>
      <x:c r="B6467" s="1">
        <x:f>IFERROR(__xludf.DUMMYFUNCTION("""COMPUTED_VALUE"""),"Tot per la Grace")</x:f>
      </x:c>
      <x:c r="C6467" s="1">
        <x:f>IFERROR(__xludf.DUMMYFUNCTION("""COMPUTED_VALUE"""),"2018")</x:f>
      </x:c>
    </x:row>
    <x:row r="6468" spans="1:10">
      <x:c r="A6468" s="1" t="s">
        <x:v>6476</x:v>
      </x:c>
      <x:c r="B6468" s="1">
        <x:f>IFERROR(__xludf.DUMMYFUNCTION("""COMPUTED_VALUE"""),"Tot per la meva filla")</x:f>
      </x:c>
      <x:c r="C6468" s="1">
        <x:f>IFERROR(__xludf.DUMMYFUNCTION("""COMPUTED_VALUE"""),"2013")</x:f>
      </x:c>
    </x:row>
    <x:row r="6469" spans="1:10">
      <x:c r="A6469" s="1" t="s">
        <x:v>6477</x:v>
      </x:c>
      <x:c r="B6469" s="1">
        <x:f>IFERROR(__xludf.DUMMYFUNCTION("""COMPUTED_VALUE"""),"Tot per un somni")</x:f>
      </x:c>
      <x:c r="C6469" s="1">
        <x:f>IFERROR(__xludf.DUMMYFUNCTION("""COMPUTED_VALUE"""),"1995")</x:f>
      </x:c>
    </x:row>
    <x:row r="6470" spans="1:10">
      <x:c r="A6470" s="1" t="s">
        <x:v>6478</x:v>
      </x:c>
      <x:c r="B6470" s="1">
        <x:f>IFERROR(__xludf.DUMMYFUNCTION("""COMPUTED_VALUE"""),"Tot sobre Eva")</x:f>
      </x:c>
      <x:c r="C6470" s="1">
        <x:f>IFERROR(__xludf.DUMMYFUNCTION("""COMPUTED_VALUE"""),"1950")</x:f>
      </x:c>
    </x:row>
    <x:row r="6471" spans="1:10">
      <x:c r="A6471" s="1" t="s">
        <x:v>6479</x:v>
      </x:c>
      <x:c r="B6471" s="1">
        <x:f>IFERROR(__xludf.DUMMYFUNCTION("""COMPUTED_VALUE"""),"Tothom diu, I love you")</x:f>
      </x:c>
      <x:c r="C6471" s="1">
        <x:f>IFERROR(__xludf.DUMMYFUNCTION("""COMPUTED_VALUE"""),"1996")</x:f>
      </x:c>
    </x:row>
    <x:row r="6472" spans="1:10">
      <x:c r="A6472" s="1" t="s">
        <x:v>6480</x:v>
      </x:c>
      <x:c r="B6472" s="1">
        <x:f>IFERROR(__xludf.DUMMYFUNCTION("""COMPUTED_VALUE"""),"Tots els camins de Déu")</x:f>
      </x:c>
      <x:c r="C6472" s="1">
        <x:f>IFERROR(__xludf.DUMMYFUNCTION("""COMPUTED_VALUE"""),"2014")</x:f>
      </x:c>
    </x:row>
    <x:row r="6473" spans="1:10">
      <x:c r="A6473" s="1" t="s">
        <x:v>6481</x:v>
      </x:c>
      <x:c r="B6473" s="1">
        <x:f>IFERROR(__xludf.DUMMYFUNCTION("""COMPUTED_VALUE"""),"Tots els camins porten a casa")</x:f>
      </x:c>
      <x:c r="C6473" s="1">
        <x:f>IFERROR(__xludf.DUMMYFUNCTION("""COMPUTED_VALUE"""),"2008")</x:f>
      </x:c>
    </x:row>
    <x:row r="6474" spans="1:10">
      <x:c r="A6474" s="1" t="s">
        <x:v>6482</x:v>
      </x:c>
      <x:c r="B6474" s="1">
        <x:f>IFERROR(__xludf.DUMMYFUNCTION("""COMPUTED_VALUE"""),"Tots els cavalls bonics")</x:f>
      </x:c>
      <x:c r="C6474" s="1">
        <x:f>IFERROR(__xludf.DUMMYFUNCTION("""COMPUTED_VALUE"""),"2000")</x:f>
      </x:c>
    </x:row>
    <x:row r="6475" spans="1:10">
      <x:c r="A6475" s="1" t="s">
        <x:v>6483</x:v>
      </x:c>
      <x:c r="B6475" s="1">
        <x:f>IFERROR(__xludf.DUMMYFUNCTION("""COMPUTED_VALUE"""),"Tots els diners del món")</x:f>
      </x:c>
      <x:c r="C6475" s="1">
        <x:f>IFERROR(__xludf.DUMMYFUNCTION("""COMPUTED_VALUE"""),"2017")</x:f>
      </x:c>
    </x:row>
    <x:row r="6476" spans="1:10">
      <x:c r="A6476" s="1" t="s">
        <x:v>6484</x:v>
      </x:c>
      <x:c r="B6476" s="1">
        <x:f>IFERROR(__xludf.DUMMYFUNCTION("""COMPUTED_VALUE"""),"Tots els germans eren valents")</x:f>
      </x:c>
      <x:c r="C6476" s="1">
        <x:f>IFERROR(__xludf.DUMMYFUNCTION("""COMPUTED_VALUE"""),"1953")</x:f>
      </x:c>
    </x:row>
    <x:row r="6477" spans="1:10">
      <x:c r="A6477" s="1" t="s">
        <x:v>6485</x:v>
      </x:c>
      <x:c r="B6477" s="1">
        <x:f>IFERROR(__xludf.DUMMYFUNCTION("""COMPUTED_VALUE"""),"Tots els gossos van al cel 2")</x:f>
      </x:c>
      <x:c r="C6477" s="1">
        <x:f>IFERROR(__xludf.DUMMYFUNCTION("""COMPUTED_VALUE"""),"1996")</x:f>
      </x:c>
    </x:row>
    <x:row r="6478" spans="1:10">
      <x:c r="A6478" s="1" t="s">
        <x:v>6486</x:v>
      </x:c>
      <x:c r="B6478" s="1">
        <x:f>IFERROR(__xludf.DUMMYFUNCTION("""COMPUTED_VALUE"""),"Tots els homes del President")</x:f>
      </x:c>
      <x:c r="C6478" s="1">
        <x:f>IFERROR(__xludf.DUMMYFUNCTION("""COMPUTED_VALUE"""),"1976")</x:f>
      </x:c>
    </x:row>
    <x:row r="6479" spans="1:10">
      <x:c r="A6479" s="1" t="s">
        <x:v>6487</x:v>
      </x:c>
      <x:c r="B6479" s="1">
        <x:f>IFERROR(__xludf.DUMMYFUNCTION("""COMPUTED_VALUE"""),"Tots els matins del món [VOSC]")</x:f>
      </x:c>
      <x:c r="C6479" s="1">
        <x:f>IFERROR(__xludf.DUMMYFUNCTION("""COMPUTED_VALUE"""),"1991")</x:f>
      </x:c>
    </x:row>
    <x:row r="6480" spans="1:10">
      <x:c r="A6480" s="1" t="s">
        <x:v>6488</x:v>
      </x:c>
      <x:c r="B6480" s="1">
        <x:f>IFERROR(__xludf.DUMMYFUNCTION("""COMPUTED_VALUE"""),"Tots estan bé")</x:f>
      </x:c>
      <x:c r="C6480" s="1">
        <x:f>IFERROR(__xludf.DUMMYFUNCTION("""COMPUTED_VALUE"""),"2009")</x:f>
      </x:c>
    </x:row>
    <x:row r="6481" spans="1:10">
      <x:c r="A6481" s="1" t="s">
        <x:v>6489</x:v>
      </x:c>
      <x:c r="B6481" s="1">
        <x:f>IFERROR(__xludf.DUMMYFUNCTION("""COMPUTED_VALUE"""),"Tots junts! La Festa dels Súpers")</x:f>
      </x:c>
      <x:c r="C6481" s="1">
        <x:f>IFERROR(__xludf.DUMMYFUNCTION("""COMPUTED_VALUE"""),"2016")</x:f>
      </x:c>
    </x:row>
    <x:row r="6482" spans="1:10">
      <x:c r="A6482" s="1" t="s">
        <x:v>6490</x:v>
      </x:c>
      <x:c r="B6482" s="1">
        <x:f>IFERROR(__xludf.DUMMYFUNCTION("""COMPUTED_VALUE"""),"Tots som 1 - 15 anys de ràdio")</x:f>
      </x:c>
      <x:c r="C6482" s="1">
        <x:f>IFERROR(__xludf.DUMMYFUNCTION("""COMPUTED_VALUE"""),"2015")</x:f>
      </x:c>
    </x:row>
    <x:row r="6483" spans="1:10">
      <x:c r="A6483" s="1" t="s">
        <x:v>6491</x:v>
      </x:c>
      <x:c r="B6483" s="1">
        <x:f>IFERROR(__xludf.DUMMYFUNCTION("""COMPUTED_VALUE"""),"Tots vigilats")</x:f>
      </x:c>
      <x:c r="C6483" s="1">
        <x:f>IFERROR(__xludf.DUMMYFUNCTION("""COMPUTED_VALUE"""),"2020")</x:f>
      </x:c>
    </x:row>
    <x:row r="6484" spans="1:10">
      <x:c r="A6484" s="1" t="s">
        <x:v>6492</x:v>
      </x:c>
      <x:c r="B6484" s="1">
        <x:f>IFERROR(__xludf.DUMMYFUNCTION("""COMPUTED_VALUE"""),"Tots volem el millor per a ella")</x:f>
      </x:c>
      <x:c r="C6484" s="1">
        <x:f>IFERROR(__xludf.DUMMYFUNCTION("""COMPUTED_VALUE"""),"2013")</x:f>
      </x:c>
    </x:row>
    <x:row r="6485" spans="1:10">
      <x:c r="A6485" s="1" t="s">
        <x:v>6493</x:v>
      </x:c>
      <x:c r="B6485" s="1">
        <x:f>IFERROR(__xludf.DUMMYFUNCTION("""COMPUTED_VALUE"""),"Toy Story 3")</x:f>
      </x:c>
      <x:c r="C6485" s="1">
        <x:f>IFERROR(__xludf.DUMMYFUNCTION("""COMPUTED_VALUE"""),"2010")</x:f>
      </x:c>
    </x:row>
    <x:row r="6486" spans="1:10">
      <x:c r="A6486" s="1" t="s">
        <x:v>6494</x:v>
      </x:c>
      <x:c r="B6486" s="1">
        <x:f>IFERROR(__xludf.DUMMYFUNCTION("""COMPUTED_VALUE"""),"Toy Story 4")</x:f>
      </x:c>
      <x:c r="C6486" s="1">
        <x:f>IFERROR(__xludf.DUMMYFUNCTION("""COMPUTED_VALUE"""),"2019")</x:f>
      </x:c>
    </x:row>
    <x:row r="6487" spans="1:10">
      <x:c r="A6487" s="1" t="s">
        <x:v>6495</x:v>
      </x:c>
      <x:c r="B6487" s="1">
        <x:f>IFERROR(__xludf.DUMMYFUNCTION("""COMPUTED_VALUE"""),"Tracers")</x:f>
      </x:c>
      <x:c r="C6487" s="1">
        <x:f>IFERROR(__xludf.DUMMYFUNCTION("""COMPUTED_VALUE"""),"2015")</x:f>
      </x:c>
    </x:row>
    <x:row r="6488" spans="1:10">
      <x:c r="A6488" s="1" t="s">
        <x:v>6496</x:v>
      </x:c>
      <x:c r="B6488" s="1">
        <x:f>IFERROR(__xludf.DUMMYFUNCTION("""COMPUTED_VALUE"""),"Traïdor")</x:f>
      </x:c>
      <x:c r="C6488" s="1">
        <x:f>IFERROR(__xludf.DUMMYFUNCTION("""COMPUTED_VALUE"""),"2008")</x:f>
      </x:c>
    </x:row>
    <x:row r="6489" spans="1:10">
      <x:c r="A6489" s="1" t="s">
        <x:v>6497</x:v>
      </x:c>
      <x:c r="B6489" s="1">
        <x:f>IFERROR(__xludf.DUMMYFUNCTION("""COMPUTED_VALUE"""),"Train to Busan")</x:f>
      </x:c>
      <x:c r="C6489" s="1">
        <x:f>IFERROR(__xludf.DUMMYFUNCTION("""COMPUTED_VALUE"""),"2016")</x:f>
      </x:c>
    </x:row>
    <x:row r="6490" spans="1:10">
      <x:c r="A6490" s="1" t="s">
        <x:v>6498</x:v>
      </x:c>
      <x:c r="B6490" s="1">
        <x:f>IFERROR(__xludf.DUMMYFUNCTION("""COMPUTED_VALUE"""),"Training day: dia d'entrenament")</x:f>
      </x:c>
      <x:c r="C6490" s="1">
        <x:f>IFERROR(__xludf.DUMMYFUNCTION("""COMPUTED_VALUE"""),"2001")</x:f>
      </x:c>
    </x:row>
    <x:row r="6491" spans="1:10">
      <x:c r="A6491" s="1" t="s">
        <x:v>6499</x:v>
      </x:c>
      <x:c r="B6491" s="1">
        <x:f>IFERROR(__xludf.DUMMYFUNCTION("""COMPUTED_VALUE"""),"Transcendència")</x:f>
      </x:c>
      <x:c r="C6491" s="1">
        <x:f>IFERROR(__xludf.DUMMYFUNCTION("""COMPUTED_VALUE"""),"2014")</x:f>
      </x:c>
    </x:row>
    <x:row r="6492" spans="1:10">
      <x:c r="A6492" s="1" t="s">
        <x:v>6500</x:v>
      </x:c>
      <x:c r="B6492" s="1">
        <x:f>IFERROR(__xludf.DUMMYFUNCTION("""COMPUTED_VALUE"""),"Transformers One")</x:f>
      </x:c>
      <x:c r="C6492" s="1">
        <x:f>IFERROR(__xludf.DUMMYFUNCTION("""COMPUTED_VALUE"""),"2024")</x:f>
      </x:c>
    </x:row>
    <x:row r="6493" spans="1:10">
      <x:c r="A6493" s="1" t="s">
        <x:v>6501</x:v>
      </x:c>
      <x:c r="B6493" s="1">
        <x:f>IFERROR(__xludf.DUMMYFUNCTION("""COMPUTED_VALUE"""),"Transgression")</x:f>
      </x:c>
      <x:c r="C6493" s="1">
        <x:f>IFERROR(__xludf.DUMMYFUNCTION("""COMPUTED_VALUE"""),"2011")</x:f>
      </x:c>
    </x:row>
    <x:row r="6494" spans="1:10">
      <x:c r="A6494" s="1" t="s">
        <x:v>6502</x:v>
      </x:c>
      <x:c r="B6494" s="1">
        <x:f>IFERROR(__xludf.DUMMYFUNCTION("""COMPUTED_VALUE"""),"Transport espacial")</x:f>
      </x:c>
      <x:c r="C6494" s="1">
        <x:f>IFERROR(__xludf.DUMMYFUNCTION("""COMPUTED_VALUE"""),"1996")</x:f>
      </x:c>
    </x:row>
    <x:row r="6495" spans="1:10">
      <x:c r="A6495" s="1" t="s">
        <x:v>6503</x:v>
      </x:c>
      <x:c r="B6495" s="1">
        <x:f>IFERROR(__xludf.DUMMYFUNCTION("""COMPUTED_VALUE"""),"Transporter 2")</x:f>
      </x:c>
      <x:c r="C6495" s="1">
        <x:f>IFERROR(__xludf.DUMMYFUNCTION("""COMPUTED_VALUE"""),"2005")</x:f>
      </x:c>
    </x:row>
    <x:row r="6496" spans="1:10">
      <x:c r="A6496" s="1" t="s">
        <x:v>6504</x:v>
      </x:c>
      <x:c r="B6496" s="1">
        <x:f>IFERROR(__xludf.DUMMYFUNCTION("""COMPUTED_VALUE"""),"Transporter 3")</x:f>
      </x:c>
      <x:c r="C6496" s="1">
        <x:f>IFERROR(__xludf.DUMMYFUNCTION("""COMPUTED_VALUE"""),"2008")</x:f>
      </x:c>
    </x:row>
    <x:row r="6497" spans="1:10">
      <x:c r="A6497" s="1" t="s">
        <x:v>6505</x:v>
      </x:c>
      <x:c r="B6497" s="1">
        <x:f>IFERROR(__xludf.DUMMYFUNCTION("""COMPUTED_VALUE"""),"Transsiberià")</x:f>
      </x:c>
      <x:c r="C6497" s="1">
        <x:f>IFERROR(__xludf.DUMMYFUNCTION("""COMPUTED_VALUE"""),"2008")</x:f>
      </x:c>
    </x:row>
    <x:row r="6498" spans="1:10">
      <x:c r="A6498" s="1" t="s">
        <x:v>6506</x:v>
      </x:c>
      <x:c r="B6498" s="1">
        <x:f>IFERROR(__xludf.DUMMYFUNCTION("""COMPUTED_VALUE"""),"Transylvania")</x:f>
      </x:c>
      <x:c r="C6498" s="1">
        <x:f>IFERROR(__xludf.DUMMYFUNCTION("""COMPUTED_VALUE"""),"2006")</x:f>
      </x:c>
    </x:row>
    <x:row r="6499" spans="1:10">
      <x:c r="A6499" s="1" t="s">
        <x:v>6507</x:v>
      </x:c>
      <x:c r="B6499" s="1">
        <x:f>IFERROR(__xludf.DUMMYFUNCTION("""COMPUTED_VALUE"""),"Tranuites Circus")</x:f>
      </x:c>
      <x:c r="C6499" s="1">
        <x:f>IFERROR(__xludf.DUMMYFUNCTION("""COMPUTED_VALUE"""),"2007")</x:f>
      </x:c>
    </x:row>
    <x:row r="6500" spans="1:10">
      <x:c r="A6500" s="1" t="s">
        <x:v>6508</x:v>
      </x:c>
      <x:c r="B6500" s="1">
        <x:f>IFERROR(__xludf.DUMMYFUNCTION("""COMPUTED_VALUE"""),"Trasto: De la mansió al carrer")</x:f>
      </x:c>
      <x:c r="C6500" s="1">
        <x:f>IFERROR(__xludf.DUMMYFUNCTION("""COMPUTED_VALUE"""),"2019")</x:f>
      </x:c>
    </x:row>
    <x:row r="6501" spans="1:10">
      <x:c r="A6501" s="1" t="s">
        <x:v>6509</x:v>
      </x:c>
      <x:c r="B6501" s="1">
        <x:f>IFERROR(__xludf.DUMMYFUNCTION("""COMPUTED_VALUE"""),"Trastorn")</x:f>
      </x:c>
      <x:c r="C6501" s="1">
        <x:f>IFERROR(__xludf.DUMMYFUNCTION("""COMPUTED_VALUE"""),"2006")</x:f>
      </x:c>
    </x:row>
    <x:row r="6502" spans="1:10">
      <x:c r="A6502" s="1" t="s">
        <x:v>6510</x:v>
      </x:c>
      <x:c r="B6502" s="1">
        <x:f>IFERROR(__xludf.DUMMYFUNCTION("""COMPUTED_VALUE"""),"Trauma")</x:f>
      </x:c>
      <x:c r="C6502" s="1">
        <x:f>IFERROR(__xludf.DUMMYFUNCTION("""COMPUTED_VALUE"""),"2004")</x:f>
      </x:c>
    </x:row>
    <x:row r="6503" spans="1:10">
      <x:c r="A6503" s="1" t="s">
        <x:v>6511</x:v>
      </x:c>
      <x:c r="B6503" s="1">
        <x:f>IFERROR(__xludf.DUMMYFUNCTION("""COMPUTED_VALUE"""),"Travessar la frontera")</x:f>
      </x:c>
      <x:c r="C6503" s="1">
        <x:f>IFERROR(__xludf.DUMMYFUNCTION("""COMPUTED_VALUE"""),"2024")</x:f>
      </x:c>
    </x:row>
    <x:row r="6504" spans="1:10">
      <x:c r="A6504" s="1" t="s">
        <x:v>6512</x:v>
      </x:c>
      <x:c r="B6504" s="1">
        <x:f>IFERROR(__xludf.DUMMYFUNCTION("""COMPUTED_VALUE"""),"Treballs d'amors perduts")</x:f>
      </x:c>
      <x:c r="C6504" s="1">
        <x:f>IFERROR(__xludf.DUMMYFUNCTION("""COMPUTED_VALUE"""),"2000")</x:f>
      </x:c>
    </x:row>
    <x:row r="6505" spans="1:10">
      <x:c r="A6505" s="1" t="s">
        <x:v>6513</x:v>
      </x:c>
      <x:c r="B6505" s="1">
        <x:f>IFERROR(__xludf.DUMMYFUNCTION("""COMPUTED_VALUE"""),"Trek to Neverland [VOSC]")</x:f>
      </x:c>
      <x:c r="C6505" s="1">
        <x:f>IFERROR(__xludf.DUMMYFUNCTION("""COMPUTED_VALUE"""),"2022")</x:f>
      </x:c>
    </x:row>
    <x:row r="6506" spans="1:10">
      <x:c r="A6506" s="1" t="s">
        <x:v>6514</x:v>
      </x:c>
      <x:c r="B6506" s="1">
        <x:f>IFERROR(__xludf.DUMMYFUNCTION("""COMPUTED_VALUE"""),"Tren de nit a Lisboa")</x:f>
      </x:c>
      <x:c r="C6506" s="1">
        <x:f>IFERROR(__xludf.DUMMYFUNCTION("""COMPUTED_VALUE"""),"2013")</x:f>
      </x:c>
    </x:row>
    <x:row r="6507" spans="1:10">
      <x:c r="A6507" s="1" t="s">
        <x:v>6515</x:v>
      </x:c>
      <x:c r="B6507" s="1">
        <x:f>IFERROR(__xludf.DUMMYFUNCTION("""COMPUTED_VALUE"""),"Trencaneu")</x:f>
      </x:c>
      <x:c r="C6507" s="1">
        <x:f>IFERROR(__xludf.DUMMYFUNCTION("""COMPUTED_VALUE"""),"2013")</x:f>
      </x:c>
    </x:row>
    <x:row r="6508" spans="1:10">
      <x:c r="A6508" s="1" t="s">
        <x:v>6516</x:v>
      </x:c>
      <x:c r="B6508" s="1">
        <x:f>IFERROR(__xludf.DUMMYFUNCTION("""COMPUTED_VALUE"""),"Trencant les regles")</x:f>
      </x:c>
      <x:c r="C6508" s="1">
        <x:f>IFERROR(__xludf.DUMMYFUNCTION("""COMPUTED_VALUE"""),"2008")</x:f>
      </x:c>
    </x:row>
    <x:row r="6509" spans="1:10">
      <x:c r="A6509" s="1" t="s">
        <x:v>6517</x:v>
      </x:c>
      <x:c r="B6509" s="1">
        <x:f>IFERROR(__xludf.DUMMYFUNCTION("""COMPUTED_VALUE"""),"Tres")</x:f>
      </x:c>
      <x:c r="C6509" s="1">
        <x:f>IFERROR(__xludf.DUMMYFUNCTION("""COMPUTED_VALUE"""),"2021")</x:f>
      </x:c>
    </x:row>
    <x:row r="6510" spans="1:10">
      <x:c r="A6510" s="1" t="s">
        <x:v>6518</x:v>
      </x:c>
      <x:c r="B6510" s="1">
        <x:f>IFERROR(__xludf.DUMMYFUNCTION("""COMPUTED_VALUE"""),"Tres colors Blau")</x:f>
      </x:c>
      <x:c r="C6510" s="1">
        <x:f>IFERROR(__xludf.DUMMYFUNCTION("""COMPUTED_VALUE"""),"1993")</x:f>
      </x:c>
    </x:row>
    <x:row r="6511" spans="1:10">
      <x:c r="A6511" s="1" t="s">
        <x:v>6519</x:v>
      </x:c>
      <x:c r="B6511" s="1">
        <x:f>IFERROR(__xludf.DUMMYFUNCTION("""COMPUTED_VALUE"""),"Tres colors: Blanc")</x:f>
      </x:c>
      <x:c r="C6511" s="1">
        <x:f>IFERROR(__xludf.DUMMYFUNCTION("""COMPUTED_VALUE"""),"1994")</x:f>
      </x:c>
    </x:row>
    <x:row r="6512" spans="1:10">
      <x:c r="A6512" s="1" t="s">
        <x:v>6520</x:v>
      </x:c>
      <x:c r="B6512" s="1">
        <x:f>IFERROR(__xludf.DUMMYFUNCTION("""COMPUTED_VALUE"""),"Tres colors: Vermell")</x:f>
      </x:c>
      <x:c r="C6512" s="1">
        <x:f>IFERROR(__xludf.DUMMYFUNCTION("""COMPUTED_VALUE"""),"1994")</x:f>
      </x:c>
    </x:row>
    <x:row r="6513" spans="1:10">
      <x:c r="A6513" s="1" t="s">
        <x:v>6521</x:v>
      </x:c>
      <x:c r="B6513" s="1">
        <x:f>IFERROR(__xludf.DUMMYFUNCTION("""COMPUTED_VALUE"""),"Tres cops vint anys")</x:f>
      </x:c>
      <x:c r="C6513" s="1">
        <x:f>IFERROR(__xludf.DUMMYFUNCTION("""COMPUTED_VALUE"""),"2011")</x:f>
      </x:c>
    </x:row>
    <x:row r="6514" spans="1:10">
      <x:c r="A6514" s="1" t="s">
        <x:v>6522</x:v>
      </x:c>
      <x:c r="B6514" s="1">
        <x:f>IFERROR(__xludf.DUMMYFUNCTION("""COMPUTED_VALUE"""),"Tres de farra per Nadal")</x:f>
      </x:c>
      <x:c r="C6514" s="1">
        <x:f>IFERROR(__xludf.DUMMYFUNCTION("""COMPUTED_VALUE"""),"2015")</x:f>
      </x:c>
    </x:row>
    <x:row r="6515" spans="1:10">
      <x:c r="A6515" s="1" t="s">
        <x:v>6523</x:v>
      </x:c>
      <x:c r="B6515" s="1">
        <x:f>IFERROR(__xludf.DUMMYFUNCTION("""COMPUTED_VALUE"""),"Tres dies amb la família")</x:f>
      </x:c>
      <x:c r="C6515" s="1">
        <x:f>IFERROR(__xludf.DUMMYFUNCTION("""COMPUTED_VALUE"""),"2009")</x:f>
      </x:c>
    </x:row>
    <x:row r="6516" spans="1:10">
      <x:c r="A6516" s="1" t="s">
        <x:v>6524</x:v>
      </x:c>
      <x:c r="B6516" s="1">
        <x:f>IFERROR(__xludf.DUMMYFUNCTION("""COMPUTED_VALUE"""),"Tres dones i un pla")</x:f>
      </x:c>
      <x:c r="C6516" s="1">
        <x:f>IFERROR(__xludf.DUMMYFUNCTION("""COMPUTED_VALUE"""),"2008")</x:f>
      </x:c>
    </x:row>
    <x:row r="6517" spans="1:10">
      <x:c r="A6517" s="1" t="s">
        <x:v>6525</x:v>
      </x:c>
      <x:c r="B6517" s="1">
        <x:f>IFERROR(__xludf.DUMMYFUNCTION("""COMPUTED_VALUE"""),"Tres pisos")</x:f>
      </x:c>
      <x:c r="C6517" s="1">
        <x:f>IFERROR(__xludf.DUMMYFUNCTION("""COMPUTED_VALUE"""),"2021")</x:f>
      </x:c>
    </x:row>
    <x:row r="6518" spans="1:10">
      <x:c r="A6518" s="1" t="s">
        <x:v>6526</x:v>
      </x:c>
      <x:c r="B6518" s="1">
        <x:f>IFERROR(__xludf.DUMMYFUNCTION("""COMPUTED_VALUE"""),"Tres setmanes, tres nens")</x:f>
      </x:c>
      <x:c r="C6518" s="1">
        <x:f>IFERROR(__xludf.DUMMYFUNCTION("""COMPUTED_VALUE"""),"2011")</x:f>
      </x:c>
    </x:row>
    <x:row r="6519" spans="1:10">
      <x:c r="A6519" s="1" t="s">
        <x:v>6527</x:v>
      </x:c>
      <x:c r="B6519" s="1">
        <x:f>IFERROR(__xludf.DUMMYFUNCTION("""COMPUTED_VALUE"""),"Tres vides errants")</x:f>
      </x:c>
      <x:c r="C6519" s="1">
        <x:f>IFERROR(__xludf.DUMMYFUNCTION("""COMPUTED_VALUE"""),"1960")</x:f>
      </x:c>
    </x:row>
    <x:row r="6520" spans="1:10">
      <x:c r="A6520" s="1" t="s">
        <x:v>6528</x:v>
      </x:c>
      <x:c r="B6520" s="1">
        <x:f>IFERROR(__xludf.DUMMYFUNCTION("""COMPUTED_VALUE"""),"Tres-cents")</x:f>
      </x:c>
      <x:c r="C6520" s="1">
        <x:f>IFERROR(__xludf.DUMMYFUNCTION("""COMPUTED_VALUE"""),"2006")</x:f>
      </x:c>
    </x:row>
    <x:row r="6521" spans="1:10">
      <x:c r="A6521" s="1" t="s">
        <x:v>6529</x:v>
      </x:c>
      <x:c r="B6521" s="1">
        <x:f>IFERROR(__xludf.DUMMYFUNCTION("""COMPUTED_VALUE"""),"Tresor")</x:f>
      </x:c>
      <x:c r="C6521" s="1">
        <x:f>IFERROR(__xludf.DUMMYFUNCTION("""COMPUTED_VALUE"""),"2009")</x:f>
      </x:c>
    </x:row>
    <x:row r="6522" spans="1:10">
      <x:c r="A6522" s="1" t="s">
        <x:v>6530</x:v>
      </x:c>
      <x:c r="B6522" s="1">
        <x:f>IFERROR(__xludf.DUMMYFUNCTION("""COMPUTED_VALUE"""),"Tretze dies")</x:f>
      </x:c>
      <x:c r="C6522" s="1">
        <x:f>IFERROR(__xludf.DUMMYFUNCTION("""COMPUTED_VALUE"""),"2000")</x:f>
      </x:c>
    </x:row>
    <x:row r="6523" spans="1:10">
      <x:c r="A6523" s="1" t="s">
        <x:v>6531</x:v>
      </x:c>
      <x:c r="B6523" s="1">
        <x:f>IFERROR(__xludf.DUMMYFUNCTION("""COMPUTED_VALUE"""),"Tretze vides")</x:f>
      </x:c>
      <x:c r="C6523" s="1">
        <x:f>IFERROR(__xludf.DUMMYFUNCTION("""COMPUTED_VALUE"""),"2022")</x:f>
      </x:c>
    </x:row>
    <x:row r="6524" spans="1:10">
      <x:c r="A6524" s="1" t="s">
        <x:v>6532</x:v>
      </x:c>
      <x:c r="B6524" s="1">
        <x:f>IFERROR(__xludf.DUMMYFUNCTION("""COMPUTED_VALUE"""),"Triangle [VOSC]")</x:f>
      </x:c>
      <x:c r="C6524" s="1">
        <x:f>IFERROR(__xludf.DUMMYFUNCTION("""COMPUTED_VALUE"""),"2009")</x:f>
      </x:c>
    </x:row>
    <x:row r="6525" spans="1:10">
      <x:c r="A6525" s="1" t="s">
        <x:v>6533</x:v>
      </x:c>
      <x:c r="B6525" s="1">
        <x:f>IFERROR(__xludf.DUMMYFUNCTION("""COMPUTED_VALUE"""),"Tribunal de comptes")</x:f>
      </x:c>
      <x:c r="C6525" s="1">
        <x:f>IFERROR(__xludf.DUMMYFUNCTION("""COMPUTED_VALUE"""),"2022")</x:f>
      </x:c>
    </x:row>
    <x:row r="6526" spans="1:10">
      <x:c r="A6526" s="1" t="s">
        <x:v>6534</x:v>
      </x:c>
      <x:c r="B6526" s="1">
        <x:f>IFERROR(__xludf.DUMMYFUNCTION("""COMPUTED_VALUE"""),"Tricicle 40")</x:f>
      </x:c>
      <x:c r="C6526" s="1">
        <x:f>IFERROR(__xludf.DUMMYFUNCTION("""COMPUTED_VALUE"""),"2020")</x:f>
      </x:c>
    </x:row>
    <x:row r="6527" spans="1:10">
      <x:c r="A6527" s="1" t="s">
        <x:v>6535</x:v>
      </x:c>
      <x:c r="B6527" s="1">
        <x:f>IFERROR(__xludf.DUMMYFUNCTION("""COMPUTED_VALUE"""),"Trio: La recerca del santuari sagrat")</x:f>
      </x:c>
      <x:c r="C6527" s="1">
        <x:f>IFERROR(__xludf.DUMMYFUNCTION("""COMPUTED_VALUE"""),"2017")</x:f>
      </x:c>
    </x:row>
    <x:row r="6528" spans="1:10">
      <x:c r="A6528" s="1" t="s">
        <x:v>6536</x:v>
      </x:c>
      <x:c r="B6528" s="1">
        <x:f>IFERROR(__xludf.DUMMYFUNCTION("""COMPUTED_VALUE"""),"Triple X")</x:f>
      </x:c>
      <x:c r="C6528" s="1">
        <x:f>IFERROR(__xludf.DUMMYFUNCTION("""COMPUTED_VALUE"""),"2002")</x:f>
      </x:c>
    </x:row>
    <x:row r="6529" spans="1:10">
      <x:c r="A6529" s="1" t="s">
        <x:v>6537</x:v>
      </x:c>
      <x:c r="B6529" s="1">
        <x:f>IFERROR(__xludf.DUMMYFUNCTION("""COMPUTED_VALUE"""),"Tristram Shandy (A Cock and Bull Story)")</x:f>
      </x:c>
      <x:c r="C6529" s="1">
        <x:f>IFERROR(__xludf.DUMMYFUNCTION("""COMPUTED_VALUE"""),"2005")</x:f>
      </x:c>
    </x:row>
    <x:row r="6530" spans="1:10">
      <x:c r="A6530" s="1" t="s">
        <x:v>6538</x:v>
      </x:c>
      <x:c r="B6530" s="1">
        <x:f>IFERROR(__xludf.DUMMYFUNCTION("""COMPUTED_VALUE"""),"Trobades a la fi del món")</x:f>
      </x:c>
      <x:c r="C6530" s="1">
        <x:f>IFERROR(__xludf.DUMMYFUNCTION("""COMPUTED_VALUE"""),"2007")</x:f>
      </x:c>
    </x:row>
    <x:row r="6531" spans="1:10">
      <x:c r="A6531" s="1" t="s">
        <x:v>6539</x:v>
      </x:c>
      <x:c r="B6531" s="1">
        <x:f>IFERROR(__xludf.DUMMYFUNCTION("""COMPUTED_VALUE"""),"Trobaràs dracs")</x:f>
      </x:c>
      <x:c r="C6531" s="1">
        <x:f>IFERROR(__xludf.DUMMYFUNCTION("""COMPUTED_VALUE"""),"2011")</x:f>
      </x:c>
    </x:row>
    <x:row r="6532" spans="1:10">
      <x:c r="A6532" s="1" t="s">
        <x:v>6540</x:v>
      </x:c>
      <x:c r="B6532" s="1">
        <x:f>IFERROR(__xludf.DUMMYFUNCTION("""COMPUTED_VALUE"""),"Troia")</x:f>
      </x:c>
      <x:c r="C6532" s="1">
        <x:f>IFERROR(__xludf.DUMMYFUNCTION("""COMPUTED_VALUE"""),"2004")</x:f>
      </x:c>
    </x:row>
    <x:row r="6533" spans="1:10">
      <x:c r="A6533" s="1" t="s">
        <x:v>6541</x:v>
      </x:c>
      <x:c r="B6533" s="1">
        <x:f>IFERROR(__xludf.DUMMYFUNCTION("""COMPUTED_VALUE"""),"Trolls 3: Tots junts")</x:f>
      </x:c>
      <x:c r="C6533" s="1">
        <x:f>IFERROR(__xludf.DUMMYFUNCTION("""COMPUTED_VALUE"""),"2023")</x:f>
      </x:c>
    </x:row>
    <x:row r="6534" spans="1:10">
      <x:c r="A6534" s="1" t="s">
        <x:v>6542</x:v>
      </x:c>
      <x:c r="B6534" s="1">
        <x:f>IFERROR(__xludf.DUMMYFUNCTION("""COMPUTED_VALUE"""),"Trolls II Gira mundial")</x:f>
      </x:c>
      <x:c r="C6534" s="1">
        <x:f>IFERROR(__xludf.DUMMYFUNCTION("""COMPUTED_VALUE"""),"2020")</x:f>
      </x:c>
    </x:row>
    <x:row r="6535" spans="1:10">
      <x:c r="A6535" s="1" t="s">
        <x:v>6543</x:v>
      </x:c>
      <x:c r="B6535" s="1">
        <x:f>IFERROR(__xludf.DUMMYFUNCTION("""COMPUTED_VALUE"""),"Tropa d'elit")</x:f>
      </x:c>
      <x:c r="C6535" s="1">
        <x:f>IFERROR(__xludf.DUMMYFUNCTION("""COMPUTED_VALUE"""),"2007")</x:f>
      </x:c>
    </x:row>
    <x:row r="6536" spans="1:10">
      <x:c r="A6536" s="1" t="s">
        <x:v>6544</x:v>
      </x:c>
      <x:c r="B6536" s="1">
        <x:f>IFERROR(__xludf.DUMMYFUNCTION("""COMPUTED_VALUE"""),"Tros")</x:f>
      </x:c>
      <x:c r="C6536" s="1">
        <x:f>IFERROR(__xludf.DUMMYFUNCTION("""COMPUTED_VALUE"""),"2021")</x:f>
      </x:c>
    </x:row>
    <x:row r="6537" spans="1:10">
      <x:c r="A6537" s="1" t="s">
        <x:v>6545</x:v>
      </x:c>
      <x:c r="B6537" s="1">
        <x:f>IFERROR(__xludf.DUMMYFUNCTION("""COMPUTED_VALUE"""),"Trucada perduda")</x:f>
      </x:c>
      <x:c r="C6537" s="1">
        <x:f>IFERROR(__xludf.DUMMYFUNCTION("""COMPUTED_VALUE"""),"2003")</x:f>
      </x:c>
    </x:row>
    <x:row r="6538" spans="1:10">
      <x:c r="A6538" s="1" t="s">
        <x:v>6546</x:v>
      </x:c>
      <x:c r="B6538" s="1">
        <x:f>IFERROR(__xludf.DUMMYFUNCTION("""COMPUTED_VALUE"""),"Truman")</x:f>
      </x:c>
      <x:c r="C6538" s="1">
        <x:f>IFERROR(__xludf.DUMMYFUNCTION("""COMPUTED_VALUE"""),"2015")</x:f>
      </x:c>
    </x:row>
    <x:row r="6539" spans="1:10">
      <x:c r="A6539" s="1" t="s">
        <x:v>6547</x:v>
      </x:c>
      <x:c r="B6539" s="1">
        <x:f>IFERROR(__xludf.DUMMYFUNCTION("""COMPUTED_VALUE"""),"Trump a la Casa Blanca. Pànic als Estats Units?")</x:f>
      </x:c>
      <x:c r="C6539" s="1">
        <x:f>IFERROR(__xludf.DUMMYFUNCTION("""COMPUTED_VALUE"""),"2025")</x:f>
      </x:c>
    </x:row>
    <x:row r="6540" spans="1:10">
      <x:c r="A6540" s="1" t="s">
        <x:v>6548</x:v>
      </x:c>
      <x:c r="B6540" s="1">
        <x:f>IFERROR(__xludf.DUMMYFUNCTION("""COMPUTED_VALUE"""),"Truqueu a qualsevol porta")</x:f>
      </x:c>
      <x:c r="C6540" s="1">
        <x:f>IFERROR(__xludf.DUMMYFUNCTION("""COMPUTED_VALUE"""),"1949")</x:f>
      </x:c>
    </x:row>
    <x:row r="6541" spans="1:10">
      <x:c r="A6541" s="1" t="s">
        <x:v>6549</x:v>
      </x:c>
      <x:c r="B6541" s="1">
        <x:f>IFERROR(__xludf.DUMMYFUNCTION("""COMPUTED_VALUE"""),"Tsahal: Un estat dins de l'estat")</x:f>
      </x:c>
      <x:c r="C6541" s="1">
        <x:f>IFERROR(__xludf.DUMMYFUNCTION("""COMPUTED_VALUE"""),"2025")</x:f>
      </x:c>
    </x:row>
    <x:row r="6542" spans="1:10">
      <x:c r="A6542" s="1" t="s">
        <x:v>6550</x:v>
      </x:c>
      <x:c r="B6542" s="1">
        <x:f>IFERROR(__xludf.DUMMYFUNCTION("""COMPUTED_VALUE"""),"Tu assassina que nosaltres netejarem la sang")</x:f>
      </x:c>
      <x:c r="C6542" s="1">
        <x:f>IFERROR(__xludf.DUMMYFUNCTION("""COMPUTED_VALUE"""),"1996")</x:f>
      </x:c>
    </x:row>
    <x:row r="6543" spans="1:10">
      <x:c r="A6543" s="1" t="s">
        <x:v>6551</x:v>
      </x:c>
      <x:c r="B6543" s="1">
        <x:f>IFERROR(__xludf.DUMMYFUNCTION("""COMPUTED_VALUE"""),"Tu ets el següent")</x:f>
      </x:c>
      <x:c r="C6543" s="1">
        <x:f>IFERROR(__xludf.DUMMYFUNCTION("""COMPUTED_VALUE"""),"2011")</x:f>
      </x:c>
    </x:row>
    <x:row r="6544" spans="1:10">
      <x:c r="A6544" s="1" t="s">
        <x:v>6552</x:v>
      </x:c>
      <x:c r="B6544" s="1">
        <x:f>IFERROR(__xludf.DUMMYFUNCTION("""COMPUTED_VALUE"""),"Tu i jo i els arbres de Nadal")</x:f>
      </x:c>
      <x:c r="C6544" s="1">
        <x:f>IFERROR(__xludf.DUMMYFUNCTION("""COMPUTED_VALUE"""),"2021")</x:f>
      </x:c>
    </x:row>
    <x:row r="6545" spans="1:10">
      <x:c r="A6545" s="1" t="s">
        <x:v>6553</x:v>
      </x:c>
      <x:c r="B6545" s="1">
        <x:f>IFERROR(__xludf.DUMMYFUNCTION("""COMPUTED_VALUE"""),"Tulipes a la primavera")</x:f>
      </x:c>
      <x:c r="C6545" s="1">
        <x:f>IFERROR(__xludf.DUMMYFUNCTION("""COMPUTED_VALUE"""),"2016")</x:f>
      </x:c>
    </x:row>
    <x:row r="6546" spans="1:10">
      <x:c r="A6546" s="1" t="s">
        <x:v>6554</x:v>
      </x:c>
      <x:c r="B6546" s="1">
        <x:f>IFERROR(__xludf.DUMMYFUNCTION("""COMPUTED_VALUE"""),"Tulsa")</x:f>
      </x:c>
      <x:c r="C6546" s="1">
        <x:f>IFERROR(__xludf.DUMMYFUNCTION("""COMPUTED_VALUE"""),"1949")</x:f>
      </x:c>
    </x:row>
    <x:row r="6547" spans="1:10">
      <x:c r="A6547" s="1" t="s">
        <x:v>6555</x:v>
      </x:c>
      <x:c r="B6547" s="1">
        <x:f>IFERROR(__xludf.DUMMYFUNCTION("""COMPUTED_VALUE"""),"Túnel de Gotard, la gran obra del segle XIX")</x:f>
      </x:c>
      <x:c r="C6547" s="1">
        <x:f>IFERROR(__xludf.DUMMYFUNCTION("""COMPUTED_VALUE"""),"2016")</x:f>
      </x:c>
    </x:row>
    <x:row r="6548" spans="1:10">
      <x:c r="A6548" s="1" t="s">
        <x:v>6556</x:v>
      </x:c>
      <x:c r="B6548" s="1">
        <x:f>IFERROR(__xludf.DUMMYFUNCTION("""COMPUTED_VALUE"""),"Turbo")</x:f>
      </x:c>
      <x:c r="C6548" s="1">
        <x:f>IFERROR(__xludf.DUMMYFUNCTION("""COMPUTED_VALUE"""),"2013")</x:f>
      </x:c>
    </x:row>
    <x:row r="6549" spans="1:10">
      <x:c r="A6549" s="1" t="s">
        <x:v>6557</x:v>
      </x:c>
      <x:c r="B6549" s="1">
        <x:f>IFERROR(__xludf.DUMMYFUNCTION("""COMPUTED_VALUE"""),"Turistes")</x:f>
      </x:c>
      <x:c r="C6549" s="1">
        <x:f>IFERROR(__xludf.DUMMYFUNCTION("""COMPUTED_VALUE"""),"2006")</x:f>
      </x:c>
    </x:row>
    <x:row r="6550" spans="1:10">
      <x:c r="A6550" s="1" t="s">
        <x:v>6558</x:v>
      </x:c>
      <x:c r="B6550" s="1">
        <x:f>IFERROR(__xludf.DUMMYFUNCTION("""COMPUTED_VALUE"""),"Turistes de l'espai")</x:f>
      </x:c>
      <x:c r="C6550" s="1">
        <x:f>IFERROR(__xludf.DUMMYFUNCTION("""COMPUTED_VALUE"""),"2009")</x:f>
      </x:c>
    </x:row>
    <x:row r="6551" spans="1:10">
      <x:c r="A6551" s="1" t="s">
        <x:v>6559</x:v>
      </x:c>
      <x:c r="B6551" s="1">
        <x:f>IFERROR(__xludf.DUMMYFUNCTION("""COMPUTED_VALUE"""),"Tusk")</x:f>
      </x:c>
      <x:c r="C6551" s="1">
        <x:f>IFERROR(__xludf.DUMMYFUNCTION("""COMPUTED_VALUE"""),"2014")</x:f>
      </x:c>
    </x:row>
    <x:row r="6552" spans="1:10">
      <x:c r="A6552" s="1" t="s">
        <x:v>6560</x:v>
      </x:c>
      <x:c r="B6552" s="1">
        <x:f>IFERROR(__xludf.DUMMYFUNCTION("""COMPUTED_VALUE"""),"Twelve")</x:f>
      </x:c>
      <x:c r="C6552" s="1">
        <x:f>IFERROR(__xludf.DUMMYFUNCTION("""COMPUTED_VALUE"""),"2010")</x:f>
      </x:c>
    </x:row>
    <x:row r="6553" spans="1:10">
      <x:c r="A6553" s="1" t="s">
        <x:v>6561</x:v>
      </x:c>
      <x:c r="B6553" s="1">
        <x:f>IFERROR(__xludf.DUMMYFUNCTION("""COMPUTED_VALUE"""),"Twin Peaks: Foc camina amb mi")</x:f>
      </x:c>
      <x:c r="C6553" s="1">
        <x:f>IFERROR(__xludf.DUMMYFUNCTION("""COMPUTED_VALUE"""),"1992")</x:f>
      </x:c>
    </x:row>
    <x:row r="6554" spans="1:10">
      <x:c r="A6554" s="1" t="s">
        <x:v>6562</x:v>
      </x:c>
      <x:c r="B6554" s="1">
        <x:f>IFERROR(__xludf.DUMMYFUNCTION("""COMPUTED_VALUE"""),"Twister")</x:f>
      </x:c>
      <x:c r="C6554" s="1">
        <x:f>IFERROR(__xludf.DUMMYFUNCTION("""COMPUTED_VALUE"""),"1996")</x:f>
      </x:c>
    </x:row>
    <x:row r="6555" spans="1:10">
      <x:c r="A6555" s="1" t="s">
        <x:v>6563</x:v>
      </x:c>
      <x:c r="B6555" s="1">
        <x:f>IFERROR(__xludf.DUMMYFUNCTION("""COMPUTED_VALUE"""),"Tyrannosaur (Redenció)")</x:f>
      </x:c>
      <x:c r="C6555" s="1">
        <x:f>IFERROR(__xludf.DUMMYFUNCTION("""COMPUTED_VALUE"""),"2011")</x:f>
      </x:c>
    </x:row>
    <x:row r="6556" spans="1:10">
      <x:c r="A6556" s="1" t="s">
        <x:v>6564</x:v>
      </x:c>
      <x:c r="B6556" s="1">
        <x:f>IFERROR(__xludf.DUMMYFUNCTION("""COMPUTED_VALUE"""),"U-571")</x:f>
      </x:c>
      <x:c r="C6556" s="1">
        <x:f>IFERROR(__xludf.DUMMYFUNCTION("""COMPUTED_VALUE"""),"2000")</x:f>
      </x:c>
    </x:row>
    <x:row r="6557" spans="1:10">
      <x:c r="A6557" s="1" t="s">
        <x:v>6565</x:v>
      </x:c>
      <x:c r="B6557" s="1">
        <x:f>IFERROR(__xludf.DUMMYFUNCTION("""COMPUTED_VALUE"""),"U.S. Marshals")</x:f>
      </x:c>
      <x:c r="C6557" s="1">
        <x:f>IFERROR(__xludf.DUMMYFUNCTION("""COMPUTED_VALUE"""),"1998")</x:f>
      </x:c>
    </x:row>
    <x:row r="6558" spans="1:10">
      <x:c r="A6558" s="1" t="s">
        <x:v>6566</x:v>
      </x:c>
      <x:c r="B6558" s="1">
        <x:f>IFERROR(__xludf.DUMMYFUNCTION("""COMPUTED_VALUE"""),"Ucraïna, sobre la pista dels botxins")</x:f>
      </x:c>
      <x:c r="C6558" s="1">
        <x:f>IFERROR(__xludf.DUMMYFUNCTION("""COMPUTED_VALUE"""),"2023")</x:f>
      </x:c>
    </x:row>
    <x:row r="6559" spans="1:10">
      <x:c r="A6559" s="1" t="s">
        <x:v>6567</x:v>
      </x:c>
      <x:c r="B6559" s="1">
        <x:f>IFERROR(__xludf.DUMMYFUNCTION("""COMPUTED_VALUE"""),"Ullals [VOSC]")</x:f>
      </x:c>
      <x:c r="C6559" s="1">
        <x:f>IFERROR(__xludf.DUMMYFUNCTION("""COMPUTED_VALUE"""),"2009")</x:f>
      </x:c>
    </x:row>
    <x:row r="6560" spans="1:10">
      <x:c r="A6560" s="1" t="s">
        <x:v>6568</x:v>
      </x:c>
      <x:c r="B6560" s="1">
        <x:f>IFERROR(__xludf.DUMMYFUNCTION("""COMPUTED_VALUE"""),"Ulls de tigre")</x:f>
      </x:c>
      <x:c r="C6560" s="1">
        <x:f>IFERROR(__xludf.DUMMYFUNCTION("""COMPUTED_VALUE"""),"2012")</x:f>
      </x:c>
    </x:row>
    <x:row r="6561" spans="1:10">
      <x:c r="A6561" s="1" t="s">
        <x:v>6569</x:v>
      </x:c>
      <x:c r="B6561" s="1">
        <x:f>IFERROR(__xludf.DUMMYFUNCTION("""COMPUTED_VALUE"""),"Ulls grossos")</x:f>
      </x:c>
      <x:c r="C6561" s="1">
        <x:f>IFERROR(__xludf.DUMMYFUNCTION("""COMPUTED_VALUE"""),"2014")</x:f>
      </x:c>
    </x:row>
    <x:row r="6562" spans="1:10">
      <x:c r="A6562" s="1" t="s">
        <x:v>6570</x:v>
      </x:c>
      <x:c r="B6562" s="1">
        <x:f>IFERROR(__xludf.DUMMYFUNCTION("""COMPUTED_VALUE"""),"Últim avís")</x:f>
      </x:c>
      <x:c r="C6562" s="1">
        <x:f>IFERROR(__xludf.DUMMYFUNCTION("""COMPUTED_VALUE"""),"2007")</x:f>
      </x:c>
    </x:row>
    <x:row r="6563" spans="1:10">
      <x:c r="A6563" s="1" t="s">
        <x:v>6571</x:v>
      </x:c>
      <x:c r="B6563" s="1">
        <x:f>IFERROR(__xludf.DUMMYFUNCTION("""COMPUTED_VALUE"""),"Última nit a Milà")</x:f>
      </x:c>
      <x:c r="C6563" s="1">
        <x:f>IFERROR(__xludf.DUMMYFUNCTION("""COMPUTED_VALUE"""),"2023")</x:f>
      </x:c>
    </x:row>
    <x:row r="6564" spans="1:10">
      <x:c r="A6564" s="1" t="s">
        <x:v>6572</x:v>
      </x:c>
      <x:c r="B6564" s="1">
        <x:f>IFERROR(__xludf.DUMMYFUNCTION("""COMPUTED_VALUE"""),"Ultraviolet")</x:f>
      </x:c>
      <x:c r="C6564" s="1">
        <x:f>IFERROR(__xludf.DUMMYFUNCTION("""COMPUTED_VALUE"""),"2006")</x:f>
      </x:c>
    </x:row>
    <x:row r="6565" spans="1:10">
      <x:c r="A6565" s="1" t="s">
        <x:v>6573</x:v>
      </x:c>
      <x:c r="B6565" s="1">
        <x:f>IFERROR(__xludf.DUMMYFUNCTION("""COMPUTED_VALUE"""),"Un ""like"" de Bob Trevino")</x:f>
      </x:c>
      <x:c r="C6565" s="1">
        <x:f>IFERROR(__xludf.DUMMYFUNCTION("""COMPUTED_VALUE"""),"2024")</x:f>
      </x:c>
    </x:row>
    <x:row r="6566" spans="1:10">
      <x:c r="A6566" s="1" t="s">
        <x:v>6574</x:v>
      </x:c>
      <x:c r="B6566" s="1">
        <x:f>IFERROR(__xludf.DUMMYFUNCTION("""COMPUTED_VALUE"""),"Un acord original")</x:f>
      </x:c>
      <x:c r="C6566" s="1">
        <x:f>IFERROR(__xludf.DUMMYFUNCTION("""COMPUTED_VALUE"""),"2018")</x:f>
      </x:c>
    </x:row>
    <x:row r="6567" spans="1:10">
      <x:c r="A6567" s="1" t="s">
        <x:v>6575</x:v>
      </x:c>
      <x:c r="B6567" s="1">
        <x:f>IFERROR(__xludf.DUMMYFUNCTION("""COMPUTED_VALUE"""),"Un afer reial")</x:f>
      </x:c>
      <x:c r="C6567" s="1">
        <x:f>IFERROR(__xludf.DUMMYFUNCTION("""COMPUTED_VALUE"""),"2012")</x:f>
      </x:c>
    </x:row>
    <x:row r="6568" spans="1:10">
      <x:c r="A6568" s="1" t="s">
        <x:v>6576</x:v>
      </x:c>
      <x:c r="B6568" s="1">
        <x:f>IFERROR(__xludf.DUMMYFUNCTION("""COMPUTED_VALUE"""),"Un altre cop 17")</x:f>
      </x:c>
      <x:c r="C6568" s="1">
        <x:f>IFERROR(__xludf.DUMMYFUNCTION("""COMPUTED_VALUE"""),"2009")</x:f>
      </x:c>
    </x:row>
    <x:row r="6569" spans="1:10">
      <x:c r="A6569" s="1" t="s">
        <x:v>6577</x:v>
      </x:c>
      <x:c r="B6569" s="1">
        <x:f>IFERROR(__xludf.DUMMYFUNCTION("""COMPUTED_VALUE"""),"Un altre temps")</x:f>
      </x:c>
      <x:c r="C6569" s="1">
        <x:f>IFERROR(__xludf.DUMMYFUNCTION("""COMPUTED_VALUE"""),"2018")</x:f>
      </x:c>
    </x:row>
    <x:row r="6570" spans="1:10">
      <x:c r="A6570" s="1" t="s">
        <x:v>6578</x:v>
      </x:c>
      <x:c r="B6570" s="1">
        <x:f>IFERROR(__xludf.DUMMYFUNCTION("""COMPUTED_VALUE"""),"Un americà a Paris")</x:f>
      </x:c>
      <x:c r="C6570" s="1">
        <x:f>IFERROR(__xludf.DUMMYFUNCTION("""COMPUTED_VALUE"""),"1951")</x:f>
      </x:c>
    </x:row>
    <x:row r="6571" spans="1:10">
      <x:c r="A6571" s="1" t="s">
        <x:v>6579</x:v>
      </x:c>
      <x:c r="B6571" s="1">
        <x:f>IFERROR(__xludf.DUMMYFUNCTION("""COMPUTED_VALUE"""),"Un amic extraordinari")</x:f>
      </x:c>
      <x:c r="C6571" s="1">
        <x:f>IFERROR(__xludf.DUMMYFUNCTION("""COMPUTED_VALUE"""),"2019")</x:f>
      </x:c>
    </x:row>
    <x:row r="6572" spans="1:10">
      <x:c r="A6572" s="1" t="s">
        <x:v>6580</x:v>
      </x:c>
      <x:c r="B6572" s="1">
        <x:f>IFERROR(__xludf.DUMMYFUNCTION("""COMPUTED_VALUE"""),"Un amic per a en Frank")</x:f>
      </x:c>
      <x:c r="C6572" s="1">
        <x:f>IFERROR(__xludf.DUMMYFUNCTION("""COMPUTED_VALUE"""),"2012")</x:f>
      </x:c>
    </x:row>
    <x:row r="6573" spans="1:10">
      <x:c r="A6573" s="1" t="s">
        <x:v>6581</x:v>
      </x:c>
      <x:c r="B6573" s="1">
        <x:f>IFERROR(__xludf.DUMMYFUNCTION("""COMPUTED_VALUE"""),"Un amor")</x:f>
      </x:c>
      <x:c r="C6573" s="1">
        <x:f>IFERROR(__xludf.DUMMYFUNCTION("""COMPUTED_VALUE"""),"2023")</x:f>
      </x:c>
    </x:row>
    <x:row r="6574" spans="1:10">
      <x:c r="A6574" s="1" t="s">
        <x:v>6582</x:v>
      </x:c>
      <x:c r="B6574" s="1">
        <x:f>IFERROR(__xludf.DUMMYFUNCTION("""COMPUTED_VALUE"""),"Un amor a Escòcia")</x:f>
      </x:c>
      <x:c r="C6574" s="1">
        <x:f>IFERROR(__xludf.DUMMYFUNCTION("""COMPUTED_VALUE"""),"2021")</x:f>
      </x:c>
    </x:row>
    <x:row r="6575" spans="1:10">
      <x:c r="A6575" s="1" t="s">
        <x:v>6583</x:v>
      </x:c>
      <x:c r="B6575" s="1">
        <x:f>IFERROR(__xludf.DUMMYFUNCTION("""COMPUTED_VALUE"""),"Un amor accidentat")</x:f>
      </x:c>
      <x:c r="C6575" s="1">
        <x:f>IFERROR(__xludf.DUMMYFUNCTION("""COMPUTED_VALUE"""),"2020")</x:f>
      </x:c>
    </x:row>
    <x:row r="6576" spans="1:10">
      <x:c r="A6576" s="1" t="s">
        <x:v>6584</x:v>
      </x:c>
      <x:c r="B6576" s="1">
        <x:f>IFERROR(__xludf.DUMMYFUNCTION("""COMPUTED_VALUE"""),"Un amor d'hivern")</x:f>
      </x:c>
      <x:c r="C6576" s="1">
        <x:f>IFERROR(__xludf.DUMMYFUNCTION("""COMPUTED_VALUE"""),"2021")</x:f>
      </x:c>
    </x:row>
    <x:row r="6577" spans="1:10">
      <x:c r="A6577" s="1" t="s">
        <x:v>6585</x:v>
      </x:c>
      <x:c r="B6577" s="1">
        <x:f>IFERROR(__xludf.DUMMYFUNCTION("""COMPUTED_VALUE"""),"Un amor de novel·la")</x:f>
      </x:c>
      <x:c r="C6577" s="1">
        <x:f>IFERROR(__xludf.DUMMYFUNCTION("""COMPUTED_VALUE"""),"2015")</x:f>
      </x:c>
    </x:row>
    <x:row r="6578" spans="1:10">
      <x:c r="A6578" s="1" t="s">
        <x:v>6586</x:v>
      </x:c>
      <x:c r="B6578" s="1">
        <x:f>IFERROR(__xludf.DUMMYFUNCTION("""COMPUTED_VALUE"""),"Un amor entre dos mons")</x:f>
      </x:c>
      <x:c r="C6578" s="1">
        <x:f>IFERROR(__xludf.DUMMYFUNCTION("""COMPUTED_VALUE"""),"2012")</x:f>
      </x:c>
    </x:row>
    <x:row r="6579" spans="1:10">
      <x:c r="A6579" s="1" t="s">
        <x:v>6587</x:v>
      </x:c>
      <x:c r="B6579" s="1">
        <x:f>IFERROR(__xludf.DUMMYFUNCTION("""COMPUTED_VALUE"""),"Un amor salvatge")</x:f>
      </x:c>
      <x:c r="C6579" s="1">
        <x:f>IFERROR(__xludf.DUMMYFUNCTION("""COMPUTED_VALUE"""),"2019")</x:f>
      </x:c>
    </x:row>
    <x:row r="6580" spans="1:10">
      <x:c r="A6580" s="1" t="s">
        <x:v>6588</x:v>
      </x:c>
      <x:c r="B6580" s="1">
        <x:f>IFERROR(__xludf.DUMMYFUNCTION("""COMPUTED_VALUE"""),"Un any difícil")</x:f>
      </x:c>
      <x:c r="C6580" s="1">
        <x:f>IFERROR(__xludf.DUMMYFUNCTION("""COMPUTED_VALUE"""),"2023")</x:f>
      </x:c>
    </x:row>
    <x:row r="6581" spans="1:10">
      <x:c r="A6581" s="1" t="s">
        <x:v>6589</x:v>
      </x:c>
      <x:c r="B6581" s="1">
        <x:f>IFERROR(__xludf.DUMMYFUNCTION("""COMPUTED_VALUE"""),"Un any, una nit")</x:f>
      </x:c>
      <x:c r="C6581" s="1">
        <x:f>IFERROR(__xludf.DUMMYFUNCTION("""COMPUTED_VALUE"""),"2022")</x:f>
      </x:c>
    </x:row>
    <x:row r="6582" spans="1:10">
      <x:c r="A6582" s="1" t="s">
        <x:v>6590</x:v>
      </x:c>
      <x:c r="B6582" s="1">
        <x:f>IFERROR(__xludf.DUMMYFUNCTION("""COMPUTED_VALUE"""),"Un berenar a Ginebra")</x:f>
      </x:c>
      <x:c r="C6582" s="1">
        <x:f>IFERROR(__xludf.DUMMYFUNCTION("""COMPUTED_VALUE"""),"2012")</x:f>
      </x:c>
    </x:row>
    <x:row r="6583" spans="1:10">
      <x:c r="A6583" s="1" t="s">
        <x:v>6591</x:v>
      </x:c>
      <x:c r="B6583" s="1">
        <x:f>IFERROR(__xludf.DUMMYFUNCTION("""COMPUTED_VALUE"""),"Un blanc perfecte")</x:f>
      </x:c>
      <x:c r="C6583" s="1">
        <x:f>IFERROR(__xludf.DUMMYFUNCTION("""COMPUTED_VALUE"""),"2000")</x:f>
      </x:c>
    </x:row>
    <x:row r="6584" spans="1:10">
      <x:c r="A6584" s="1" t="s">
        <x:v>6592</x:v>
      </x:c>
      <x:c r="B6584" s="1">
        <x:f>IFERROR(__xludf.DUMMYFUNCTION("""COMPUTED_VALUE"""),"Un boig a domicili")</x:f>
      </x:c>
      <x:c r="C6584" s="1">
        <x:f>IFERROR(__xludf.DUMMYFUNCTION("""COMPUTED_VALUE"""),"1996")</x:f>
      </x:c>
    </x:row>
    <x:row r="6585" spans="1:10">
      <x:c r="A6585" s="1" t="s">
        <x:v>6593</x:v>
      </x:c>
      <x:c r="B6585" s="1">
        <x:f>IFERROR(__xludf.DUMMYFUNCTION("""COMPUTED_VALUE"""),"Un bon americà")</x:f>
      </x:c>
      <x:c r="C6585" s="1">
        <x:f>IFERROR(__xludf.DUMMYFUNCTION("""COMPUTED_VALUE"""),"2015")</x:f>
      </x:c>
    </x:row>
    <x:row r="6586" spans="1:10">
      <x:c r="A6586" s="1" t="s">
        <x:v>6594</x:v>
      </x:c>
      <x:c r="B6586" s="1">
        <x:f>IFERROR(__xludf.DUMMYFUNCTION("""COMPUTED_VALUE"""),"Un bon americà [VOSC]")</x:f>
      </x:c>
      <x:c r="C6586" s="1">
        <x:f>IFERROR(__xludf.DUMMYFUNCTION("""COMPUTED_VALUE"""),"2015")</x:f>
      </x:c>
    </x:row>
    <x:row r="6587" spans="1:10">
      <x:c r="A6587" s="1" t="s">
        <x:v>6595</x:v>
      </x:c>
      <x:c r="B6587" s="1">
        <x:f>IFERROR(__xludf.DUMMYFUNCTION("""COMPUTED_VALUE"""),"Un bon any")</x:f>
      </x:c>
      <x:c r="C6587" s="1">
        <x:f>IFERROR(__xludf.DUMMYFUNCTION("""COMPUTED_VALUE"""),"2006")</x:f>
      </x:c>
    </x:row>
    <x:row r="6588" spans="1:10">
      <x:c r="A6588" s="1" t="s">
        <x:v>6596</x:v>
      </x:c>
      <x:c r="B6588" s="1">
        <x:f>IFERROR(__xludf.DUMMYFUNCTION("""COMPUTED_VALUE"""),"Un bon partit")</x:f>
      </x:c>
      <x:c r="C6588" s="1">
        <x:f>IFERROR(__xludf.DUMMYFUNCTION("""COMPUTED_VALUE"""),"2012")</x:f>
      </x:c>
    </x:row>
    <x:row r="6589" spans="1:10">
      <x:c r="A6589" s="1" t="s">
        <x:v>6597</x:v>
      </x:c>
      <x:c r="B6589" s="1">
        <x:f>IFERROR(__xludf.DUMMYFUNCTION("""COMPUTED_VALUE"""),"Un cabaret al camp")</x:f>
      </x:c>
      <x:c r="C6589" s="1">
        <x:f>IFERROR(__xludf.DUMMYFUNCTION("""COMPUTED_VALUE"""),"2022")</x:f>
      </x:c>
    </x:row>
    <x:row r="6590" spans="1:10">
      <x:c r="A6590" s="1" t="s">
        <x:v>6598</x:v>
      </x:c>
      <x:c r="B6590" s="1">
        <x:f>IFERROR(__xludf.DUMMYFUNCTION("""COMPUTED_VALUE"""),"Un cadàver per postres")</x:f>
      </x:c>
      <x:c r="C6590" s="1">
        <x:f>IFERROR(__xludf.DUMMYFUNCTION("""COMPUTED_VALUE"""),"1976")</x:f>
      </x:c>
    </x:row>
    <x:row r="6591" spans="1:10">
      <x:c r="A6591" s="1" t="s">
        <x:v>6599</x:v>
      </x:c>
      <x:c r="B6591" s="1">
        <x:f>IFERROR(__xludf.DUMMYFUNCTION("""COMPUTED_VALUE"""),"Un canvi inquietant")</x:f>
      </x:c>
      <x:c r="C6591" s="1">
        <x:f>IFERROR(__xludf.DUMMYFUNCTION("""COMPUTED_VALUE"""),"2021")</x:f>
      </x:c>
    </x:row>
    <x:row r="6592" spans="1:10">
      <x:c r="A6592" s="1" t="s">
        <x:v>6600</x:v>
      </x:c>
      <x:c r="B6592" s="1">
        <x:f>IFERROR(__xludf.DUMMYFUNCTION("""COMPUTED_VALUE"""),"Un cap de setmana mortal")</x:f>
      </x:c>
      <x:c r="C6592" s="1">
        <x:f>IFERROR(__xludf.DUMMYFUNCTION("""COMPUTED_VALUE"""),"2021")</x:f>
      </x:c>
    </x:row>
    <x:row r="6593" spans="1:10">
      <x:c r="A6593" s="1" t="s">
        <x:v>6601</x:v>
      </x:c>
      <x:c r="B6593" s="1">
        <x:f>IFERROR(__xludf.DUMMYFUNCTION("""COMPUTED_VALUE"""),"Un cas criminal")</x:f>
      </x:c>
      <x:c r="C6593" s="1">
        <x:f>IFERROR(__xludf.DUMMYFUNCTION("""COMPUTED_VALUE"""),"2021")</x:f>
      </x:c>
    </x:row>
    <x:row r="6594" spans="1:10">
      <x:c r="A6594" s="1" t="s">
        <x:v>6602</x:v>
      </x:c>
      <x:c r="B6594" s="1">
        <x:f>IFERROR(__xludf.DUMMYFUNCTION("""COMPUTED_VALUE"""),"Un casament de mort")</x:f>
      </x:c>
      <x:c r="C6594" s="1">
        <x:f>IFERROR(__xludf.DUMMYFUNCTION("""COMPUTED_VALUE"""),"2011")</x:f>
      </x:c>
    </x:row>
    <x:row r="6595" spans="1:10">
      <x:c r="A6595" s="1" t="s">
        <x:v>6603</x:v>
      </x:c>
      <x:c r="B6595" s="1">
        <x:f>IFERROR(__xludf.DUMMYFUNCTION("""COMPUTED_VALUE"""),"Un casament perfecte")</x:f>
      </x:c>
      <x:c r="C6595" s="1">
        <x:f>IFERROR(__xludf.DUMMYFUNCTION("""COMPUTED_VALUE"""),"2015")</x:f>
      </x:c>
    </x:row>
    <x:row r="6596" spans="1:10">
      <x:c r="A6596" s="1" t="s">
        <x:v>6604</x:v>
      </x:c>
      <x:c r="B6596" s="1">
        <x:f>IFERROR(__xludf.DUMMYFUNCTION("""COMPUTED_VALUE"""),"Un casament vermell de sang")</x:f>
      </x:c>
      <x:c r="C6596" s="1">
        <x:f>IFERROR(__xludf.DUMMYFUNCTION("""COMPUTED_VALUE"""),"2016")</x:f>
      </x:c>
    </x:row>
    <x:row r="6597" spans="1:10">
      <x:c r="A6597" s="1" t="s">
        <x:v>6605</x:v>
      </x:c>
      <x:c r="B6597" s="1">
        <x:f>IFERROR(__xludf.DUMMYFUNCTION("""COMPUTED_VALUE"""),"Un castell a Itàlia")</x:f>
      </x:c>
      <x:c r="C6597" s="1">
        <x:f>IFERROR(__xludf.DUMMYFUNCTION("""COMPUTED_VALUE"""),"2013")</x:f>
      </x:c>
    </x:row>
    <x:row r="6598" spans="1:10">
      <x:c r="A6598" s="1" t="s">
        <x:v>6606</x:v>
      </x:c>
      <x:c r="B6598" s="1">
        <x:f>IFERROR(__xludf.DUMMYFUNCTION("""COMPUTED_VALUE"""),"Un cel de plom")</x:f>
      </x:c>
      <x:c r="C6598" s="1">
        <x:f>IFERROR(__xludf.DUMMYFUNCTION("""COMPUTED_VALUE"""),"2023")</x:f>
      </x:c>
    </x:row>
    <x:row r="6599" spans="1:10">
      <x:c r="A6599" s="1" t="s">
        <x:v>6607</x:v>
      </x:c>
      <x:c r="B6599" s="1">
        <x:f>IFERROR(__xludf.DUMMYFUNCTION("""COMPUTED_VALUE"""),"Un concert a la Casa Blanca")</x:f>
      </x:c>
      <x:c r="C6599" s="1">
        <x:f>IFERROR(__xludf.DUMMYFUNCTION("""COMPUTED_VALUE"""),"2024")</x:f>
      </x:c>
    </x:row>
    <x:row r="6600" spans="1:10">
      <x:c r="A6600" s="1" t="s">
        <x:v>6608</x:v>
      </x:c>
      <x:c r="B6600" s="1">
        <x:f>IFERROR(__xludf.DUMMYFUNCTION("""COMPUTED_VALUE"""),"Un condemnat a mort s'escapa")</x:f>
      </x:c>
      <x:c r="C6600" s="1">
        <x:f>IFERROR(__xludf.DUMMYFUNCTION("""COMPUTED_VALUE"""),"1956")</x:f>
      </x:c>
    </x:row>
    <x:row r="6601" spans="1:10">
      <x:c r="A6601" s="1" t="s">
        <x:v>6609</x:v>
      </x:c>
      <x:c r="B6601" s="1">
        <x:f>IFERROR(__xludf.DUMMYFUNCTION("""COMPUTED_VALUE"""),"Un conte de Canterbury")</x:f>
      </x:c>
      <x:c r="C6601" s="1">
        <x:f>IFERROR(__xludf.DUMMYFUNCTION("""COMPUTED_VALUE"""),"1944")</x:f>
      </x:c>
    </x:row>
    <x:row r="6602" spans="1:10">
      <x:c r="A6602" s="1" t="s">
        <x:v>6610</x:v>
      </x:c>
      <x:c r="B6602" s="1">
        <x:f>IFERROR(__xludf.DUMMYFUNCTION("""COMPUTED_VALUE"""),"Un convidat per Nadal")</x:f>
      </x:c>
      <x:c r="C6602" s="1">
        <x:f>IFERROR(__xludf.DUMMYFUNCTION("""COMPUTED_VALUE"""),"2005")</x:f>
      </x:c>
    </x:row>
    <x:row r="6603" spans="1:10">
      <x:c r="A6603" s="1" t="s">
        <x:v>6611</x:v>
      </x:c>
      <x:c r="B6603" s="1">
        <x:f>IFERROR(__xludf.DUMMYFUNCTION("""COMPUTED_VALUE"""),"Un cop amb estil")</x:f>
      </x:c>
      <x:c r="C6603" s="1">
        <x:f>IFERROR(__xludf.DUMMYFUNCTION("""COMPUTED_VALUE"""),"2017")</x:f>
      </x:c>
    </x:row>
    <x:row r="6604" spans="1:10">
      <x:c r="A6604" s="1" t="s">
        <x:v>6612</x:v>
      </x:c>
      <x:c r="B6604" s="1">
        <x:f>IFERROR(__xludf.DUMMYFUNCTION("""COMPUTED_VALUE"""),"Un cop brillant")</x:f>
      </x:c>
      <x:c r="C6604" s="1">
        <x:f>IFERROR(__xludf.DUMMYFUNCTION("""COMPUTED_VALUE"""),"2013")</x:f>
      </x:c>
    </x:row>
    <x:row r="6605" spans="1:10">
      <x:c r="A6605" s="1" t="s">
        <x:v>6613</x:v>
      </x:c>
      <x:c r="B6605" s="1">
        <x:f>IFERROR(__xludf.DUMMYFUNCTION("""COMPUTED_VALUE"""),"Un cop de sort")</x:f>
      </x:c>
      <x:c r="C6605" s="1">
        <x:f>IFERROR(__xludf.DUMMYFUNCTION("""COMPUTED_VALUE"""),"2005")</x:f>
      </x:c>
    </x:row>
    <x:row r="6606" spans="1:10">
      <x:c r="A6606" s="1" t="s">
        <x:v>6614</x:v>
      </x:c>
      <x:c r="B6606" s="1">
        <x:f>IFERROR(__xludf.DUMMYFUNCTION("""COMPUTED_VALUE"""),"Un cor extraordinari")</x:f>
      </x:c>
      <x:c r="C6606" s="1">
        <x:f>IFERROR(__xludf.DUMMYFUNCTION("""COMPUTED_VALUE"""),"2017")</x:f>
      </x:c>
    </x:row>
    <x:row r="6607" spans="1:10">
      <x:c r="A6607" s="1" t="s">
        <x:v>6615</x:v>
      </x:c>
      <x:c r="B6607" s="1">
        <x:f>IFERROR(__xludf.DUMMYFUNCTION("""COMPUTED_VALUE"""),"Un cos al bosc")</x:f>
      </x:c>
      <x:c r="C6607" s="1">
        <x:f>IFERROR(__xludf.DUMMYFUNCTION("""COMPUTED_VALUE"""),"1996")</x:f>
      </x:c>
    </x:row>
    <x:row r="6608" spans="1:10">
      <x:c r="A6608" s="1" t="s">
        <x:v>6616</x:v>
      </x:c>
      <x:c r="B6608" s="1">
        <x:f>IFERROR(__xludf.DUMMYFUNCTION("""COMPUTED_VALUE"""),"Un crim perfecte")</x:f>
      </x:c>
      <x:c r="C6608" s="1">
        <x:f>IFERROR(__xludf.DUMMYFUNCTION("""COMPUTED_VALUE"""),"1998")</x:f>
      </x:c>
    </x:row>
    <x:row r="6609" spans="1:10">
      <x:c r="A6609" s="1" t="s">
        <x:v>6617</x:v>
      </x:c>
      <x:c r="B6609" s="1">
        <x:f>IFERROR(__xludf.DUMMYFUNCTION("""COMPUTED_VALUE"""),"Un dels nostres")</x:f>
      </x:c>
      <x:c r="C6609" s="1">
        <x:f>IFERROR(__xludf.DUMMYFUNCTION("""COMPUTED_VALUE"""),"1990")</x:f>
      </x:c>
    </x:row>
    <x:row r="6610" spans="1:10">
      <x:c r="A6610" s="1" t="s">
        <x:v>6618</x:v>
      </x:c>
      <x:c r="B6610" s="1">
        <x:f>IFERROR(__xludf.DUMMYFUNCTION("""COMPUTED_VALUE"""),"Un Déu salvatge")</x:f>
      </x:c>
      <x:c r="C6610" s="1">
        <x:f>IFERROR(__xludf.DUMMYFUNCTION("""COMPUTED_VALUE"""),"2011")</x:f>
      </x:c>
    </x:row>
    <x:row r="6611" spans="1:10">
      <x:c r="A6611" s="1" t="s">
        <x:v>6619</x:v>
      </x:c>
      <x:c r="B6611" s="1">
        <x:f>IFERROR(__xludf.DUMMYFUNCTION("""COMPUTED_VALUE"""),"Un dia a les curses")</x:f>
      </x:c>
      <x:c r="C6611" s="1">
        <x:f>IFERROR(__xludf.DUMMYFUNCTION("""COMPUTED_VALUE"""),"1937")</x:f>
      </x:c>
    </x:row>
    <x:row r="6612" spans="1:10">
      <x:c r="A6612" s="1" t="s">
        <x:v>6620</x:v>
      </x:c>
      <x:c r="B6612" s="1">
        <x:f>IFERROR(__xludf.DUMMYFUNCTION("""COMPUTED_VALUE"""),"Un dia perfecte")</x:f>
      </x:c>
      <x:c r="C6612" s="1">
        <x:f>IFERROR(__xludf.DUMMYFUNCTION("""COMPUTED_VALUE"""),"2015")</x:f>
      </x:c>
    </x:row>
    <x:row r="6613" spans="1:10">
      <x:c r="A6613" s="1" t="s">
        <x:v>6621</x:v>
      </x:c>
      <x:c r="B6613" s="1">
        <x:f>IFERROR(__xludf.DUMMYFUNCTION("""COMPUTED_VALUE"""),"Un dia perfecte per volar")</x:f>
      </x:c>
      <x:c r="C6613" s="1">
        <x:f>IFERROR(__xludf.DUMMYFUNCTION("""COMPUTED_VALUE"""),"2015")</x:f>
      </x:c>
    </x:row>
    <x:row r="6614" spans="1:10">
      <x:c r="A6614" s="1" t="s">
        <x:v>6622</x:v>
      </x:c>
      <x:c r="B6614" s="1">
        <x:f>IFERROR(__xludf.DUMMYFUNCTION("""COMPUTED_VALUE"""),"Un dia qualsevol")</x:f>
      </x:c>
      <x:c r="C6614" s="1">
        <x:f>IFERROR(__xludf.DUMMYFUNCTION("""COMPUTED_VALUE"""),"2019")</x:f>
      </x:c>
    </x:row>
    <x:row r="6615" spans="1:10">
      <x:c r="A6615" s="1" t="s">
        <x:v>6623</x:v>
      </x:c>
      <x:c r="B6615" s="1">
        <x:f>IFERROR(__xludf.DUMMYFUNCTION("""COMPUTED_VALUE"""),"Un dia qualsevol")</x:f>
      </x:c>
      <x:c r="C6615" s="1">
        <x:f>IFERROR(__xludf.DUMMYFUNCTION("""COMPUTED_VALUE"""),"2020")</x:f>
      </x:c>
    </x:row>
    <x:row r="6616" spans="1:10">
      <x:c r="A6616" s="1" t="s">
        <x:v>6624</x:v>
      </x:c>
      <x:c r="B6616" s="1">
        <x:f>IFERROR(__xludf.DUMMYFUNCTION("""COMPUTED_VALUE"""),"Un dia que durarà anys")</x:f>
      </x:c>
      <x:c r="C6616" s="1">
        <x:f>IFERROR(__xludf.DUMMYFUNCTION("""COMPUTED_VALUE"""),"2024")</x:f>
      </x:c>
    </x:row>
    <x:row r="6617" spans="1:10">
      <x:c r="A6617" s="1" t="s">
        <x:v>6625</x:v>
      </x:c>
      <x:c r="B6617" s="1">
        <x:f>IFERROR(__xludf.DUMMYFUNCTION("""COMPUTED_VALUE"""),"Un dia, una nit")</x:f>
      </x:c>
      <x:c r="C6617" s="1">
        <x:f>IFERROR(__xludf.DUMMYFUNCTION("""COMPUTED_VALUE"""),"2001")</x:f>
      </x:c>
    </x:row>
    <x:row r="6618" spans="1:10">
      <x:c r="A6618" s="1" t="s">
        <x:v>6626</x:v>
      </x:c>
      <x:c r="B6618" s="1">
        <x:f>IFERROR(__xludf.DUMMYFUNCTION("""COMPUTED_VALUE"""),"Un doctor al camp")</x:f>
      </x:c>
      <x:c r="C6618" s="1">
        <x:f>IFERROR(__xludf.DUMMYFUNCTION("""COMPUTED_VALUE"""),"2016")</x:f>
      </x:c>
    </x:row>
    <x:row r="6619" spans="1:10">
      <x:c r="A6619" s="1" t="s">
        <x:v>6627</x:v>
      </x:c>
      <x:c r="B6619" s="1">
        <x:f>IFERROR(__xludf.DUMMYFUNCTION("""COMPUTED_VALUE"""),"Un embolic inesperat")</x:f>
      </x:c>
      <x:c r="C6619" s="1">
        <x:f>IFERROR(__xludf.DUMMYFUNCTION("""COMPUTED_VALUE"""),"2020")</x:f>
      </x:c>
    </x:row>
    <x:row r="6620" spans="1:10">
      <x:c r="A6620" s="1" t="s">
        <x:v>6628</x:v>
      </x:c>
      <x:c r="B6620" s="1">
        <x:f>IFERROR(__xludf.DUMMYFUNCTION("""COMPUTED_VALUE"""),"Un engany de luxe")</x:f>
      </x:c>
      <x:c r="C6620" s="1">
        <x:f>IFERROR(__xludf.DUMMYFUNCTION("""COMPUTED_VALUE"""),"2006")</x:f>
      </x:c>
    </x:row>
    <x:row r="6621" spans="1:10">
      <x:c r="A6621" s="1" t="s">
        <x:v>6629</x:v>
      </x:c>
      <x:c r="B6621" s="1">
        <x:f>IFERROR(__xludf.DUMMYFUNCTION("""COMPUTED_VALUE"""),"Un esperit burleta")</x:f>
      </x:c>
      <x:c r="C6621" s="1">
        <x:f>IFERROR(__xludf.DUMMYFUNCTION("""COMPUTED_VALUE"""),"1945")</x:f>
      </x:c>
    </x:row>
    <x:row r="6622" spans="1:10">
      <x:c r="A6622" s="1" t="s">
        <x:v>6630</x:v>
      </x:c>
      <x:c r="B6622" s="1">
        <x:f>IFERROR(__xludf.DUMMYFUNCTION("""COMPUTED_VALUE"""),"Un estel fugaç")</x:f>
      </x:c>
      <x:c r="C6622" s="1">
        <x:f>IFERROR(__xludf.DUMMYFUNCTION("""COMPUTED_VALUE"""),"2024")</x:f>
      </x:c>
    </x:row>
    <x:row r="6623" spans="1:10">
      <x:c r="A6623" s="1" t="s">
        <x:v>6631</x:v>
      </x:c>
      <x:c r="B6623" s="1">
        <x:f>IFERROR(__xludf.DUMMYFUNCTION("""COMPUTED_VALUE"""),"Un estiu a la Provença")</x:f>
      </x:c>
      <x:c r="C6623" s="1">
        <x:f>IFERROR(__xludf.DUMMYFUNCTION("""COMPUTED_VALUE"""),"2007")</x:f>
      </x:c>
    </x:row>
    <x:row r="6624" spans="1:10">
      <x:c r="A6624" s="1" t="s">
        <x:v>6632</x:v>
      </x:c>
      <x:c r="B6624" s="1">
        <x:f>IFERROR(__xludf.DUMMYFUNCTION("""COMPUTED_VALUE"""),"Un estiu amb en Coo")</x:f>
      </x:c>
      <x:c r="C6624" s="1">
        <x:f>IFERROR(__xludf.DUMMYFUNCTION("""COMPUTED_VALUE"""),"2007")</x:f>
      </x:c>
    </x:row>
    <x:row r="6625" spans="1:10">
      <x:c r="A6625" s="1" t="s">
        <x:v>6633</x:v>
      </x:c>
      <x:c r="B6625" s="1">
        <x:f>IFERROR(__xludf.DUMMYFUNCTION("""COMPUTED_VALUE"""),"Un estiu per recordar")</x:f>
      </x:c>
      <x:c r="C6625" s="1">
        <x:f>IFERROR(__xludf.DUMMYFUNCTION("""COMPUTED_VALUE"""),"2016")</x:f>
      </x:c>
    </x:row>
    <x:row r="6626" spans="1:10">
      <x:c r="A6626" s="1" t="s">
        <x:v>6634</x:v>
      </x:c>
      <x:c r="B6626" s="1">
        <x:f>IFERROR(__xludf.DUMMYFUNCTION("""COMPUTED_VALUE"""),"Un estrany a casa")</x:f>
      </x:c>
      <x:c r="C6626" s="1">
        <x:f>IFERROR(__xludf.DUMMYFUNCTION("""COMPUTED_VALUE"""),"2015")</x:f>
      </x:c>
    </x:row>
    <x:row r="6627" spans="1:10">
      <x:c r="A6627" s="1" t="s">
        <x:v>6635</x:v>
      </x:c>
      <x:c r="B6627" s="1">
        <x:f>IFERROR(__xludf.DUMMYFUNCTION("""COMPUTED_VALUE"""),"Un extrany entre nosaltres")</x:f>
      </x:c>
      <x:c r="C6627" s="1">
        <x:f>IFERROR(__xludf.DUMMYFUNCTION("""COMPUTED_VALUE"""),"2001")</x:f>
      </x:c>
    </x:row>
    <x:row r="6628" spans="1:10">
      <x:c r="A6628" s="1" t="s">
        <x:v>6636</x:v>
      </x:c>
      <x:c r="B6628" s="1">
        <x:f>IFERROR(__xludf.DUMMYFUNCTION("""COMPUTED_VALUE"""),"Un far amb vista")</x:f>
      </x:c>
      <x:c r="C6628" s="1">
        <x:f>IFERROR(__xludf.DUMMYFUNCTION("""COMPUTED_VALUE"""),"2012")</x:f>
      </x:c>
    </x:row>
    <x:row r="6629" spans="1:10">
      <x:c r="A6629" s="1" t="s">
        <x:v>6637</x:v>
      </x:c>
      <x:c r="B6629" s="1">
        <x:f>IFERROR(__xludf.DUMMYFUNCTION("""COMPUTED_VALUE"""),"Un feliç esdeveniment")</x:f>
      </x:c>
      <x:c r="C6629" s="1">
        <x:f>IFERROR(__xludf.DUMMYFUNCTION("""COMPUTED_VALUE"""),"2011")</x:f>
      </x:c>
    </x:row>
    <x:row r="6630" spans="1:10">
      <x:c r="A6630" s="1" t="s">
        <x:v>6638</x:v>
      </x:c>
      <x:c r="B6630" s="1">
        <x:f>IFERROR(__xludf.DUMMYFUNCTION("""COMPUTED_VALUE"""),"Un fenomen televisiu")</x:f>
      </x:c>
      <x:c r="C6630" s="1">
        <x:f>IFERROR(__xludf.DUMMYFUNCTION("""COMPUTED_VALUE"""),"2020")</x:f>
      </x:c>
    </x:row>
    <x:row r="6631" spans="1:10">
      <x:c r="A6631" s="1" t="s">
        <x:v>6639</x:v>
      </x:c>
      <x:c r="B6631" s="1">
        <x:f>IFERROR(__xludf.DUMMYFUNCTION("""COMPUTED_VALUE"""),"Un final made in Hollywood")</x:f>
      </x:c>
      <x:c r="C6631" s="1">
        <x:f>IFERROR(__xludf.DUMMYFUNCTION("""COMPUTED_VALUE"""),"2002")</x:f>
      </x:c>
    </x:row>
    <x:row r="6632" spans="1:10">
      <x:c r="A6632" s="1" t="s">
        <x:v>6640</x:v>
      </x:c>
      <x:c r="B6632" s="1">
        <x:f>IFERROR(__xludf.DUMMYFUNCTION("""COMPUTED_VALUE"""),"Un funeral de mort")</x:f>
      </x:c>
      <x:c r="C6632" s="1">
        <x:f>IFERROR(__xludf.DUMMYFUNCTION("""COMPUTED_VALUE"""),"2007")</x:f>
      </x:c>
    </x:row>
    <x:row r="6633" spans="1:10">
      <x:c r="A6633" s="1" t="s">
        <x:v>6641</x:v>
      </x:c>
      <x:c r="B6633" s="1">
        <x:f>IFERROR(__xludf.DUMMYFUNCTION("""COMPUTED_VALUE"""),"Un geni amb l'aigua al coll")</x:f>
      </x:c>
      <x:c r="C6633" s="1">
        <x:f>IFERROR(__xludf.DUMMYFUNCTION("""COMPUTED_VALUE"""),"1983")</x:f>
      </x:c>
    </x:row>
    <x:row r="6634" spans="1:10">
      <x:c r="A6634" s="1" t="s">
        <x:v>6642</x:v>
      </x:c>
      <x:c r="B6634" s="1">
        <x:f>IFERROR(__xludf.DUMMYFUNCTION("""COMPUTED_VALUE"""),"Un gran dia per a elles")</x:f>
      </x:c>
      <x:c r="C6634" s="1">
        <x:f>IFERROR(__xludf.DUMMYFUNCTION("""COMPUTED_VALUE"""),"2008")</x:f>
      </x:c>
    </x:row>
    <x:row r="6635" spans="1:10">
      <x:c r="A6635" s="1" t="s">
        <x:v>6643</x:v>
      </x:c>
      <x:c r="B6635" s="1">
        <x:f>IFERROR(__xludf.DUMMYFUNCTION("""COMPUTED_VALUE"""),"Un heroi")</x:f>
      </x:c>
      <x:c r="C6635" s="1">
        <x:f>IFERROR(__xludf.DUMMYFUNCTION("""COMPUTED_VALUE"""),"2021")</x:f>
      </x:c>
    </x:row>
    <x:row r="6636" spans="1:10">
      <x:c r="A6636" s="1" t="s">
        <x:v>6644</x:v>
      </x:c>
      <x:c r="B6636" s="1">
        <x:f>IFERROR(__xludf.DUMMYFUNCTION("""COMPUTED_VALUE"""),"Un hípster a l'Espanya buida")</x:f>
      </x:c>
      <x:c r="C6636" s="1">
        <x:f>IFERROR(__xludf.DUMMYFUNCTION("""COMPUTED_VALUE"""),"2024")</x:f>
      </x:c>
    </x:row>
    <x:row r="6637" spans="1:10">
      <x:c r="A6637" s="1" t="s">
        <x:v>6645</x:v>
      </x:c>
      <x:c r="B6637" s="1">
        <x:f>IFERROR(__xludf.DUMMYFUNCTION("""COMPUTED_VALUE"""),"Un hivern a la platja")</x:f>
      </x:c>
      <x:c r="C6637" s="1">
        <x:f>IFERROR(__xludf.DUMMYFUNCTION("""COMPUTED_VALUE"""),"2012")</x:f>
      </x:c>
    </x:row>
    <x:row r="6638" spans="1:10">
      <x:c r="A6638" s="1" t="s">
        <x:v>6646</x:v>
      </x:c>
      <x:c r="B6638" s="1">
        <x:f>IFERROR(__xludf.DUMMYFUNCTION("""COMPUTED_VALUE"""),"Un home anomenat Ove")</x:f>
      </x:c>
      <x:c r="C6638" s="1">
        <x:f>IFERROR(__xludf.DUMMYFUNCTION("""COMPUTED_VALUE"""),"2015")</x:f>
      </x:c>
    </x:row>
    <x:row r="6639" spans="1:10">
      <x:c r="A6639" s="1" t="s">
        <x:v>6647</x:v>
      </x:c>
      <x:c r="B6639" s="1">
        <x:f>IFERROR(__xludf.DUMMYFUNCTION("""COMPUTED_VALUE"""),"Un home d'altura")</x:f>
      </x:c>
      <x:c r="C6639" s="1">
        <x:f>IFERROR(__xludf.DUMMYFUNCTION("""COMPUTED_VALUE"""),"2016")</x:f>
      </x:c>
    </x:row>
    <x:row r="6640" spans="1:10">
      <x:c r="A6640" s="1" t="s">
        <x:v>6648</x:v>
      </x:c>
      <x:c r="B6640" s="1">
        <x:f>IFERROR(__xludf.DUMMYFUNCTION("""COMPUTED_VALUE"""),"Un home de família")</x:f>
      </x:c>
      <x:c r="C6640" s="1">
        <x:f>IFERROR(__xludf.DUMMYFUNCTION("""COMPUTED_VALUE"""),"2016")</x:f>
      </x:c>
    </x:row>
    <x:row r="6641" spans="1:10">
      <x:c r="A6641" s="1" t="s">
        <x:v>6649</x:v>
      </x:c>
      <x:c r="B6641" s="1">
        <x:f>IFERROR(__xludf.DUMMYFUNCTION("""COMPUTED_VALUE"""),"Un home dur")</x:f>
      </x:c>
      <x:c r="C6641" s="1">
        <x:f>IFERROR(__xludf.DUMMYFUNCTION("""COMPUTED_VALUE"""),"2015")</x:f>
      </x:c>
    </x:row>
    <x:row r="6642" spans="1:10">
      <x:c r="A6642" s="1" t="s">
        <x:v>6650</x:v>
      </x:c>
      <x:c r="B6642" s="1">
        <x:f>IFERROR(__xludf.DUMMYFUNCTION("""COMPUTED_VALUE"""),"Un home en una terra salvatge")</x:f>
      </x:c>
      <x:c r="C6642" s="1">
        <x:f>IFERROR(__xludf.DUMMYFUNCTION("""COMPUTED_VALUE"""),"1971")</x:f>
      </x:c>
    </x:row>
    <x:row r="6643" spans="1:10">
      <x:c r="A6643" s="1" t="s">
        <x:v>6651</x:v>
      </x:c>
      <x:c r="B6643" s="1">
        <x:f>IFERROR(__xludf.DUMMYFUNCTION("""COMPUTED_VALUE"""),"Un home ideal")</x:f>
      </x:c>
      <x:c r="C6643" s="1">
        <x:f>IFERROR(__xludf.DUMMYFUNCTION("""COMPUTED_VALUE"""),"2015")</x:f>
      </x:c>
    </x:row>
    <x:row r="6644" spans="1:10">
      <x:c r="A6644" s="1" t="s">
        <x:v>6652</x:v>
      </x:c>
      <x:c r="B6644" s="1">
        <x:f>IFERROR(__xludf.DUMMYFUNCTION("""COMPUTED_VALUE"""),"Un home per a l'eternitat")</x:f>
      </x:c>
      <x:c r="C6644" s="1">
        <x:f>IFERROR(__xludf.DUMMYFUNCTION("""COMPUTED_VALUE"""),"1966")</x:f>
      </x:c>
    </x:row>
    <x:row r="6645" spans="1:10">
      <x:c r="A6645" s="1" t="s">
        <x:v>6653</x:v>
      </x:c>
      <x:c r="B6645" s="1">
        <x:f>IFERROR(__xludf.DUMMYFUNCTION("""COMPUTED_VALUE"""),"Un incident al pont d'Owl Creek [VOSC]")</x:f>
      </x:c>
      <x:c r="C6645" s="1">
        <x:f>IFERROR(__xludf.DUMMYFUNCTION("""COMPUTED_VALUE"""),"1962")</x:f>
      </x:c>
    </x:row>
    <x:row r="6646" spans="1:10">
      <x:c r="A6646" s="1" t="s">
        <x:v>6654</x:v>
      </x:c>
      <x:c r="B6646" s="1">
        <x:f>IFERROR(__xludf.DUMMYFUNCTION("""COMPUTED_VALUE"""),"Un infern de cristall")</x:f>
      </x:c>
      <x:c r="C6646" s="1">
        <x:f>IFERROR(__xludf.DUMMYFUNCTION("""COMPUTED_VALUE"""),"2017")</x:f>
      </x:c>
    </x:row>
    <x:row r="6647" spans="1:10">
      <x:c r="A6647" s="1" t="s">
        <x:v>6655</x:v>
      </x:c>
      <x:c r="B6647" s="1">
        <x:f>IFERROR(__xludf.DUMMYFUNCTION("""COMPUTED_VALUE"""),"Un intercanvi per Nadal")</x:f>
      </x:c>
      <x:c r="C6647" s="1">
        <x:f>IFERROR(__xludf.DUMMYFUNCTION("""COMPUTED_VALUE"""),"2016")</x:f>
      </x:c>
    </x:row>
    <x:row r="6648" spans="1:10">
      <x:c r="A6648" s="1" t="s">
        <x:v>6656</x:v>
      </x:c>
      <x:c r="B6648" s="1">
        <x:f>IFERROR(__xludf.DUMMYFUNCTION("""COMPUTED_VALUE"""),"Un italià a Noruega")</x:f>
      </x:c>
      <x:c r="C6648" s="1">
        <x:f>IFERROR(__xludf.DUMMYFUNCTION("""COMPUTED_VALUE"""),"2016")</x:f>
      </x:c>
    </x:row>
    <x:row r="6649" spans="1:10">
      <x:c r="A6649" s="1" t="s">
        <x:v>6657</x:v>
      </x:c>
      <x:c r="B6649" s="1">
        <x:f>IFERROR(__xludf.DUMMYFUNCTION("""COMPUTED_VALUE"""),"Un joc d'intel·ligència")</x:f>
      </x:c>
      <x:c r="C6649" s="1">
        <x:f>IFERROR(__xludf.DUMMYFUNCTION("""COMPUTED_VALUE"""),"2007")</x:f>
      </x:c>
    </x:row>
    <x:row r="6650" spans="1:10">
      <x:c r="A6650" s="1" t="s">
        <x:v>6658</x:v>
      </x:c>
      <x:c r="B6650" s="1">
        <x:f>IFERROR(__xludf.DUMMYFUNCTION("""COMPUTED_VALUE"""),"Un llarg viatge")</x:f>
      </x:c>
      <x:c r="C6650" s="1">
        <x:f>IFERROR(__xludf.DUMMYFUNCTION("""COMPUTED_VALUE"""),"2013")</x:f>
      </x:c>
    </x:row>
    <x:row r="6651" spans="1:10">
      <x:c r="A6651" s="1" t="s">
        <x:v>6659</x:v>
      </x:c>
      <x:c r="B6651" s="1">
        <x:f>IFERROR(__xludf.DUMMYFUNCTION("""COMPUTED_VALUE"""),"Un lloc a dalt de tot")</x:f>
      </x:c>
      <x:c r="C6651" s="1">
        <x:f>IFERROR(__xludf.DUMMYFUNCTION("""COMPUTED_VALUE"""),"1959")</x:f>
      </x:c>
    </x:row>
    <x:row r="6652" spans="1:10">
      <x:c r="A6652" s="1" t="s">
        <x:v>6660</x:v>
      </x:c>
      <x:c r="B6652" s="1">
        <x:f>IFERROR(__xludf.DUMMYFUNCTION("""COMPUTED_VALUE"""),"Un lloc comú")</x:f>
      </x:c>
      <x:c r="C6652" s="1">
        <x:f>IFERROR(__xludf.DUMMYFUNCTION("""COMPUTED_VALUE"""),"2024")</x:f>
      </x:c>
    </x:row>
    <x:row r="6653" spans="1:10">
      <x:c r="A6653" s="1" t="s">
        <x:v>6661</x:v>
      </x:c>
      <x:c r="B6653" s="1">
        <x:f>IFERROR(__xludf.DUMMYFUNCTION("""COMPUTED_VALUE"""),"Un lloc on caure mort")</x:f>
      </x:c>
      <x:c r="C6653" s="1">
        <x:f>IFERROR(__xludf.DUMMYFUNCTION("""COMPUTED_VALUE"""),"2014")</x:f>
      </x:c>
    </x:row>
    <x:row r="6654" spans="1:10">
      <x:c r="A6654" s="1" t="s">
        <x:v>6662</x:v>
      </x:c>
      <x:c r="B6654" s="1">
        <x:f>IFERROR(__xludf.DUMMYFUNCTION("""COMPUTED_VALUE"""),"Un lloc on refugiar-se")</x:f>
      </x:c>
      <x:c r="C6654" s="1">
        <x:f>IFERROR(__xludf.DUMMYFUNCTION("""COMPUTED_VALUE"""),"2013")</x:f>
      </x:c>
    </x:row>
    <x:row r="6655" spans="1:10">
      <x:c r="A6655" s="1" t="s">
        <x:v>6663</x:v>
      </x:c>
      <x:c r="B6655" s="1">
        <x:f>IFERROR(__xludf.DUMMYFUNCTION("""COMPUTED_VALUE"""),"Un lloc per quedar-s'hi")</x:f>
      </x:c>
      <x:c r="C6655" s="1">
        <x:f>IFERROR(__xludf.DUMMYFUNCTION("""COMPUTED_VALUE"""),"2011")</x:f>
      </x:c>
    </x:row>
    <x:row r="6656" spans="1:10">
      <x:c r="A6656" s="1" t="s">
        <x:v>6664</x:v>
      </x:c>
      <x:c r="B6656" s="1">
        <x:f>IFERROR(__xludf.DUMMYFUNCTION("""COMPUTED_VALUE"""),"Un lloc tranquil")</x:f>
      </x:c>
      <x:c r="C6656" s="1">
        <x:f>IFERROR(__xludf.DUMMYFUNCTION("""COMPUTED_VALUE"""),"2018")</x:f>
      </x:c>
    </x:row>
    <x:row r="6657" spans="1:10">
      <x:c r="A6657" s="1" t="s">
        <x:v>6665</x:v>
      </x:c>
      <x:c r="B6657" s="1">
        <x:f>IFERROR(__xludf.DUMMYFUNCTION("""COMPUTED_VALUE"""),"Un matí bonic")</x:f>
      </x:c>
      <x:c r="C6657" s="1">
        <x:f>IFERROR(__xludf.DUMMYFUNCTION("""COMPUTED_VALUE"""),"2022")</x:f>
      </x:c>
    </x:row>
    <x:row r="6658" spans="1:10">
      <x:c r="A6658" s="1" t="s">
        <x:v>6666</x:v>
      </x:c>
      <x:c r="B6658" s="1">
        <x:f>IFERROR(__xludf.DUMMYFUNCTION("""COMPUTED_VALUE"""),"Un món a la seva mida")</x:f>
      </x:c>
      <x:c r="C6658" s="1">
        <x:f>IFERROR(__xludf.DUMMYFUNCTION("""COMPUTED_VALUE"""),"1998")</x:f>
      </x:c>
    </x:row>
    <x:row r="6659" spans="1:10">
      <x:c r="A6659" s="1" t="s">
        <x:v>6667</x:v>
      </x:c>
      <x:c r="B6659" s="1">
        <x:f>IFERROR(__xludf.DUMMYFUNCTION("""COMPUTED_VALUE"""),"Un món de fantasia")</x:f>
      </x:c>
      <x:c r="C6659" s="1">
        <x:f>IFERROR(__xludf.DUMMYFUNCTION("""COMPUTED_VALUE"""),"1971")</x:f>
      </x:c>
    </x:row>
    <x:row r="6660" spans="1:10">
      <x:c r="A6660" s="1" t="s">
        <x:v>6668</x:v>
      </x:c>
      <x:c r="B6660" s="1">
        <x:f>IFERROR(__xludf.DUMMYFUNCTION("""COMPUTED_VALUE"""),"Un món estrany")</x:f>
      </x:c>
      <x:c r="C6660" s="1">
        <x:f>IFERROR(__xludf.DUMMYFUNCTION("""COMPUTED_VALUE"""),"2022")</x:f>
      </x:c>
    </x:row>
    <x:row r="6661" spans="1:10">
      <x:c r="A6661" s="1" t="s">
        <x:v>6669</x:v>
      </x:c>
      <x:c r="B6661" s="1">
        <x:f>IFERROR(__xludf.DUMMYFUNCTION("""COMPUTED_VALUE"""),"Un món perfecte")</x:f>
      </x:c>
      <x:c r="C6661" s="1">
        <x:f>IFERROR(__xludf.DUMMYFUNCTION("""COMPUTED_VALUE"""),"1993")</x:f>
      </x:c>
    </x:row>
    <x:row r="6662" spans="1:10">
      <x:c r="A6662" s="1" t="s">
        <x:v>6670</x:v>
      </x:c>
      <x:c r="B6662" s="1">
        <x:f>IFERROR(__xludf.DUMMYFUNCTION("""COMPUTED_VALUE"""),"Un mos exquisit")</x:f>
      </x:c>
      <x:c r="C6662" s="1">
        <x:f>IFERROR(__xludf.DUMMYFUNCTION("""COMPUTED_VALUE"""),"2021")</x:f>
      </x:c>
    </x:row>
    <x:row r="6663" spans="1:10">
      <x:c r="A6663" s="1" t="s">
        <x:v>6671</x:v>
      </x:c>
      <x:c r="B6663" s="1">
        <x:f>IFERROR(__xludf.DUMMYFUNCTION("""COMPUTED_VALUE"""),"Un mur al Nil")</x:f>
      </x:c>
      <x:c r="C6663" s="1">
        <x:f>IFERROR(__xludf.DUMMYFUNCTION("""COMPUTED_VALUE"""),"2023")</x:f>
      </x:c>
    </x:row>
    <x:row r="6664" spans="1:10">
      <x:c r="A6664" s="1" t="s">
        <x:v>6672</x:v>
      </x:c>
      <x:c r="B6664" s="1">
        <x:f>IFERROR(__xludf.DUMMYFUNCTION("""COMPUTED_VALUE"""),"Un Nadal diferent")</x:f>
      </x:c>
      <x:c r="C6664" s="1">
        <x:f>IFERROR(__xludf.DUMMYFUNCTION("""COMPUTED_VALUE"""),"2018")</x:f>
      </x:c>
    </x:row>
    <x:row r="6665" spans="1:10">
      <x:c r="A6665" s="1" t="s">
        <x:v>6673</x:v>
      </x:c>
      <x:c r="B6665" s="1">
        <x:f>IFERROR(__xludf.DUMMYFUNCTION("""COMPUTED_VALUE"""),"Un Nadal inesperat")</x:f>
      </x:c>
      <x:c r="C6665" s="1">
        <x:f>IFERROR(__xludf.DUMMYFUNCTION("""COMPUTED_VALUE"""),"2021")</x:f>
      </x:c>
    </x:row>
    <x:row r="6666" spans="1:10">
      <x:c r="A6666" s="1" t="s">
        <x:v>6674</x:v>
      </x:c>
      <x:c r="B6666" s="1">
        <x:f>IFERROR(__xludf.DUMMYFUNCTION("""COMPUTED_VALUE"""),"Un negre amb un saxo")</x:f>
      </x:c>
      <x:c r="C6666" s="1">
        <x:f>IFERROR(__xludf.DUMMYFUNCTION("""COMPUTED_VALUE"""),"1988")</x:f>
      </x:c>
    </x:row>
    <x:row r="6667" spans="1:10">
      <x:c r="A6667" s="1" t="s">
        <x:v>6675</x:v>
      </x:c>
      <x:c r="B6667" s="1">
        <x:f>IFERROR(__xludf.DUMMYFUNCTION("""COMPUTED_VALUE"""),"Un nen gran")</x:f>
      </x:c>
      <x:c r="C6667" s="1">
        <x:f>IFERROR(__xludf.DUMMYFUNCTION("""COMPUTED_VALUE"""),"2002")</x:f>
      </x:c>
    </x:row>
    <x:row r="6668" spans="1:10">
      <x:c r="A6668" s="1" t="s">
        <x:v>6676</x:v>
      </x:c>
      <x:c r="B6668" s="1">
        <x:f>IFERROR(__xludf.DUMMYFUNCTION("""COMPUTED_VALUE"""),"Un no és teu")</x:f>
      </x:c>
      <x:c r="C6668" s="1">
        <x:f>IFERROR(__xludf.DUMMYFUNCTION("""COMPUTED_VALUE"""),"2015")</x:f>
      </x:c>
    </x:row>
    <x:row r="6669" spans="1:10">
      <x:c r="A6669" s="1" t="s">
        <x:v>6677</x:v>
      </x:c>
      <x:c r="B6669" s="1">
        <x:f>IFERROR(__xludf.DUMMYFUNCTION("""COMPUTED_VALUE"""),"Un noi dolent")</x:f>
      </x:c>
      <x:c r="C6669" s="1">
        <x:f>IFERROR(__xludf.DUMMYFUNCTION("""COMPUTED_VALUE"""),"2020")</x:f>
      </x:c>
    </x:row>
    <x:row r="6670" spans="1:10">
      <x:c r="A6670" s="1" t="s">
        <x:v>6678</x:v>
      </x:c>
      <x:c r="B6670" s="1">
        <x:f>IFERROR(__xludf.DUMMYFUNCTION("""COMPUTED_VALUE"""),"Un novembre preciós")</x:f>
      </x:c>
      <x:c r="C6670" s="1">
        <x:f>IFERROR(__xludf.DUMMYFUNCTION("""COMPUTED_VALUE"""),"1969")</x:f>
      </x:c>
    </x:row>
    <x:row r="6671" spans="1:10">
      <x:c r="A6671" s="1" t="s">
        <x:v>6679</x:v>
      </x:c>
      <x:c r="B6671" s="1">
        <x:f>IFERROR(__xludf.DUMMYFUNCTION("""COMPUTED_VALUE"""),"Un pare sortit de mare")</x:f>
      </x:c>
      <x:c r="C6671" s="1">
        <x:f>IFERROR(__xludf.DUMMYFUNCTION("""COMPUTED_VALUE"""),"2012")</x:f>
      </x:c>
    </x:row>
    <x:row r="6672" spans="1:10">
      <x:c r="A6672" s="1" t="s">
        <x:v>6680</x:v>
      </x:c>
      <x:c r="B6672" s="1">
        <x:f>IFERROR(__xludf.DUMMYFUNCTION("""COMPUTED_VALUE"""),"Un parell d'ous")</x:f>
      </x:c>
      <x:c r="C6672" s="1">
        <x:f>IFERROR(__xludf.DUMMYFUNCTION("""COMPUTED_VALUE"""),"1985")</x:f>
      </x:c>
    </x:row>
    <x:row r="6673" spans="1:10">
      <x:c r="A6673" s="1" t="s">
        <x:v>6681</x:v>
      </x:c>
      <x:c r="B6673" s="1">
        <x:f>IFERROR(__xludf.DUMMYFUNCTION("""COMPUTED_VALUE"""),"Un pas endavant")</x:f>
      </x:c>
      <x:c r="C6673" s="1">
        <x:f>IFERROR(__xludf.DUMMYFUNCTION("""COMPUTED_VALUE"""),"2022")</x:f>
      </x:c>
    </x:row>
    <x:row r="6674" spans="1:10">
      <x:c r="A6674" s="1" t="s">
        <x:v>6682</x:v>
      </x:c>
      <x:c r="B6674" s="1">
        <x:f>IFERROR(__xludf.DUMMYFUNCTION("""COMPUTED_VALUE"""),"Un passeig amb la Madeleine")</x:f>
      </x:c>
      <x:c r="C6674" s="1">
        <x:f>IFERROR(__xludf.DUMMYFUNCTION("""COMPUTED_VALUE"""),"2022")</x:f>
      </x:c>
    </x:row>
    <x:row r="6675" spans="1:10">
      <x:c r="A6675" s="1" t="s">
        <x:v>6683</x:v>
      </x:c>
      <x:c r="B6675" s="1">
        <x:f>IFERROR(__xludf.DUMMYFUNCTION("""COMPUTED_VALUE"""),"Un passeig pel bosc")</x:f>
      </x:c>
      <x:c r="C6675" s="1">
        <x:f>IFERROR(__xludf.DUMMYFUNCTION("""COMPUTED_VALUE"""),"2015")</x:f>
      </x:c>
    </x:row>
    <x:row r="6676" spans="1:10">
      <x:c r="A6676" s="1" t="s">
        <x:v>6684</x:v>
      </x:c>
      <x:c r="B6676" s="1">
        <x:f>IFERROR(__xludf.DUMMYFUNCTION("""COMPUTED_VALUE"""),"Un passeig pel Dalí")</x:f>
      </x:c>
      <x:c r="C6676" s="1">
        <x:f>IFERROR(__xludf.DUMMYFUNCTION("""COMPUTED_VALUE"""),"2021")</x:f>
      </x:c>
    </x:row>
    <x:row r="6677" spans="1:10">
      <x:c r="A6677" s="1" t="s">
        <x:v>6685</x:v>
      </x:c>
      <x:c r="B6677" s="1">
        <x:f>IFERROR(__xludf.DUMMYFUNCTION("""COMPUTED_VALUE"""),"Un passeig pel Museu de Montserrat")</x:f>
      </x:c>
      <x:c r="C6677" s="1">
        <x:f>IFERROR(__xludf.DUMMYFUNCTION("""COMPUTED_VALUE"""),"2022")</x:f>
      </x:c>
    </x:row>
    <x:row r="6678" spans="1:10">
      <x:c r="A6678" s="1" t="s">
        <x:v>6686</x:v>
      </x:c>
      <x:c r="B6678" s="1">
        <x:f>IFERROR(__xludf.DUMMYFUNCTION("""COMPUTED_VALUE"""),"Un patrimoni incòmode")</x:f>
      </x:c>
      <x:c r="C6678" s="1">
        <x:f>IFERROR(__xludf.DUMMYFUNCTION("""COMPUTED_VALUE"""),"2026")</x:f>
      </x:c>
    </x:row>
    <x:row r="6679" spans="1:10">
      <x:c r="A6679" s="1" t="s">
        <x:v>6687</x:v>
      </x:c>
      <x:c r="B6679" s="1">
        <x:f>IFERROR(__xludf.DUMMYFUNCTION("""COMPUTED_VALUE"""),"Un peix fora del mar")</x:f>
      </x:c>
      <x:c r="C6679" s="1">
        <x:f>IFERROR(__xludf.DUMMYFUNCTION("""COMPUTED_VALUE"""),"2011")</x:f>
      </x:c>
    </x:row>
    <x:row r="6680" spans="1:10">
      <x:c r="A6680" s="1" t="s">
        <x:v>6688</x:v>
      </x:c>
      <x:c r="B6680" s="1">
        <x:f>IFERROR(__xludf.DUMMYFUNCTION("""COMPUTED_VALUE"""),"Un penques de confiança")</x:f>
      </x:c>
      <x:c r="C6680" s="1">
        <x:f>IFERROR(__xludf.DUMMYFUNCTION("""COMPUTED_VALUE"""),"2005")</x:f>
      </x:c>
    </x:row>
    <x:row r="6681" spans="1:10">
      <x:c r="A6681" s="1" t="s">
        <x:v>6689</x:v>
      </x:c>
      <x:c r="B6681" s="1">
        <x:f>IFERROR(__xludf.DUMMYFUNCTION("""COMPUTED_VALUE"""),"Un per a totes")</x:f>
      </x:c>
      <x:c r="C6681" s="1">
        <x:f>IFERROR(__xludf.DUMMYFUNCTION("""COMPUTED_VALUE"""),"2005")</x:f>
      </x:c>
    </x:row>
    <x:row r="6682" spans="1:10">
      <x:c r="A6682" s="1" t="s">
        <x:v>6690</x:v>
      </x:c>
      <x:c r="B6682" s="1">
        <x:f>IFERROR(__xludf.DUMMYFUNCTION("""COMPUTED_VALUE"""),"Un per a tots")</x:f>
      </x:c>
      <x:c r="C6682" s="1">
        <x:f>IFERROR(__xludf.DUMMYFUNCTION("""COMPUTED_VALUE"""),"2020")</x:f>
      </x:c>
    </x:row>
    <x:row r="6683" spans="1:10">
      <x:c r="A6683" s="1" t="s">
        <x:v>6691</x:v>
      </x:c>
      <x:c r="B6683" s="1">
        <x:f>IFERROR(__xludf.DUMMYFUNCTION("""COMPUTED_VALUE"""),"Un perfum de sang")</x:f>
      </x:c>
      <x:c r="C6683" s="1">
        <x:f>IFERROR(__xludf.DUMMYFUNCTION("""COMPUTED_VALUE"""),"2015")</x:f>
      </x:c>
    </x:row>
    <x:row r="6684" spans="1:10">
      <x:c r="A6684" s="1" t="s">
        <x:v>6692</x:v>
      </x:c>
      <x:c r="B6684" s="1">
        <x:f>IFERROR(__xludf.DUMMYFUNCTION("""COMPUTED_VALUE"""),"Un personatge genial")</x:f>
      </x:c>
      <x:c r="C6684" s="1">
        <x:f>IFERROR(__xludf.DUMMYFUNCTION("""COMPUTED_VALUE"""),"1983")</x:f>
      </x:c>
    </x:row>
    <x:row r="6685" spans="1:10">
      <x:c r="A6685" s="1" t="s">
        <x:v>6693</x:v>
      </x:c>
      <x:c r="B6685" s="1">
        <x:f>IFERROR(__xludf.DUMMYFUNCTION("""COMPUTED_VALUE"""),"Un petit canvi")</x:f>
      </x:c>
      <x:c r="C6685" s="1">
        <x:f>IFERROR(__xludf.DUMMYFUNCTION("""COMPUTED_VALUE"""),"2010")</x:f>
      </x:c>
    </x:row>
    <x:row r="6686" spans="1:10">
      <x:c r="A6686" s="1" t="s">
        <x:v>6694</x:v>
      </x:c>
      <x:c r="B6686" s="1">
        <x:f>IFERROR(__xludf.DUMMYFUNCTION("""COMPUTED_VALUE"""),"Un petit contratemps")</x:f>
      </x:c>
      <x:c r="C6686" s="1">
        <x:f>IFERROR(__xludf.DUMMYFUNCTION("""COMPUTED_VALUE"""),"2021")</x:f>
      </x:c>
    </x:row>
    <x:row r="6687" spans="1:10">
      <x:c r="A6687" s="1" t="s">
        <x:v>6695</x:v>
      </x:c>
      <x:c r="B6687" s="1">
        <x:f>IFERROR(__xludf.DUMMYFUNCTION("""COMPUTED_VALUE"""),"Un pla brillant")</x:f>
      </x:c>
      <x:c r="C6687" s="1">
        <x:f>IFERROR(__xludf.DUMMYFUNCTION("""COMPUTED_VALUE"""),"2007")</x:f>
      </x:c>
    </x:row>
    <x:row r="6688" spans="1:10">
      <x:c r="A6688" s="1" t="s">
        <x:v>6696</x:v>
      </x:c>
      <x:c r="B6688" s="1">
        <x:f>IFERROR(__xludf.DUMMYFUNCTION("""COMPUTED_VALUE"""),"Un pla perfecte")</x:f>
      </x:c>
      <x:c r="C6688" s="1">
        <x:f>IFERROR(__xludf.DUMMYFUNCTION("""COMPUTED_VALUE"""),"2011")</x:f>
      </x:c>
    </x:row>
    <x:row r="6689" spans="1:10">
      <x:c r="A6689" s="1" t="s">
        <x:v>6697</x:v>
      </x:c>
      <x:c r="B6689" s="1">
        <x:f>IFERROR(__xludf.DUMMYFUNCTION("""COMPUTED_VALUE"""),"Un poble anomenat Dante's Peak")</x:f>
      </x:c>
      <x:c r="C6689" s="1">
        <x:f>IFERROR(__xludf.DUMMYFUNCTION("""COMPUTED_VALUE"""),"1996")</x:f>
      </x:c>
    </x:row>
    <x:row r="6690" spans="1:10">
      <x:c r="A6690" s="1" t="s">
        <x:v>6698</x:v>
      </x:c>
      <x:c r="B6690" s="1">
        <x:f>IFERROR(__xludf.DUMMYFUNCTION("""COMPUTED_VALUE"""),"Un poli")</x:f>
      </x:c>
      <x:c r="C6690" s="1">
        <x:f>IFERROR(__xludf.DUMMYFUNCTION("""COMPUTED_VALUE"""),"1972")</x:f>
      </x:c>
    </x:row>
    <x:row r="6691" spans="1:10">
      <x:c r="A6691" s="1" t="s">
        <x:v>6699</x:v>
      </x:c>
      <x:c r="B6691" s="1">
        <x:f>IFERROR(__xludf.DUMMYFUNCTION("""COMPUTED_VALUE"""),"Un policia en dificultats")</x:f>
      </x:c>
      <x:c r="C6691" s="1">
        <x:f>IFERROR(__xludf.DUMMYFUNCTION("""COMPUTED_VALUE"""),"2016")</x:f>
      </x:c>
    </x:row>
    <x:row r="6692" spans="1:10">
      <x:c r="A6692" s="1" t="s">
        <x:v>6700</x:v>
      </x:c>
      <x:c r="B6692" s="1">
        <x:f>IFERROR(__xludf.DUMMYFUNCTION("""COMPUTED_VALUE"""),"Un pont cap a Terabithia")</x:f>
      </x:c>
      <x:c r="C6692" s="1">
        <x:f>IFERROR(__xludf.DUMMYFUNCTION("""COMPUTED_VALUE"""),"2007")</x:f>
      </x:c>
    </x:row>
    <x:row r="6693" spans="1:10">
      <x:c r="A6693" s="1" t="s">
        <x:v>6701</x:v>
      </x:c>
      <x:c r="B6693" s="1">
        <x:f>IFERROR(__xludf.DUMMYFUNCTION("""COMPUTED_VALUE"""),"Un pont massa llunyà")</x:f>
      </x:c>
      <x:c r="C6693" s="1">
        <x:f>IFERROR(__xludf.DUMMYFUNCTION("""COMPUTED_VALUE"""),"1977")</x:f>
      </x:c>
    </x:row>
    <x:row r="6694" spans="1:10">
      <x:c r="A6694" s="1" t="s">
        <x:v>6702</x:v>
      </x:c>
      <x:c r="B6694" s="1">
        <x:f>IFERROR(__xludf.DUMMYFUNCTION("""COMPUTED_VALUE"""),"Un profeta")</x:f>
      </x:c>
      <x:c r="C6694" s="1">
        <x:f>IFERROR(__xludf.DUMMYFUNCTION("""COMPUTED_VALUE"""),"2009")</x:f>
      </x:c>
    </x:row>
    <x:row r="6695" spans="1:10">
      <x:c r="A6695" s="1" t="s">
        <x:v>6703</x:v>
      </x:c>
      <x:c r="B6695" s="1">
        <x:f>IFERROR(__xludf.DUMMYFUNCTION("""COMPUTED_VALUE"""),"Un racó de la Toscana")</x:f>
      </x:c>
      <x:c r="C6695" s="1">
        <x:f>IFERROR(__xludf.DUMMYFUNCTION("""COMPUTED_VALUE"""),"2005")</x:f>
      </x:c>
    </x:row>
    <x:row r="6696" spans="1:10">
      <x:c r="A6696" s="1" t="s">
        <x:v>6704</x:v>
      </x:c>
      <x:c r="B6696" s="1">
        <x:f>IFERROR(__xludf.DUMMYFUNCTION("""COMPUTED_VALUE"""),"Un regne unit")</x:f>
      </x:c>
      <x:c r="C6696" s="1">
        <x:f>IFERROR(__xludf.DUMMYFUNCTION("""COMPUTED_VALUE"""),"2016")</x:f>
      </x:c>
    </x:row>
    <x:row r="6697" spans="1:10">
      <x:c r="A6697" s="1" t="s">
        <x:v>6705</x:v>
      </x:c>
      <x:c r="B6697" s="1">
        <x:f>IFERROR(__xludf.DUMMYFUNCTION("""COMPUTED_VALUE"""),"Un rei per a quatre reines")</x:f>
      </x:c>
      <x:c r="C6697" s="1">
        <x:f>IFERROR(__xludf.DUMMYFUNCTION("""COMPUTED_VALUE"""),"1956")</x:f>
      </x:c>
    </x:row>
    <x:row r="6698" spans="1:10">
      <x:c r="A6698" s="1" t="s">
        <x:v>6706</x:v>
      </x:c>
      <x:c r="B6698" s="1">
        <x:f>IFERROR(__xludf.DUMMYFUNCTION("""COMPUTED_VALUE"""),"Un relat d'orient")</x:f>
      </x:c>
      <x:c r="C6698" s="1">
        <x:f>IFERROR(__xludf.DUMMYFUNCTION("""COMPUTED_VALUE"""),"2015")</x:f>
      </x:c>
    </x:row>
    <x:row r="6699" spans="1:10">
      <x:c r="A6699" s="1" t="s">
        <x:v>6707</x:v>
      </x:c>
      <x:c r="B6699" s="1">
        <x:f>IFERROR(__xludf.DUMMYFUNCTION("""COMPUTED_VALUE"""),"Un seguit de desgràcies catastròfiques de Lemony Snicket")</x:f>
      </x:c>
      <x:c r="C6699" s="1">
        <x:f>IFERROR(__xludf.DUMMYFUNCTION("""COMPUTED_VALUE"""),"2004")</x:f>
      </x:c>
    </x:row>
    <x:row r="6700" spans="1:10">
      <x:c r="A6700" s="1" t="s">
        <x:v>6708</x:v>
      </x:c>
      <x:c r="B6700" s="1">
        <x:f>IFERROR(__xludf.DUMMYFUNCTION("""COMPUTED_VALUE"""),"Un silenci")</x:f>
      </x:c>
      <x:c r="C6700" s="1">
        <x:f>IFERROR(__xludf.DUMMYFUNCTION("""COMPUTED_VALUE"""),"2023")</x:f>
      </x:c>
    </x:row>
    <x:row r="6701" spans="1:10">
      <x:c r="A6701" s="1" t="s">
        <x:v>6709</x:v>
      </x:c>
      <x:c r="B6701" s="1">
        <x:f>IFERROR(__xludf.DUMMYFUNCTION("""COMPUTED_VALUE"""),"Un sogre de lloguer")</x:f>
      </x:c>
      <x:c r="C6701" s="1">
        <x:f>IFERROR(__xludf.DUMMYFUNCTION("""COMPUTED_VALUE"""),"2026")</x:f>
      </x:c>
    </x:row>
    <x:row r="6702" spans="1:10">
      <x:c r="A6702" s="1" t="s">
        <x:v>6710</x:v>
      </x:c>
      <x:c r="B6702" s="1">
        <x:f>IFERROR(__xludf.DUMMYFUNCTION("""COMPUTED_VALUE"""),"Un somni de reis")</x:f>
      </x:c>
      <x:c r="C6702" s="1">
        <x:f>IFERROR(__xludf.DUMMYFUNCTION("""COMPUTED_VALUE"""),"1969")</x:f>
      </x:c>
    </x:row>
    <x:row r="6703" spans="1:10">
      <x:c r="A6703" s="1" t="s">
        <x:v>6711</x:v>
      </x:c>
      <x:c r="B6703" s="1">
        <x:f>IFERROR(__xludf.DUMMYFUNCTION("""COMPUTED_VALUE"""),"Un somni espacial")</x:f>
      </x:c>
      <x:c r="C6703" s="1">
        <x:f>IFERROR(__xludf.DUMMYFUNCTION("""COMPUTED_VALUE"""),"2011")</x:f>
      </x:c>
    </x:row>
    <x:row r="6704" spans="1:10">
      <x:c r="A6704" s="1" t="s">
        <x:v>6712</x:v>
      </x:c>
      <x:c r="B6704" s="1">
        <x:f>IFERROR(__xludf.DUMMYFUNCTION("""COMPUTED_VALUE"""),"Un tipus dur")</x:f>
      </x:c>
      <x:c r="C6704" s="1">
        <x:f>IFERROR(__xludf.DUMMYFUNCTION("""COMPUTED_VALUE"""),"1961")</x:f>
      </x:c>
    </x:row>
    <x:row r="6705" spans="1:10">
      <x:c r="A6705" s="1" t="s">
        <x:v>6713</x:v>
      </x:c>
      <x:c r="B6705" s="1">
        <x:f>IFERROR(__xludf.DUMMYFUNCTION("""COMPUTED_VALUE"""),"Un toc de seducció")</x:f>
      </x:c>
      <x:c r="C6705" s="1">
        <x:f>IFERROR(__xludf.DUMMYFUNCTION("""COMPUTED_VALUE"""),"2005")</x:f>
      </x:c>
    </x:row>
    <x:row r="6706" spans="1:10">
      <x:c r="A6706" s="1" t="s">
        <x:v>6714</x:v>
      </x:c>
      <x:c r="B6706" s="1">
        <x:f>IFERROR(__xludf.DUMMYFUNCTION("""COMPUTED_VALUE"""),"Un traïdor com els nostres")</x:f>
      </x:c>
      <x:c r="C6706" s="1">
        <x:f>IFERROR(__xludf.DUMMYFUNCTION("""COMPUTED_VALUE"""),"2016")</x:f>
      </x:c>
    </x:row>
    <x:row r="6707" spans="1:10">
      <x:c r="A6707" s="1" t="s">
        <x:v>6715</x:v>
      </x:c>
      <x:c r="B6707" s="1">
        <x:f>IFERROR(__xludf.DUMMYFUNCTION("""COMPUTED_VALUE"""),"Un tramvia anomenat Desig")</x:f>
      </x:c>
      <x:c r="C6707" s="1">
        <x:f>IFERROR(__xludf.DUMMYFUNCTION("""COMPUTED_VALUE"""),"1951")</x:f>
      </x:c>
    </x:row>
    <x:row r="6708" spans="1:10">
      <x:c r="A6708" s="1" t="s">
        <x:v>6716</x:v>
      </x:c>
      <x:c r="B6708" s="1">
        <x:f>IFERROR(__xludf.DUMMYFUNCTION("""COMPUTED_VALUE"""),"Un treball a Itàlia")</x:f>
      </x:c>
      <x:c r="C6708" s="1">
        <x:f>IFERROR(__xludf.DUMMYFUNCTION("""COMPUTED_VALUE"""),"1969")</x:f>
      </x:c>
    </x:row>
    <x:row r="6709" spans="1:10">
      <x:c r="A6709" s="1" t="s">
        <x:v>6717</x:v>
      </x:c>
      <x:c r="B6709" s="1">
        <x:f>IFERROR(__xludf.DUMMYFUNCTION("""COMPUTED_VALUE"""),"Un trosset de cel")</x:f>
      </x:c>
      <x:c r="C6709" s="1">
        <x:f>IFERROR(__xludf.DUMMYFUNCTION("""COMPUTED_VALUE"""),"2011")</x:f>
      </x:c>
    </x:row>
    <x:row r="6710" spans="1:10">
      <x:c r="A6710" s="1" t="s">
        <x:v>6718</x:v>
      </x:c>
      <x:c r="B6710" s="1">
        <x:f>IFERROR(__xludf.DUMMYFUNCTION("""COMPUTED_VALUE"""),"Un viatge a la Lluna")</x:f>
      </x:c>
      <x:c r="C6710" s="1">
        <x:f>IFERROR(__xludf.DUMMYFUNCTION("""COMPUTED_VALUE"""),"1902")</x:f>
      </x:c>
    </x:row>
    <x:row r="6711" spans="1:10">
      <x:c r="A6711" s="1" t="s">
        <x:v>6719</x:v>
      </x:c>
      <x:c r="B6711" s="1">
        <x:f>IFERROR(__xludf.DUMMYFUNCTION("""COMPUTED_VALUE"""),"Un viatge de deu metres")</x:f>
      </x:c>
      <x:c r="C6711" s="1">
        <x:f>IFERROR(__xludf.DUMMYFUNCTION("""COMPUTED_VALUE"""),"2014")</x:f>
      </x:c>
    </x:row>
    <x:row r="6712" spans="1:10">
      <x:c r="A6712" s="1" t="s">
        <x:v>6720</x:v>
      </x:c>
      <x:c r="B6712" s="1">
        <x:f>IFERROR(__xludf.DUMMYFUNCTION("""COMPUTED_VALUE"""),"Un, dos, tres")</x:f>
      </x:c>
      <x:c r="C6712" s="1">
        <x:f>IFERROR(__xludf.DUMMYFUNCTION("""COMPUTED_VALUE"""),"1961")</x:f>
      </x:c>
    </x:row>
    <x:row r="6713" spans="1:10">
      <x:c r="A6713" s="1" t="s">
        <x:v>6721</x:v>
      </x:c>
      <x:c r="B6713" s="1">
        <x:f>IFERROR(__xludf.DUMMYFUNCTION("""COMPUTED_VALUE"""),"Una agent molt especial")</x:f>
      </x:c>
      <x:c r="C6713" s="1">
        <x:f>IFERROR(__xludf.DUMMYFUNCTION("""COMPUTED_VALUE"""),"2019")</x:f>
      </x:c>
    </x:row>
    <x:row r="6714" spans="1:10">
      <x:c r="A6714" s="1" t="s">
        <x:v>6722</x:v>
      </x:c>
      <x:c r="B6714" s="1">
        <x:f>IFERROR(__xludf.DUMMYFUNCTION("""COMPUTED_VALUE"""),"Una altra dona")</x:f>
      </x:c>
      <x:c r="C6714" s="1">
        <x:f>IFERROR(__xludf.DUMMYFUNCTION("""COMPUTED_VALUE"""),"1988")</x:f>
      </x:c>
    </x:row>
    <x:row r="6715" spans="1:10">
      <x:c r="A6715" s="1" t="s">
        <x:v>6723</x:v>
      </x:c>
      <x:c r="B6715" s="1">
        <x:f>IFERROR(__xludf.DUMMYFUNCTION("""COMPUTED_VALUE"""),"Una altra ronda")</x:f>
      </x:c>
      <x:c r="C6715" s="1">
        <x:f>IFERROR(__xludf.DUMMYFUNCTION("""COMPUTED_VALUE"""),"2020")</x:f>
      </x:c>
    </x:row>
    <x:row r="6716" spans="1:10">
      <x:c r="A6716" s="1" t="s">
        <x:v>6724</x:v>
      </x:c>
      <x:c r="B6716" s="1">
        <x:f>IFERROR(__xludf.DUMMYFUNCTION("""COMPUTED_VALUE"""),"Una altra teràpia perillosa")</x:f>
      </x:c>
      <x:c r="C6716" s="1">
        <x:f>IFERROR(__xludf.DUMMYFUNCTION("""COMPUTED_VALUE"""),"2002")</x:f>
      </x:c>
    </x:row>
    <x:row r="6717" spans="1:10">
      <x:c r="A6717" s="1" t="s">
        <x:v>6725</x:v>
      </x:c>
      <x:c r="B6717" s="1">
        <x:f>IFERROR(__xludf.DUMMYFUNCTION("""COMPUTED_VALUE"""),"Una amistat inoblidable")</x:f>
      </x:c>
      <x:c r="C6717" s="1">
        <x:f>IFERROR(__xludf.DUMMYFUNCTION("""COMPUTED_VALUE"""),"2007")</x:f>
      </x:c>
    </x:row>
    <x:row r="6718" spans="1:10">
      <x:c r="A6718" s="1" t="s">
        <x:v>6726</x:v>
      </x:c>
      <x:c r="B6718" s="1">
        <x:f>IFERROR(__xludf.DUMMYFUNCTION("""COMPUTED_VALUE"""),"Una ampolla al mar de Gaza")</x:f>
      </x:c>
      <x:c r="C6718" s="1">
        <x:f>IFERROR(__xludf.DUMMYFUNCTION("""COMPUTED_VALUE"""),"2011")</x:f>
      </x:c>
    </x:row>
    <x:row r="6719" spans="1:10">
      <x:c r="A6719" s="1" t="s">
        <x:v>6727</x:v>
      </x:c>
      <x:c r="B6719" s="1">
        <x:f>IFERROR(__xludf.DUMMYFUNCTION("""COMPUTED_VALUE"""),"Una ànima en silenci")</x:f>
      </x:c>
      <x:c r="C6719" s="1">
        <x:f>IFERROR(__xludf.DUMMYFUNCTION("""COMPUTED_VALUE"""),"2005")</x:f>
      </x:c>
    </x:row>
    <x:row r="6720" spans="1:10">
      <x:c r="A6720" s="1" t="s">
        <x:v>6728</x:v>
      </x:c>
      <x:c r="B6720" s="1">
        <x:f>IFERROR(__xludf.DUMMYFUNCTION("""COMPUTED_VALUE"""),"Una aventura de nadal")</x:f>
      </x:c>
      <x:c r="C6720" s="1">
        <x:f>IFERROR(__xludf.DUMMYFUNCTION("""COMPUTED_VALUE"""),"2001")</x:f>
      </x:c>
    </x:row>
    <x:row r="6721" spans="1:10">
      <x:c r="A6721" s="1" t="s">
        <x:v>6729</x:v>
      </x:c>
      <x:c r="B6721" s="1">
        <x:f>IFERROR(__xludf.DUMMYFUNCTION("""COMPUTED_VALUE"""),"Una aventura salvatge")</x:f>
      </x:c>
      <x:c r="C6721" s="1">
        <x:f>IFERROR(__xludf.DUMMYFUNCTION("""COMPUTED_VALUE"""),"2014")</x:f>
      </x:c>
    </x:row>
    <x:row r="6722" spans="1:10">
      <x:c r="A6722" s="1" t="s">
        <x:v>6730</x:v>
      </x:c>
      <x:c r="B6722" s="1">
        <x:f>IFERROR(__xludf.DUMMYFUNCTION("""COMPUTED_VALUE"""),"Una boda a la Toscana")</x:f>
      </x:c>
      <x:c r="C6722" s="1">
        <x:f>IFERROR(__xludf.DUMMYFUNCTION("""COMPUTED_VALUE"""),"2014")</x:f>
      </x:c>
    </x:row>
    <x:row r="6723" spans="1:10">
      <x:c r="A6723" s="1" t="s">
        <x:v>6731</x:v>
      </x:c>
      <x:c r="B6723" s="1">
        <x:f>IFERROR(__xludf.DUMMYFUNCTION("""COMPUTED_VALUE"""),"Una boda al desembre")</x:f>
      </x:c>
      <x:c r="C6723" s="1">
        <x:f>IFERROR(__xludf.DUMMYFUNCTION("""COMPUTED_VALUE"""),"2016")</x:f>
      </x:c>
    </x:row>
    <x:row r="6724" spans="1:10">
      <x:c r="A6724" s="1" t="s">
        <x:v>6732</x:v>
      </x:c>
      <x:c r="B6724" s="1">
        <x:f>IFERROR(__xludf.DUMMYFUNCTION("""COMPUTED_VALUE"""),"Una boda per Nadal")</x:f>
      </x:c>
      <x:c r="C6724" s="1">
        <x:f>IFERROR(__xludf.DUMMYFUNCTION("""COMPUTED_VALUE"""),"2012")</x:f>
      </x:c>
    </x:row>
    <x:row r="6725" spans="1:10">
      <x:c r="A6725" s="1" t="s">
        <x:v>6733</x:v>
      </x:c>
      <x:c r="B6725" s="1">
        <x:f>IFERROR(__xludf.DUMMYFUNCTION("""COMPUTED_VALUE"""),"Una bona persona")</x:f>
      </x:c>
      <x:c r="C6725" s="1">
        <x:f>IFERROR(__xludf.DUMMYFUNCTION("""COMPUTED_VALUE"""),"2023")</x:f>
      </x:c>
    </x:row>
    <x:row r="6726" spans="1:10">
      <x:c r="A6726" s="1" t="s">
        <x:v>6734</x:v>
      </x:c>
      <x:c r="B6726" s="1">
        <x:f>IFERROR(__xludf.DUMMYFUNCTION("""COMPUTED_VALUE"""),"Una bossa de bales")</x:f>
      </x:c>
      <x:c r="C6726" s="1">
        <x:f>IFERROR(__xludf.DUMMYFUNCTION("""COMPUTED_VALUE"""),"2017")</x:f>
      </x:c>
    </x:row>
    <x:row r="6727" spans="1:10">
      <x:c r="A6727" s="1" t="s">
        <x:v>6735</x:v>
      </x:c>
      <x:c r="B6727" s="1">
        <x:f>IFERROR(__xludf.DUMMYFUNCTION("""COMPUTED_VALUE"""),"Una cançó del passat")</x:f>
      </x:c>
      <x:c r="C6727" s="1">
        <x:f>IFERROR(__xludf.DUMMYFUNCTION("""COMPUTED_VALUE"""),"2004")</x:f>
      </x:c>
    </x:row>
    <x:row r="6728" spans="1:10">
      <x:c r="A6728" s="1" t="s">
        <x:v>6736</x:v>
      </x:c>
      <x:c r="B6728" s="1">
        <x:f>IFERROR(__xludf.DUMMYFUNCTION("""COMPUTED_VALUE"""),"Una canço irlandesa")</x:f>
      </x:c>
      <x:c r="C6728" s="1">
        <x:f>IFERROR(__xludf.DUMMYFUNCTION("""COMPUTED_VALUE"""),"2020")</x:f>
      </x:c>
    </x:row>
    <x:row r="6729" spans="1:10">
      <x:c r="A6729" s="1" t="s">
        <x:v>6737</x:v>
      </x:c>
      <x:c r="B6729" s="1">
        <x:f>IFERROR(__xludf.DUMMYFUNCTION("""COMPUTED_VALUE"""),"Una cançó per a la Marion")</x:f>
      </x:c>
      <x:c r="C6729" s="1">
        <x:f>IFERROR(__xludf.DUMMYFUNCTION("""COMPUTED_VALUE"""),"2012")</x:f>
      </x:c>
    </x:row>
    <x:row r="6730" spans="1:10">
      <x:c r="A6730" s="1" t="s">
        <x:v>6738</x:v>
      </x:c>
      <x:c r="B6730" s="1">
        <x:f>IFERROR(__xludf.DUMMYFUNCTION("""COMPUTED_VALUE"""),"Una carta d'amor mortal")</x:f>
      </x:c>
      <x:c r="C6730" s="1">
        <x:f>IFERROR(__xludf.DUMMYFUNCTION("""COMPUTED_VALUE"""),"2021")</x:f>
      </x:c>
    </x:row>
    <x:row r="6731" spans="1:10">
      <x:c r="A6731" s="1" t="s">
        <x:v>6739</x:v>
      </x:c>
      <x:c r="B6731" s="1">
        <x:f>IFERROR(__xludf.DUMMYFUNCTION("""COMPUTED_VALUE"""),"Una carta d'amor per Nadal")</x:f>
      </x:c>
      <x:c r="C6731" s="1">
        <x:f>IFERROR(__xludf.DUMMYFUNCTION("""COMPUTED_VALUE"""),"2019")</x:f>
      </x:c>
    </x:row>
    <x:row r="6732" spans="1:10">
      <x:c r="A6732" s="1" t="s">
        <x:v>6740</x:v>
      </x:c>
      <x:c r="B6732" s="1">
        <x:f>IFERROR(__xludf.DUMMYFUNCTION("""COMPUTED_VALUE"""),"Una casa a Còrsega")</x:f>
      </x:c>
      <x:c r="C6732" s="1">
        <x:f>IFERROR(__xludf.DUMMYFUNCTION("""COMPUTED_VALUE"""),"2011")</x:f>
      </x:c>
    </x:row>
    <x:row r="6733" spans="1:10">
      <x:c r="A6733" s="1" t="s">
        <x:v>6741</x:v>
      </x:c>
      <x:c r="B6733" s="1">
        <x:f>IFERROR(__xludf.DUMMYFUNCTION("""COMPUTED_VALUE"""),"Una casa a la fi del món")</x:f>
      </x:c>
      <x:c r="C6733" s="1">
        <x:f>IFERROR(__xludf.DUMMYFUNCTION("""COMPUTED_VALUE"""),"2004")</x:f>
      </x:c>
    </x:row>
    <x:row r="6734" spans="1:10">
      <x:c r="A6734" s="1" t="s">
        <x:v>6742</x:v>
      </x:c>
      <x:c r="B6734" s="1">
        <x:f>IFERROR(__xludf.DUMMYFUNCTION("""COMPUTED_VALUE"""),"Una casa als afores")</x:f>
      </x:c>
      <x:c r="C6734" s="1">
        <x:f>IFERROR(__xludf.DUMMYFUNCTION("""COMPUTED_VALUE"""),"2018")</x:f>
      </x:c>
    </x:row>
    <x:row r="6735" spans="1:10">
      <x:c r="A6735" s="1" t="s">
        <x:v>6743</x:v>
      </x:c>
      <x:c r="B6735" s="1">
        <x:f>IFERROR(__xludf.DUMMYFUNCTION("""COMPUTED_VALUE"""),"Una casa de bojos")</x:f>
      </x:c>
      <x:c r="C6735" s="1">
        <x:f>IFERROR(__xludf.DUMMYFUNCTION("""COMPUTED_VALUE"""),"2002")</x:f>
      </x:c>
    </x:row>
    <x:row r="6736" spans="1:10">
      <x:c r="A6736" s="1" t="s">
        <x:v>6744</x:v>
      </x:c>
      <x:c r="B6736" s="1">
        <x:f>IFERROR(__xludf.DUMMYFUNCTION("""COMPUTED_VALUE"""),"Una casa potes enlaire")</x:f>
      </x:c>
      <x:c r="C6736" s="1">
        <x:f>IFERROR(__xludf.DUMMYFUNCTION("""COMPUTED_VALUE"""),"2007")</x:f>
      </x:c>
    </x:row>
    <x:row r="6737" spans="1:10">
      <x:c r="A6737" s="1" t="s">
        <x:v>6745</x:v>
      </x:c>
      <x:c r="B6737" s="1">
        <x:f>IFERROR(__xludf.DUMMYFUNCTION("""COMPUTED_VALUE"""),"Una casa, la família i un miracle")</x:f>
      </x:c>
      <x:c r="C6737" s="1">
        <x:f>IFERROR(__xludf.DUMMYFUNCTION("""COMPUTED_VALUE"""),"2017")</x:f>
      </x:c>
    </x:row>
    <x:row r="6738" spans="1:10">
      <x:c r="A6738" s="1" t="s">
        <x:v>6746</x:v>
      </x:c>
      <x:c r="B6738" s="1">
        <x:f>IFERROR(__xludf.DUMMYFUNCTION("""COMPUTED_VALUE"""),"Una certa veritat")</x:f>
      </x:c>
      <x:c r="C6738" s="1">
        <x:f>IFERROR(__xludf.DUMMYFUNCTION("""COMPUTED_VALUE"""),"2008")</x:f>
      </x:c>
    </x:row>
    <x:row r="6739" spans="1:10">
      <x:c r="A6739" s="1" t="s">
        <x:v>6747</x:v>
      </x:c>
      <x:c r="B6739" s="1">
        <x:f>IFERROR(__xludf.DUMMYFUNCTION("""COMPUTED_VALUE"""),"Una cita al parc")</x:f>
      </x:c>
      <x:c r="C6739" s="1">
        <x:f>IFERROR(__xludf.DUMMYFUNCTION("""COMPUTED_VALUE"""),"2017")</x:f>
      </x:c>
    </x:row>
    <x:row r="6740" spans="1:10">
      <x:c r="A6740" s="1" t="s">
        <x:v>6748</x:v>
      </x:c>
      <x:c r="B6740" s="1">
        <x:f>IFERROR(__xludf.DUMMYFUNCTION("""COMPUTED_VALUE"""),"Una cita amb el destí")</x:f>
      </x:c>
      <x:c r="C6740" s="1">
        <x:f>IFERROR(__xludf.DUMMYFUNCTION("""COMPUTED_VALUE"""),"2017")</x:f>
      </x:c>
    </x:row>
    <x:row r="6741" spans="1:10">
      <x:c r="A6741" s="1" t="s">
        <x:v>6749</x:v>
      </x:c>
      <x:c r="B6741" s="1">
        <x:f>IFERROR(__xludf.DUMMYFUNCTION("""COMPUTED_VALUE"""),"Una cita improvisada")</x:f>
      </x:c>
      <x:c r="C6741" s="1">
        <x:f>IFERROR(__xludf.DUMMYFUNCTION("""COMPUTED_VALUE"""),"2015")</x:f>
      </x:c>
    </x:row>
    <x:row r="6742" spans="1:10">
      <x:c r="A6742" s="1" t="s">
        <x:v>6750</x:v>
      </x:c>
      <x:c r="B6742" s="1">
        <x:f>IFERROR(__xludf.DUMMYFUNCTION("""COMPUTED_VALUE"""),"Una ciutat molt calenta")</x:f>
      </x:c>
      <x:c r="C6742" s="1">
        <x:f>IFERROR(__xludf.DUMMYFUNCTION("""COMPUTED_VALUE"""),"1984")</x:f>
      </x:c>
    </x:row>
    <x:row r="6743" spans="1:10">
      <x:c r="A6743" s="1" t="s">
        <x:v>6751</x:v>
      </x:c>
      <x:c r="B6743" s="1">
        <x:f>IFERROR(__xludf.DUMMYFUNCTION("""COMPUTED_VALUE"""),"Una conilleta al campus")</x:f>
      </x:c>
      <x:c r="C6743" s="1">
        <x:f>IFERROR(__xludf.DUMMYFUNCTION("""COMPUTED_VALUE"""),"2008")</x:f>
      </x:c>
    </x:row>
    <x:row r="6744" spans="1:10">
      <x:c r="A6744" s="1" t="s">
        <x:v>6752</x:v>
      </x:c>
      <x:c r="B6744" s="1">
        <x:f>IFERROR(__xludf.DUMMYFUNCTION("""COMPUTED_VALUE"""),"Una conversa amb Hitchcock [VOSC]")</x:f>
      </x:c>
      <x:c r="C6744" s="1">
        <x:f>IFERROR(__xludf.DUMMYFUNCTION("""COMPUTED_VALUE"""),"1998")</x:f>
      </x:c>
    </x:row>
    <x:row r="6745" spans="1:10">
      <x:c r="A6745" s="1" t="s">
        <x:v>6753</x:v>
      </x:c>
      <x:c r="B6745" s="1">
        <x:f>IFERROR(__xludf.DUMMYFUNCTION("""COMPUTED_VALUE"""),"Una convidada perillosa")</x:f>
      </x:c>
      <x:c r="C6745" s="1">
        <x:f>IFERROR(__xludf.DUMMYFUNCTION("""COMPUTED_VALUE"""),"2016")</x:f>
      </x:c>
    </x:row>
    <x:row r="6746" spans="1:10">
      <x:c r="A6746" s="1" t="s">
        <x:v>6754</x:v>
      </x:c>
      <x:c r="B6746" s="1">
        <x:f>IFERROR(__xludf.DUMMYFUNCTION("""COMPUTED_VALUE"""),"Una dama a París")</x:f>
      </x:c>
      <x:c r="C6746" s="1">
        <x:f>IFERROR(__xludf.DUMMYFUNCTION("""COMPUTED_VALUE"""),"2012")</x:f>
      </x:c>
    </x:row>
    <x:row r="6747" spans="1:10">
      <x:c r="A6747" s="1" t="s">
        <x:v>6755</x:v>
      </x:c>
      <x:c r="B6747" s="1">
        <x:f>IFERROR(__xludf.DUMMYFUNCTION("""COMPUTED_VALUE"""),"Una decisió perillosa")</x:f>
      </x:c>
      <x:c r="C6747" s="1">
        <x:f>IFERROR(__xludf.DUMMYFUNCTION("""COMPUTED_VALUE"""),"2014")</x:f>
      </x:c>
    </x:row>
    <x:row r="6748" spans="1:10">
      <x:c r="A6748" s="1" t="s">
        <x:v>6756</x:v>
      </x:c>
      <x:c r="B6748" s="1">
        <x:f>IFERROR(__xludf.DUMMYFUNCTION("""COMPUTED_VALUE"""),"Una dolça mentida")</x:f>
      </x:c>
      <x:c r="C6748" s="1">
        <x:f>IFERROR(__xludf.DUMMYFUNCTION("""COMPUTED_VALUE"""),"2010")</x:f>
      </x:c>
    </x:row>
    <x:row r="6749" spans="1:10">
      <x:c r="A6749" s="1" t="s">
        <x:v>6757</x:v>
      </x:c>
      <x:c r="B6749" s="1">
        <x:f>IFERROR(__xludf.DUMMYFUNCTION("""COMPUTED_VALUE"""),"Una dona a l'Àfrica")</x:f>
      </x:c>
      <x:c r="C6749" s="1">
        <x:f>IFERROR(__xludf.DUMMYFUNCTION("""COMPUTED_VALUE"""),"2009")</x:f>
      </x:c>
    </x:row>
    <x:row r="6750" spans="1:10">
      <x:c r="A6750" s="1" t="s">
        <x:v>6758</x:v>
      </x:c>
      <x:c r="B6750" s="1">
        <x:f>IFERROR(__xludf.DUMMYFUNCTION("""COMPUTED_VALUE"""),"Una dona enganyada")</x:f>
      </x:c>
      <x:c r="C6750" s="1">
        <x:f>IFERROR(__xludf.DUMMYFUNCTION("""COMPUTED_VALUE"""),"2017")</x:f>
      </x:c>
    </x:row>
    <x:row r="6751" spans="1:10">
      <x:c r="A6751" s="1" t="s">
        <x:v>6759</x:v>
      </x:c>
      <x:c r="B6751" s="1">
        <x:f>IFERROR(__xludf.DUMMYFUNCTION("""COMPUTED_VALUE"""),"Una dona, una pistola i una botiga de fideus xinesos")</x:f>
      </x:c>
      <x:c r="C6751" s="1">
        <x:f>IFERROR(__xludf.DUMMYFUNCTION("""COMPUTED_VALUE"""),"2009")</x:f>
      </x:c>
    </x:row>
    <x:row r="6752" spans="1:10">
      <x:c r="A6752" s="1" t="s">
        <x:v>6760</x:v>
      </x:c>
      <x:c r="B6752" s="1">
        <x:f>IFERROR(__xludf.DUMMYFUNCTION("""COMPUTED_VALUE"""),"Una educació")</x:f>
      </x:c>
      <x:c r="C6752" s="1">
        <x:f>IFERROR(__xludf.DUMMYFUNCTION("""COMPUTED_VALUE"""),"2009")</x:f>
      </x:c>
    </x:row>
    <x:row r="6753" spans="1:10">
      <x:c r="A6753" s="1" t="s">
        <x:v>6761</x:v>
      </x:c>
      <x:c r="B6753" s="1">
        <x:f>IFERROR(__xludf.DUMMYFUNCTION("""COMPUTED_VALUE"""),"Una estranya a la meva vida")</x:f>
      </x:c>
      <x:c r="C6753" s="1">
        <x:f>IFERROR(__xludf.DUMMYFUNCTION("""COMPUTED_VALUE"""),"2016")</x:f>
      </x:c>
    </x:row>
    <x:row r="6754" spans="1:10">
      <x:c r="A6754" s="1" t="s">
        <x:v>6762</x:v>
      </x:c>
      <x:c r="B6754" s="1">
        <x:f>IFERROR(__xludf.DUMMYFUNCTION("""COMPUTED_VALUE"""),"Una estrella de Nadal")</x:f>
      </x:c>
      <x:c r="C6754" s="1">
        <x:f>IFERROR(__xludf.DUMMYFUNCTION("""COMPUTED_VALUE"""),"2016")</x:f>
      </x:c>
    </x:row>
    <x:row r="6755" spans="1:10">
      <x:c r="A6755" s="1" t="s">
        <x:v>6763</x:v>
      </x:c>
      <x:c r="B6755" s="1">
        <x:f>IFERROR(__xludf.DUMMYFUNCTION("""COMPUTED_VALUE"""),"Una expedició al soterrani dels faraons")</x:f>
      </x:c>
      <x:c r="C6755" s="1">
        <x:f>IFERROR(__xludf.DUMMYFUNCTION("""COMPUTED_VALUE"""),"2006")</x:f>
      </x:c>
    </x:row>
    <x:row r="6756" spans="1:10">
      <x:c r="A6756" s="1" t="s">
        <x:v>6764</x:v>
      </x:c>
      <x:c r="B6756" s="1">
        <x:f>IFERROR(__xludf.DUMMYFUNCTION("""COMPUTED_VALUE"""),"Una família amb classe")</x:f>
      </x:c>
      <x:c r="C6756" s="1">
        <x:f>IFERROR(__xludf.DUMMYFUNCTION("""COMPUTED_VALUE"""),"2008")</x:f>
      </x:c>
    </x:row>
    <x:row r="6757" spans="1:10">
      <x:c r="A6757" s="1" t="s">
        <x:v>6765</x:v>
      </x:c>
      <x:c r="B6757" s="1">
        <x:f>IFERROR(__xludf.DUMMYFUNCTION("""COMPUTED_VALUE"""),"Una família de lloguer")</x:f>
      </x:c>
      <x:c r="C6757" s="1">
        <x:f>IFERROR(__xludf.DUMMYFUNCTION("""COMPUTED_VALUE"""),"2015")</x:f>
      </x:c>
    </x:row>
    <x:row r="6758" spans="1:10">
      <x:c r="A6758" s="1" t="s">
        <x:v>6766</x:v>
      </x:c>
      <x:c r="B6758" s="1">
        <x:f>IFERROR(__xludf.DUMMYFUNCTION("""COMPUTED_VALUE"""),"Una família de superherois")</x:f>
      </x:c>
      <x:c r="C6758" s="1">
        <x:f>IFERROR(__xludf.DUMMYFUNCTION("""COMPUTED_VALUE"""),"2022")</x:f>
      </x:c>
    </x:row>
    <x:row r="6759" spans="1:10">
      <x:c r="A6759" s="1" t="s">
        <x:v>6767</x:v>
      </x:c>
      <x:c r="B6759" s="1">
        <x:f>IFERROR(__xludf.DUMMYFUNCTION("""COMPUTED_VALUE"""),"Una família de Tòquio")</x:f>
      </x:c>
      <x:c r="C6759" s="1">
        <x:f>IFERROR(__xludf.DUMMYFUNCTION("""COMPUTED_VALUE"""),"2013")</x:f>
      </x:c>
    </x:row>
    <x:row r="6760" spans="1:10">
      <x:c r="A6760" s="1" t="s">
        <x:v>6768</x:v>
      </x:c>
      <x:c r="B6760" s="1">
        <x:f>IFERROR(__xludf.DUMMYFUNCTION("""COMPUTED_VALUE"""),"Una festa que surt malament")</x:f>
      </x:c>
      <x:c r="C6760" s="1">
        <x:f>IFERROR(__xludf.DUMMYFUNCTION("""COMPUTED_VALUE"""),"2021")</x:f>
      </x:c>
    </x:row>
    <x:row r="6761" spans="1:10">
      <x:c r="A6761" s="1" t="s">
        <x:v>6769</x:v>
      </x:c>
      <x:c r="B6761" s="1">
        <x:f>IFERROR(__xludf.DUMMYFUNCTION("""COMPUTED_VALUE"""),"Una gran aventura")</x:f>
      </x:c>
      <x:c r="C6761" s="1">
        <x:f>IFERROR(__xludf.DUMMYFUNCTION("""COMPUTED_VALUE"""),"1984")</x:f>
      </x:c>
    </x:row>
    <x:row r="6762" spans="1:10">
      <x:c r="A6762" s="1" t="s">
        <x:v>6770</x:v>
      </x:c>
      <x:c r="B6762" s="1">
        <x:f>IFERROR(__xludf.DUMMYFUNCTION("""COMPUTED_VALUE"""),"Una habitació amb vista")</x:f>
      </x:c>
      <x:c r="C6762" s="1">
        <x:f>IFERROR(__xludf.DUMMYFUNCTION("""COMPUTED_VALUE"""),"1985")</x:f>
      </x:c>
    </x:row>
    <x:row r="6763" spans="1:10">
      <x:c r="A6763" s="1" t="s">
        <x:v>6771</x:v>
      </x:c>
      <x:c r="B6763" s="1">
        <x:f>IFERROR(__xludf.DUMMYFUNCTION("""COMPUTED_VALUE"""),"Una història de debò")</x:f>
      </x:c>
      <x:c r="C6763" s="1">
        <x:f>IFERROR(__xludf.DUMMYFUNCTION("""COMPUTED_VALUE"""),"1999")</x:f>
      </x:c>
    </x:row>
    <x:row r="6764" spans="1:10">
      <x:c r="A6764" s="1" t="s">
        <x:v>6772</x:v>
      </x:c>
      <x:c r="B6764" s="1">
        <x:f>IFERROR(__xludf.DUMMYFUNCTION("""COMPUTED_VALUE"""),"Una història de Salzburg")</x:f>
      </x:c>
      <x:c r="C6764" s="1">
        <x:f>IFERROR(__xludf.DUMMYFUNCTION("""COMPUTED_VALUE"""),"2018")</x:f>
      </x:c>
    </x:row>
    <x:row r="6765" spans="1:10">
      <x:c r="A6765" s="1" t="s">
        <x:v>6773</x:v>
      </x:c>
      <x:c r="B6765" s="1">
        <x:f>IFERROR(__xludf.DUMMYFUNCTION("""COMPUTED_VALUE"""),"Una història de violència")</x:f>
      </x:c>
      <x:c r="C6765" s="1">
        <x:f>IFERROR(__xludf.DUMMYFUNCTION("""COMPUTED_VALUE"""),"2005")</x:f>
      </x:c>
    </x:row>
    <x:row r="6766" spans="1:10">
      <x:c r="A6766" s="1" t="s">
        <x:v>6774</x:v>
      </x:c>
      <x:c r="B6766" s="1">
        <x:f>IFERROR(__xludf.DUMMYFUNCTION("""COMPUTED_VALUE"""),"Una història del Bronx")</x:f>
      </x:c>
      <x:c r="C6766" s="1">
        <x:f>IFERROR(__xludf.DUMMYFUNCTION("""COMPUTED_VALUE"""),"1993")</x:f>
      </x:c>
    </x:row>
    <x:row r="6767" spans="1:10">
      <x:c r="A6767" s="1" t="s">
        <x:v>6775</x:v>
      </x:c>
      <x:c r="B6767" s="1">
        <x:f>IFERROR(__xludf.DUMMYFUNCTION("""COMPUTED_VALUE"""),"Una historia xinesa de fantasmes")</x:f>
      </x:c>
      <x:c r="C6767" s="1">
        <x:f>IFERROR(__xludf.DUMMYFUNCTION("""COMPUTED_VALUE"""),"1987")</x:f>
      </x:c>
    </x:row>
    <x:row r="6768" spans="1:10">
      <x:c r="A6768" s="1" t="s">
        <x:v>6776</x:v>
      </x:c>
      <x:c r="B6768" s="1">
        <x:f>IFERROR(__xludf.DUMMYFUNCTION("""COMPUTED_VALUE"""),"Una íntima convicció")</x:f>
      </x:c>
      <x:c r="C6768" s="1">
        <x:f>IFERROR(__xludf.DUMMYFUNCTION("""COMPUTED_VALUE"""),"2018")</x:f>
      </x:c>
    </x:row>
    <x:row r="6769" spans="1:10">
      <x:c r="A6769" s="1" t="s">
        <x:v>6777</x:v>
      </x:c>
      <x:c r="B6769" s="1">
        <x:f>IFERROR(__xludf.DUMMYFUNCTION("""COMPUTED_VALUE"""),"Una línia fina - Kilian Jornet")</x:f>
      </x:c>
      <x:c r="C6769" s="1">
        <x:f>IFERROR(__xludf.DUMMYFUNCTION("""COMPUTED_VALUE"""),"2012")</x:f>
      </x:c>
    </x:row>
    <x:row r="6770" spans="1:10">
      <x:c r="A6770" s="1" t="s">
        <x:v>6778</x:v>
      </x:c>
      <x:c r="B6770" s="1">
        <x:f>IFERROR(__xludf.DUMMYFUNCTION("""COMPUTED_VALUE"""),"Una llengua que camina")</x:f>
      </x:c>
      <x:c r="C6770" s="1">
        <x:f>IFERROR(__xludf.DUMMYFUNCTION("""COMPUTED_VALUE"""),"2011")</x:f>
      </x:c>
    </x:row>
    <x:row r="6771" spans="1:10">
      <x:c r="A6771" s="1" t="s">
        <x:v>6779</x:v>
      </x:c>
      <x:c r="B6771" s="1">
        <x:f>IFERROR(__xludf.DUMMYFUNCTION("""COMPUTED_VALUE"""),"Una ment meravellosa")</x:f>
      </x:c>
      <x:c r="C6771" s="1">
        <x:f>IFERROR(__xludf.DUMMYFUNCTION("""COMPUTED_VALUE"""),"2001")</x:f>
      </x:c>
    </x:row>
    <x:row r="6772" spans="1:10">
      <x:c r="A6772" s="1" t="s">
        <x:v>6780</x:v>
      </x:c>
      <x:c r="B6772" s="1">
        <x:f>IFERROR(__xludf.DUMMYFUNCTION("""COMPUTED_VALUE"""),"Una mica gelosa")</x:f>
      </x:c>
      <x:c r="C6772" s="1">
        <x:f>IFERROR(__xludf.DUMMYFUNCTION("""COMPUTED_VALUE"""),"2017")</x:f>
      </x:c>
    </x:row>
    <x:row r="6773" spans="1:10">
      <x:c r="A6773" s="1" t="s">
        <x:v>6781</x:v>
      </x:c>
      <x:c r="B6773" s="1">
        <x:f>IFERROR(__xludf.DUMMYFUNCTION("""COMPUTED_VALUE"""),"Una nit a Casablanca")</x:f>
      </x:c>
      <x:c r="C6773" s="1">
        <x:f>IFERROR(__xludf.DUMMYFUNCTION("""COMPUTED_VALUE"""),"1946")</x:f>
      </x:c>
    </x:row>
    <x:row r="6774" spans="1:10">
      <x:c r="A6774" s="1" t="s">
        <x:v>6782</x:v>
      </x:c>
      <x:c r="B6774" s="1">
        <x:f>IFERROR(__xludf.DUMMYFUNCTION("""COMPUTED_VALUE"""),"Una nit a l'òpera")</x:f>
      </x:c>
      <x:c r="C6774" s="1">
        <x:f>IFERROR(__xludf.DUMMYFUNCTION("""COMPUTED_VALUE"""),"1935")</x:f>
      </x:c>
    </x:row>
    <x:row r="6775" spans="1:10">
      <x:c r="A6775" s="1" t="s">
        <x:v>6783</x:v>
      </x:c>
      <x:c r="B6775" s="1">
        <x:f>IFERROR(__xludf.DUMMYFUNCTION("""COMPUTED_VALUE"""),"Una nit al teatre")</x:f>
      </x:c>
      <x:c r="C6775" s="1">
        <x:f>IFERROR(__xludf.DUMMYFUNCTION("""COMPUTED_VALUE"""),"1915")</x:f>
      </x:c>
    </x:row>
    <x:row r="6776" spans="1:10">
      <x:c r="A6776" s="1" t="s">
        <x:v>6784</x:v>
      </x:c>
      <x:c r="B6776" s="1">
        <x:f>IFERROR(__xludf.DUMMYFUNCTION("""COMPUTED_VALUE"""),"Una nit d'òpera")</x:f>
      </x:c>
      <x:c r="C6776" s="1">
        <x:f>IFERROR(__xludf.DUMMYFUNCTION("""COMPUTED_VALUE"""),"2002")</x:f>
      </x:c>
    </x:row>
    <x:row r="6777" spans="1:10">
      <x:c r="A6777" s="1" t="s">
        <x:v>6785</x:v>
      </x:c>
      <x:c r="B6777" s="1">
        <x:f>IFERROR(__xludf.DUMMYFUNCTION("""COMPUTED_VALUE"""),"Una nit per sobreviure")</x:f>
      </x:c>
      <x:c r="C6777" s="1">
        <x:f>IFERROR(__xludf.DUMMYFUNCTION("""COMPUTED_VALUE"""),"2015")</x:f>
      </x:c>
    </x:row>
    <x:row r="6778" spans="1:10">
      <x:c r="A6778" s="1" t="s">
        <x:v>6786</x:v>
      </x:c>
      <x:c r="B6778" s="1">
        <x:f>IFERROR(__xludf.DUMMYFUNCTION("""COMPUTED_VALUE"""),"Una noia torna a casa sola de nit [VOSC]")</x:f>
      </x:c>
      <x:c r="C6778" s="1">
        <x:f>IFERROR(__xludf.DUMMYFUNCTION("""COMPUTED_VALUE"""),"2014")</x:f>
      </x:c>
    </x:row>
    <x:row r="6779" spans="1:10">
      <x:c r="A6779" s="1" t="s">
        <x:v>6787</x:v>
      </x:c>
      <x:c r="B6779" s="1">
        <x:f>IFERROR(__xludf.DUMMYFUNCTION("""COMPUTED_VALUE"""),"Una nova amiga")</x:f>
      </x:c>
      <x:c r="C6779" s="1">
        <x:f>IFERROR(__xludf.DUMMYFUNCTION("""COMPUTED_VALUE"""),"2014")</x:f>
      </x:c>
    </x:row>
    <x:row r="6780" spans="1:10">
      <x:c r="A6780" s="1" t="s">
        <x:v>6788</x:v>
      </x:c>
      <x:c r="B6780" s="1">
        <x:f>IFERROR(__xludf.DUMMYFUNCTION("""COMPUTED_VALUE"""),"Una nova vida")</x:f>
      </x:c>
      <x:c r="C6780" s="1">
        <x:f>IFERROR(__xludf.DUMMYFUNCTION("""COMPUTED_VALUE"""),"2010")</x:f>
      </x:c>
    </x:row>
    <x:row r="6781" spans="1:10">
      <x:c r="A6781" s="1" t="s">
        <x:v>6789</x:v>
      </x:c>
      <x:c r="B6781" s="1">
        <x:f>IFERROR(__xludf.DUMMYFUNCTION("""COMPUTED_VALUE"""),"Una nòvia per a dos")</x:f>
      </x:c>
      <x:c r="C6781" s="1">
        <x:f>IFERROR(__xludf.DUMMYFUNCTION("""COMPUTED_VALUE"""),"2008")</x:f>
      </x:c>
    </x:row>
    <x:row r="6782" spans="1:10">
      <x:c r="A6782" s="1" t="s">
        <x:v>6790</x:v>
      </x:c>
      <x:c r="B6782" s="1">
        <x:f>IFERROR(__xludf.DUMMYFUNCTION("""COMPUTED_VALUE"""),"Una núvia fora de sèrie")</x:f>
      </x:c>
      <x:c r="C6782" s="1">
        <x:f>IFERROR(__xludf.DUMMYFUNCTION("""COMPUTED_VALUE"""),"1993")</x:f>
      </x:c>
    </x:row>
    <x:row r="6783" spans="1:10">
      <x:c r="A6783" s="1" t="s">
        <x:v>6791</x:v>
      </x:c>
      <x:c r="B6783" s="1">
        <x:f>IFERROR(__xludf.DUMMYFUNCTION("""COMPUTED_VALUE"""),"Una parella de tres")</x:f>
      </x:c>
      <x:c r="C6783" s="1">
        <x:f>IFERROR(__xludf.DUMMYFUNCTION("""COMPUTED_VALUE"""),"2008")</x:f>
      </x:c>
    </x:row>
    <x:row r="6784" spans="1:10">
      <x:c r="A6784" s="1" t="s">
        <x:v>6792</x:v>
      </x:c>
      <x:c r="B6784" s="1">
        <x:f>IFERROR(__xludf.DUMMYFUNCTION("""COMPUTED_VALUE"""),"Una pastisseria a Notting Hill")</x:f>
      </x:c>
      <x:c r="C6784" s="1">
        <x:f>IFERROR(__xludf.DUMMYFUNCTION("""COMPUTED_VALUE"""),"2020")</x:f>
      </x:c>
    </x:row>
    <x:row r="6785" spans="1:10">
      <x:c r="A6785" s="1" t="s">
        <x:v>6793</x:v>
      </x:c>
      <x:c r="B6785" s="1">
        <x:f>IFERROR(__xludf.DUMMYFUNCTION("""COMPUTED_VALUE"""),"Una pel·lícula de Minecraft")</x:f>
      </x:c>
      <x:c r="C6785" s="1">
        <x:f>IFERROR(__xludf.DUMMYFUNCTION("""COMPUTED_VALUE"""),"2025")</x:f>
      </x:c>
    </x:row>
    <x:row r="6786" spans="1:10">
      <x:c r="A6786" s="1" t="s">
        <x:v>6794</x:v>
      </x:c>
      <x:c r="B6786" s="1">
        <x:f>IFERROR(__xludf.DUMMYFUNCTION("""COMPUTED_VALUE"""),"Una píndola amarga")</x:f>
      </x:c>
      <x:c r="C6786" s="1">
        <x:f>IFERROR(__xludf.DUMMYFUNCTION("""COMPUTED_VALUE"""),"2019")</x:f>
      </x:c>
    </x:row>
    <x:row r="6787" spans="1:10">
      <x:c r="A6787" s="1" t="s">
        <x:v>6795</x:v>
      </x:c>
      <x:c r="B6787" s="1">
        <x:f>IFERROR(__xludf.DUMMYFUNCTION("""COMPUTED_VALUE"""),"Una pistola a cada mà")</x:f>
      </x:c>
      <x:c r="C6787" s="1">
        <x:f>IFERROR(__xludf.DUMMYFUNCTION("""COMPUTED_VALUE"""),"2012")</x:f>
      </x:c>
    </x:row>
    <x:row r="6788" spans="1:10">
      <x:c r="A6788" s="1" t="s">
        <x:v>6796</x:v>
      </x:c>
      <x:c r="B6788" s="1">
        <x:f>IFERROR(__xludf.DUMMYFUNCTION("""COMPUTED_VALUE"""),"Una pistola a l'alba")</x:f>
      </x:c>
      <x:c r="C6788" s="1">
        <x:f>IFERROR(__xludf.DUMMYFUNCTION("""COMPUTED_VALUE"""),"1956")</x:f>
      </x:c>
    </x:row>
    <x:row r="6789" spans="1:10">
      <x:c r="A6789" s="1" t="s">
        <x:v>6797</x:v>
      </x:c>
      <x:c r="B6789" s="1">
        <x:f>IFERROR(__xludf.DUMMYFUNCTION("""COMPUTED_VALUE"""),"Una proposició indecent")</x:f>
      </x:c>
      <x:c r="C6789" s="1">
        <x:f>IFERROR(__xludf.DUMMYFUNCTION("""COMPUTED_VALUE"""),"1993")</x:f>
      </x:c>
    </x:row>
    <x:row r="6790" spans="1:10">
      <x:c r="A6790" s="1" t="s">
        <x:v>6798</x:v>
      </x:c>
      <x:c r="B6790" s="1">
        <x:f>IFERROR(__xludf.DUMMYFUNCTION("""COMPUTED_VALUE"""),"Una qüestió d'honor")</x:f>
      </x:c>
      <x:c r="C6790" s="1">
        <x:f>IFERROR(__xludf.DUMMYFUNCTION("""COMPUTED_VALUE"""),"2008")</x:f>
      </x:c>
    </x:row>
    <x:row r="6791" spans="1:10">
      <x:c r="A6791" s="1" t="s">
        <x:v>6799</x:v>
      </x:c>
      <x:c r="B6791" s="1">
        <x:f>IFERROR(__xludf.DUMMYFUNCTION("""COMPUTED_VALUE"""),"Una rossa molt legal")</x:f>
      </x:c>
      <x:c r="C6791" s="1">
        <x:f>IFERROR(__xludf.DUMMYFUNCTION("""COMPUTED_VALUE"""),"2001")</x:f>
      </x:c>
    </x:row>
    <x:row r="6792" spans="1:10">
      <x:c r="A6792" s="1" t="s">
        <x:v>6800</x:v>
      </x:c>
      <x:c r="B6792" s="1">
        <x:f>IFERROR(__xludf.DUMMYFUNCTION("""COMPUTED_VALUE"""),"Una rossa molt legal 2")</x:f>
      </x:c>
      <x:c r="C6792" s="1">
        <x:f>IFERROR(__xludf.DUMMYFUNCTION("""COMPUTED_VALUE"""),"2003")</x:f>
      </x:c>
    </x:row>
    <x:row r="6793" spans="1:10">
      <x:c r="A6793" s="1" t="s">
        <x:v>6801</x:v>
      </x:c>
      <x:c r="B6793" s="1">
        <x:f>IFERROR(__xludf.DUMMYFUNCTION("""COMPUTED_VALUE"""),"Una tarda al circ")</x:f>
      </x:c>
      <x:c r="C6793" s="1">
        <x:f>IFERROR(__xludf.DUMMYFUNCTION("""COMPUTED_VALUE"""),"1939")</x:f>
      </x:c>
    </x:row>
    <x:row r="6794" spans="1:10">
      <x:c r="A6794" s="1" t="s">
        <x:v>6802</x:v>
      </x:c>
      <x:c r="B6794" s="1">
        <x:f>IFERROR(__xludf.DUMMYFUNCTION("""COMPUTED_VALUE"""),"Una teràpia perillosa")</x:f>
      </x:c>
      <x:c r="C6794" s="1">
        <x:f>IFERROR(__xludf.DUMMYFUNCTION("""COMPUTED_VALUE"""),"1999")</x:f>
      </x:c>
    </x:row>
    <x:row r="6795" spans="1:10">
      <x:c r="A6795" s="1" t="s">
        <x:v>6803</x:v>
      </x:c>
      <x:c r="B6795" s="1">
        <x:f>IFERROR(__xludf.DUMMYFUNCTION("""COMPUTED_VALUE"""),"Una trobada prometedora")</x:f>
      </x:c>
      <x:c r="C6795" s="1">
        <x:f>IFERROR(__xludf.DUMMYFUNCTION("""COMPUTED_VALUE"""),"2013")</x:f>
      </x:c>
    </x:row>
    <x:row r="6796" spans="1:10">
      <x:c r="A6796" s="1" t="s">
        <x:v>6804</x:v>
      </x:c>
      <x:c r="B6796" s="1">
        <x:f>IFERROR(__xludf.DUMMYFUNCTION("""COMPUTED_VALUE"""),"Una trompeta llunyana")</x:f>
      </x:c>
      <x:c r="C6796" s="1">
        <x:f>IFERROR(__xludf.DUMMYFUNCTION("""COMPUTED_VALUE"""),"1964")</x:f>
      </x:c>
    </x:row>
    <x:row r="6797" spans="1:10">
      <x:c r="A6797" s="1" t="s">
        <x:v>6805</x:v>
      </x:c>
      <x:c r="B6797" s="1">
        <x:f>IFERROR(__xludf.DUMMYFUNCTION("""COMPUTED_VALUE"""),"Una vegada ho saps [VOSC]")</x:f>
      </x:c>
      <x:c r="C6797" s="1">
        <x:f>IFERROR(__xludf.DUMMYFUNCTION("""COMPUTED_VALUE"""),"2020")</x:f>
      </x:c>
    </x:row>
    <x:row r="6798" spans="1:10">
      <x:c r="A6798" s="1" t="s">
        <x:v>6806</x:v>
      </x:c>
      <x:c r="B6798" s="1">
        <x:f>IFERROR(__xludf.DUMMYFUNCTION("""COMPUTED_VALUE"""),"Una veritat amagada")</x:f>
      </x:c>
      <x:c r="C6798" s="1">
        <x:f>IFERROR(__xludf.DUMMYFUNCTION("""COMPUTED_VALUE"""),"2016")</x:f>
      </x:c>
    </x:row>
    <x:row r="6799" spans="1:10">
      <x:c r="A6799" s="1" t="s">
        <x:v>6807</x:v>
      </x:c>
      <x:c r="B6799" s="1">
        <x:f>IFERROR(__xludf.DUMMYFUNCTION("""COMPUTED_VALUE"""),"Una vida excepcional")</x:f>
      </x:c>
      <x:c r="C6799" s="1">
        <x:f>IFERROR(__xludf.DUMMYFUNCTION("""COMPUTED_VALUE"""),"2016")</x:f>
      </x:c>
    </x:row>
    <x:row r="6800" spans="1:10">
      <x:c r="A6800" s="1" t="s">
        <x:v>6808</x:v>
      </x:c>
      <x:c r="B6800" s="1">
        <x:f>IFERROR(__xludf.DUMMYFUNCTION("""COMPUTED_VALUE"""),"Una vida millor")</x:f>
      </x:c>
      <x:c r="C6800" s="1">
        <x:f>IFERROR(__xludf.DUMMYFUNCTION("""COMPUTED_VALUE"""),"2011")</x:f>
      </x:c>
    </x:row>
    <x:row r="6801" spans="1:10">
      <x:c r="A6801" s="1" t="s">
        <x:v>6809</x:v>
      </x:c>
      <x:c r="B6801" s="1">
        <x:f>IFERROR(__xludf.DUMMYFUNCTION("""COMPUTED_VALUE"""),"Una vida senzilla")</x:f>
      </x:c>
      <x:c r="C6801" s="1">
        <x:f>IFERROR(__xludf.DUMMYFUNCTION("""COMPUTED_VALUE"""),"2011")</x:f>
      </x:c>
    </x:row>
    <x:row r="6802" spans="1:10">
      <x:c r="A6802" s="1" t="s">
        <x:v>6810</x:v>
      </x:c>
      <x:c r="B6802" s="1">
        <x:f>IFERROR(__xludf.DUMMYFUNCTION("""COMPUTED_VALUE"""),"Una vil·la a la Toscana")</x:f>
      </x:c>
      <x:c r="C6802" s="1">
        <x:f>IFERROR(__xludf.DUMMYFUNCTION("""COMPUTED_VALUE"""),"2020")</x:f>
      </x:c>
    </x:row>
    <x:row r="6803" spans="1:10">
      <x:c r="A6803" s="1" t="s">
        <x:v>6811</x:v>
      </x:c>
      <x:c r="B6803" s="1">
        <x:f>IFERROR(__xludf.DUMMYFUNCTION("""COMPUTED_VALUE"""),"Unboxing Girl")</x:f>
      </x:c>
      <x:c r="C6803" s="1">
        <x:f>IFERROR(__xludf.DUMMYFUNCTION("""COMPUTED_VALUE"""),"2020")</x:f>
      </x:c>
    </x:row>
    <x:row r="6804" spans="1:10">
      <x:c r="A6804" s="1" t="s">
        <x:v>6812</x:v>
      </x:c>
      <x:c r="B6804" s="1">
        <x:f>IFERROR(__xludf.DUMMYFUNCTION("""COMPUTED_VALUE"""),"Underworld 1")</x:f>
      </x:c>
      <x:c r="C6804" s="1">
        <x:f>IFERROR(__xludf.DUMMYFUNCTION("""COMPUTED_VALUE"""),"2003")</x:f>
      </x:c>
    </x:row>
    <x:row r="6805" spans="1:10">
      <x:c r="A6805" s="1" t="s">
        <x:v>6813</x:v>
      </x:c>
      <x:c r="B6805" s="1">
        <x:f>IFERROR(__xludf.DUMMYFUNCTION("""COMPUTED_VALUE"""),"Underworld 2 - Evolution")</x:f>
      </x:c>
      <x:c r="C6805" s="1">
        <x:f>IFERROR(__xludf.DUMMYFUNCTION("""COMPUTED_VALUE"""),"2006")</x:f>
      </x:c>
    </x:row>
    <x:row r="6806" spans="1:10">
      <x:c r="A6806" s="1" t="s">
        <x:v>6814</x:v>
      </x:c>
      <x:c r="B6806" s="1">
        <x:f>IFERROR(__xludf.DUMMYFUNCTION("""COMPUTED_VALUE"""),"Underworld 3 - La rebel·lió dels licantrops")</x:f>
      </x:c>
      <x:c r="C6806" s="1">
        <x:f>IFERROR(__xludf.DUMMYFUNCTION("""COMPUTED_VALUE"""),"2009")</x:f>
      </x:c>
    </x:row>
    <x:row r="6807" spans="1:10">
      <x:c r="A6807" s="1" t="s">
        <x:v>6815</x:v>
      </x:c>
      <x:c r="B6807" s="1">
        <x:f>IFERROR(__xludf.DUMMYFUNCTION("""COMPUTED_VALUE"""),"Underworld 4 - El despertar")</x:f>
      </x:c>
      <x:c r="C6807" s="1">
        <x:f>IFERROR(__xludf.DUMMYFUNCTION("""COMPUTED_VALUE"""),"2012")</x:f>
      </x:c>
    </x:row>
    <x:row r="6808" spans="1:10">
      <x:c r="A6808" s="1" t="s">
        <x:v>6816</x:v>
      </x:c>
      <x:c r="B6808" s="1">
        <x:f>IFERROR(__xludf.DUMMYFUNCTION("""COMPUTED_VALUE"""),"Unicorns")</x:f>
      </x:c>
      <x:c r="C6808" s="1">
        <x:f>IFERROR(__xludf.DUMMYFUNCTION("""COMPUTED_VALUE"""),"2023")</x:f>
      </x:c>
    </x:row>
    <x:row r="6809" spans="1:10">
      <x:c r="A6809" s="1" t="s">
        <x:v>6817</x:v>
      </x:c>
      <x:c r="B6809" s="1">
        <x:f>IFERROR(__xludf.DUMMYFUNCTION("""COMPUTED_VALUE"""),"Unides per un assassí")</x:f>
      </x:c>
      <x:c r="C6809" s="1">
        <x:f>IFERROR(__xludf.DUMMYFUNCTION("""COMPUTED_VALUE"""),"2017")</x:f>
      </x:c>
    </x:row>
    <x:row r="6810" spans="1:10">
      <x:c r="A6810" s="1" t="s">
        <x:v>6818</x:v>
      </x:c>
      <x:c r="B6810" s="1">
        <x:f>IFERROR(__xludf.DUMMYFUNCTION("""COMPUTED_VALUE"""),"Universal i faraona")</x:f>
      </x:c>
      <x:c r="C6810" s="1">
        <x:f>IFERROR(__xludf.DUMMYFUNCTION("""COMPUTED_VALUE"""),"2018")</x:f>
      </x:c>
    </x:row>
    <x:row r="6811" spans="1:10">
      <x:c r="A6811" s="1" t="s">
        <x:v>6819</x:v>
      </x:c>
      <x:c r="B6811" s="1">
        <x:f>IFERROR(__xludf.DUMMYFUNCTION("""COMPUTED_VALUE"""),"Uns dies per recordar")</x:f>
      </x:c>
      <x:c r="C6811" s="1">
        <x:f>IFERROR(__xludf.DUMMYFUNCTION("""COMPUTED_VALUE"""),"2014")</x:f>
      </x:c>
    </x:row>
    <x:row r="6812" spans="1:10">
      <x:c r="A6812" s="1" t="s">
        <x:v>6820</x:v>
      </x:c>
      <x:c r="B6812" s="1">
        <x:f>IFERROR(__xludf.DUMMYFUNCTION("""COMPUTED_VALUE"""),"Uns quants dies de setembre")</x:f>
      </x:c>
      <x:c r="C6812" s="1">
        <x:f>IFERROR(__xludf.DUMMYFUNCTION("""COMPUTED_VALUE"""),"2006")</x:f>
      </x:c>
    </x:row>
    <x:row r="6813" spans="1:10">
      <x:c r="A6813" s="1" t="s">
        <x:v>6821</x:v>
      </x:c>
      <x:c r="B6813" s="1">
        <x:f>IFERROR(__xludf.DUMMYFUNCTION("""COMPUTED_VALUE"""),"Up")</x:f>
      </x:c>
      <x:c r="C6813" s="1">
        <x:f>IFERROR(__xludf.DUMMYFUNCTION("""COMPUTED_VALUE"""),"2009")</x:f>
      </x:c>
    </x:row>
    <x:row r="6814" spans="1:10">
      <x:c r="A6814" s="1" t="s">
        <x:v>6822</x:v>
      </x:c>
      <x:c r="B6814" s="1">
        <x:f>IFERROR(__xludf.DUMMYFUNCTION("""COMPUTED_VALUE"""),"Upon entry (L'arribada)")</x:f>
      </x:c>
      <x:c r="C6814" s="1">
        <x:f>IFERROR(__xludf.DUMMYFUNCTION("""COMPUTED_VALUE"""),"2023")</x:f>
      </x:c>
    </x:row>
    <x:row r="6815" spans="1:10">
      <x:c r="A6815" s="1" t="s">
        <x:v>6823</x:v>
      </x:c>
      <x:c r="B6815" s="1">
        <x:f>IFERROR(__xludf.DUMMYFUNCTION("""COMPUTED_VALUE"""),"Upsss! 2: I ara on és Noè? L’aventura continua")</x:f>
      </x:c>
      <x:c r="C6815" s="1">
        <x:f>IFERROR(__xludf.DUMMYFUNCTION("""COMPUTED_VALUE"""),"2020")</x:f>
      </x:c>
    </x:row>
    <x:row r="6816" spans="1:10">
      <x:c r="A6816" s="1" t="s">
        <x:v>6824</x:v>
      </x:c>
      <x:c r="B6816" s="1">
        <x:f>IFERROR(__xludf.DUMMYFUNCTION("""COMPUTED_VALUE"""),"Upsss! on s'ha ficat, Noè?")</x:f>
      </x:c>
      <x:c r="C6816" s="1">
        <x:f>IFERROR(__xludf.DUMMYFUNCTION("""COMPUTED_VALUE"""),"2015")</x:f>
      </x:c>
    </x:row>
    <x:row r="6817" spans="1:10">
      <x:c r="A6817" s="1" t="s">
        <x:v>6825</x:v>
      </x:c>
      <x:c r="B6817" s="1">
        <x:f>IFERROR(__xludf.DUMMYFUNCTION("""COMPUTED_VALUE"""),"Us he de dir una cosa")</x:f>
      </x:c>
      <x:c r="C6817" s="1">
        <x:f>IFERROR(__xludf.DUMMYFUNCTION("""COMPUTED_VALUE"""),"2010")</x:f>
      </x:c>
    </x:row>
    <x:row r="6818" spans="1:10">
      <x:c r="A6818" s="1" t="s">
        <x:v>6826</x:v>
      </x:c>
      <x:c r="B6818" s="1">
        <x:f>IFERROR(__xludf.DUMMYFUNCTION("""COMPUTED_VALUE"""),"US Marshals")</x:f>
      </x:c>
      <x:c r="C6818" s="1">
        <x:f>IFERROR(__xludf.DUMMYFUNCTION("""COMPUTED_VALUE"""),"1998")</x:f>
      </x:c>
    </x:row>
    <x:row r="6819" spans="1:10">
      <x:c r="A6819" s="1" t="s">
        <x:v>6827</x:v>
      </x:c>
      <x:c r="B6819" s="1">
        <x:f>IFERROR(__xludf.DUMMYFUNCTION("""COMPUTED_VALUE"""),"Utena, la noia revolucionària. Apocalipsi adolescent.")</x:f>
      </x:c>
      <x:c r="C6819" s="1">
        <x:f>IFERROR(__xludf.DUMMYFUNCTION("""COMPUTED_VALUE"""),"1999")</x:f>
      </x:c>
    </x:row>
    <x:row r="6820" spans="1:10">
      <x:c r="A6820" s="1" t="s">
        <x:v>6828</x:v>
      </x:c>
      <x:c r="B6820" s="1">
        <x:f>IFERROR(__xludf.DUMMYFUNCTION("""COMPUTED_VALUE"""),"Utøya 22 de juliol")</x:f>
      </x:c>
      <x:c r="C6820" s="1">
        <x:f>IFERROR(__xludf.DUMMYFUNCTION("""COMPUTED_VALUE"""),"2018")</x:f>
      </x:c>
    </x:row>
    <x:row r="6821" spans="1:10">
      <x:c r="A6821" s="1" t="s">
        <x:v>6829</x:v>
      </x:c>
      <x:c r="B6821" s="1">
        <x:f>IFERROR(__xludf.DUMMYFUNCTION("""COMPUTED_VALUE"""),"V de Vendetta")</x:f>
      </x:c>
      <x:c r="C6821" s="1">
        <x:f>IFERROR(__xludf.DUMMYFUNCTION("""COMPUTED_VALUE"""),"2005")</x:f>
      </x:c>
    </x:row>
    <x:row r="6822" spans="1:10">
      <x:c r="A6822" s="1" t="s">
        <x:v>6830</x:v>
      </x:c>
      <x:c r="B6822" s="1">
        <x:f>IFERROR(__xludf.DUMMYFUNCTION("""COMPUTED_VALUE"""),"V.O.S.")</x:f>
      </x:c>
      <x:c r="C6822" s="1">
        <x:f>IFERROR(__xludf.DUMMYFUNCTION("""COMPUTED_VALUE"""),"2009")</x:f>
      </x:c>
    </x:row>
    <x:row r="6823" spans="1:10">
      <x:c r="A6823" s="1" t="s">
        <x:v>6831</x:v>
      </x:c>
      <x:c r="B6823" s="1">
        <x:f>IFERROR(__xludf.DUMMYFUNCTION("""COMPUTED_VALUE"""),"Va desafiar la mort")</x:f>
      </x:c>
      <x:c r="C6823" s="1">
        <x:f>IFERROR(__xludf.DUMMYFUNCTION("""COMPUTED_VALUE"""),"2007")</x:f>
      </x:c>
    </x:row>
    <x:row r="6824" spans="1:10">
      <x:c r="A6824" s="1" t="s">
        <x:v>6832</x:v>
      </x:c>
      <x:c r="B6824" s="1">
        <x:f>IFERROR(__xludf.DUMMYFUNCTION("""COMPUTED_VALUE"""),"Va passar a Manhattan")</x:f>
      </x:c>
      <x:c r="C6824" s="1">
        <x:f>IFERROR(__xludf.DUMMYFUNCTION("""COMPUTED_VALUE"""),"2002")</x:f>
      </x:c>
    </x:row>
    <x:row r="6825" spans="1:10">
      <x:c r="A6825" s="1" t="s">
        <x:v>6833</x:v>
      </x:c>
      <x:c r="B6825" s="1">
        <x:f>IFERROR(__xludf.DUMMYFUNCTION("""COMPUTED_VALUE"""),"Va passar ahir a la nit")</x:f>
      </x:c>
      <x:c r="C6825" s="1">
        <x:f>IFERROR(__xludf.DUMMYFUNCTION("""COMPUTED_VALUE"""),"1986")</x:f>
      </x:c>
    </x:row>
    <x:row r="6826" spans="1:10">
      <x:c r="A6826" s="1" t="s">
        <x:v>6834</x:v>
      </x:c>
      <x:c r="B6826" s="1">
        <x:f>IFERROR(__xludf.DUMMYFUNCTION("""COMPUTED_VALUE"""),"Vacances")</x:f>
      </x:c>
      <x:c r="C6826" s="1">
        <x:f>IFERROR(__xludf.DUMMYFUNCTION("""COMPUTED_VALUE"""),"2015")</x:f>
      </x:c>
    </x:row>
    <x:row r="6827" spans="1:10">
      <x:c r="A6827" s="1" t="s">
        <x:v>6835</x:v>
      </x:c>
      <x:c r="B6827" s="1">
        <x:f>IFERROR(__xludf.DUMMYFUNCTION("""COMPUTED_VALUE"""),"Vacances a Àfrica")</x:f>
      </x:c>
      <x:c r="C6827" s="1">
        <x:f>IFERROR(__xludf.DUMMYFUNCTION("""COMPUTED_VALUE"""),"2021")</x:f>
      </x:c>
    </x:row>
    <x:row r="6828" spans="1:10">
      <x:c r="A6828" s="1" t="s">
        <x:v>6836</x:v>
      </x:c>
      <x:c r="B6828" s="1">
        <x:f>IFERROR(__xludf.DUMMYFUNCTION("""COMPUTED_VALUE"""),"Vacances a l'infern")</x:f>
      </x:c>
      <x:c r="C6828" s="1">
        <x:f>IFERROR(__xludf.DUMMYFUNCTION("""COMPUTED_VALUE"""),"2012")</x:f>
      </x:c>
    </x:row>
    <x:row r="6829" spans="1:10">
      <x:c r="A6829" s="1" t="s">
        <x:v>6837</x:v>
      </x:c>
      <x:c r="B6829" s="1">
        <x:f>IFERROR(__xludf.DUMMYFUNCTION("""COMPUTED_VALUE"""),"Vacances amb la mare")</x:f>
      </x:c>
      <x:c r="C6829" s="1">
        <x:f>IFERROR(__xludf.DUMMYFUNCTION("""COMPUTED_VALUE"""),"2018")</x:f>
      </x:c>
    </x:row>
    <x:row r="6830" spans="1:10">
      <x:c r="A6830" s="1" t="s">
        <x:v>6838</x:v>
      </x:c>
      <x:c r="B6830" s="1">
        <x:f>IFERROR(__xludf.DUMMYFUNCTION("""COMPUTED_VALUE"""),"Vaiana")</x:f>
      </x:c>
      <x:c r="C6830" s="1">
        <x:f>IFERROR(__xludf.DUMMYFUNCTION("""COMPUTED_VALUE"""),"2016")</x:f>
      </x:c>
    </x:row>
    <x:row r="6831" spans="1:10">
      <x:c r="A6831" s="1" t="s">
        <x:v>6839</x:v>
      </x:c>
      <x:c r="B6831" s="1">
        <x:f>IFERROR(__xludf.DUMMYFUNCTION("""COMPUTED_VALUE"""),"Vaiana 2")</x:f>
      </x:c>
      <x:c r="C6831" s="1">
        <x:f>IFERROR(__xludf.DUMMYFUNCTION("""COMPUTED_VALUE"""),"2024")</x:f>
      </x:c>
    </x:row>
    <x:row r="6832" spans="1:10">
      <x:c r="A6832" s="1" t="s">
        <x:v>6840</x:v>
      </x:c>
      <x:c r="B6832" s="1">
        <x:f>IFERROR(__xludf.DUMMYFUNCTION("""COMPUTED_VALUE"""),"Valenciana")</x:f>
      </x:c>
      <x:c r="C6832" s="1">
        <x:f>IFERROR(__xludf.DUMMYFUNCTION("""COMPUTED_VALUE"""),"2024")</x:f>
      </x:c>
    </x:row>
    <x:row r="6833" spans="1:10">
      <x:c r="A6833" s="1" t="s">
        <x:v>6841</x:v>
      </x:c>
      <x:c r="B6833" s="1">
        <x:f>IFERROR(__xludf.DUMMYFUNCTION("""COMPUTED_VALUE"""),"Valencians de Mallorca")</x:f>
      </x:c>
      <x:c r="C6833" s="1">
        <x:f>IFERROR(__xludf.DUMMYFUNCTION("""COMPUTED_VALUE"""),"2011")</x:f>
      </x:c>
    </x:row>
    <x:row r="6834" spans="1:10">
      <x:c r="A6834" s="1" t="s">
        <x:v>6842</x:v>
      </x:c>
      <x:c r="B6834" s="1">
        <x:f>IFERROR(__xludf.DUMMYFUNCTION("""COMPUTED_VALUE"""),"Valentín")</x:f>
      </x:c>
      <x:c r="C6834" s="1">
        <x:f>IFERROR(__xludf.DUMMYFUNCTION("""COMPUTED_VALUE"""),"2002")</x:f>
      </x:c>
    </x:row>
    <x:row r="6835" spans="1:10">
      <x:c r="A6835" s="1" t="s">
        <x:v>6843</x:v>
      </x:c>
      <x:c r="B6835" s="1">
        <x:f>IFERROR(__xludf.DUMMYFUNCTION("""COMPUTED_VALUE"""),"Valèria")</x:f>
      </x:c>
      <x:c r="C6835" s="1">
        <x:f>IFERROR(__xludf.DUMMYFUNCTION("""COMPUTED_VALUE"""),"2001")</x:f>
      </x:c>
    </x:row>
    <x:row r="6836" spans="1:10">
      <x:c r="A6836" s="1" t="s">
        <x:v>6844</x:v>
      </x:c>
      <x:c r="B6836" s="1">
        <x:f>IFERROR(__xludf.DUMMYFUNCTION("""COMPUTED_VALUE"""),"Valerian i la ciutat dels mil planetes")</x:f>
      </x:c>
      <x:c r="C6836" s="1">
        <x:f>IFERROR(__xludf.DUMMYFUNCTION("""COMPUTED_VALUE"""),"2017")</x:f>
      </x:c>
    </x:row>
    <x:row r="6837" spans="1:10">
      <x:c r="A6837" s="1" t="s">
        <x:v>6845</x:v>
      </x:c>
      <x:c r="B6837" s="1">
        <x:f>IFERROR(__xludf.DUMMYFUNCTION("""COMPUTED_VALUE"""),"Valmont")</x:f>
      </x:c>
      <x:c r="C6837" s="1">
        <x:f>IFERROR(__xludf.DUMMYFUNCTION("""COMPUTED_VALUE"""),"1989")</x:f>
      </x:c>
    </x:row>
    <x:row r="6838" spans="1:10">
      <x:c r="A6838" s="1" t="s">
        <x:v>6846</x:v>
      </x:c>
      <x:c r="B6838" s="1">
        <x:f>IFERROR(__xludf.DUMMYFUNCTION("""COMPUTED_VALUE"""),"Valors ocults")</x:f>
      </x:c>
      <x:c r="C6838" s="1">
        <x:f>IFERROR(__xludf.DUMMYFUNCTION("""COMPUTED_VALUE"""),"2016")</x:f>
      </x:c>
    </x:row>
    <x:row r="6839" spans="1:10">
      <x:c r="A6839" s="1" t="s">
        <x:v>6847</x:v>
      </x:c>
      <x:c r="B6839" s="1">
        <x:f>IFERROR(__xludf.DUMMYFUNCTION("""COMPUTED_VALUE"""),"Valquíria")</x:f>
      </x:c>
      <x:c r="C6839" s="1">
        <x:f>IFERROR(__xludf.DUMMYFUNCTION("""COMPUTED_VALUE"""),"2008")</x:f>
      </x:c>
    </x:row>
    <x:row r="6840" spans="1:10">
      <x:c r="A6840" s="1" t="s">
        <x:v>6848</x:v>
      </x:c>
      <x:c r="B6840" s="1">
        <x:f>IFERROR(__xludf.DUMMYFUNCTION("""COMPUTED_VALUE"""),"Vampirs, de John Carpenter")</x:f>
      </x:c>
      <x:c r="C6840" s="1">
        <x:f>IFERROR(__xludf.DUMMYFUNCTION("""COMPUTED_VALUE"""),"1998")</x:f>
      </x:c>
    </x:row>
    <x:row r="6841" spans="1:10">
      <x:c r="A6841" s="1" t="s">
        <x:v>6849</x:v>
      </x:c>
      <x:c r="B6841" s="1">
        <x:f>IFERROR(__xludf.DUMMYFUNCTION("""COMPUTED_VALUE"""),"Van disparar al pianista")</x:f>
      </x:c>
      <x:c r="C6841" s="1">
        <x:f>IFERROR(__xludf.DUMMYFUNCTION("""COMPUTED_VALUE"""),"2023")</x:f>
      </x:c>
    </x:row>
    <x:row r="6842" spans="1:10">
      <x:c r="A6842" s="1" t="s">
        <x:v>6850</x:v>
      </x:c>
      <x:c r="B6842" s="1">
        <x:f>IFERROR(__xludf.DUMMYFUNCTION("""COMPUTED_VALUE"""),"Van Gogh, la passió de viure")</x:f>
      </x:c>
      <x:c r="C6842" s="1">
        <x:f>IFERROR(__xludf.DUMMYFUNCTION("""COMPUTED_VALUE"""),"1956")</x:f>
      </x:c>
    </x:row>
    <x:row r="6843" spans="1:10">
      <x:c r="A6843" s="1" t="s">
        <x:v>6851</x:v>
      </x:c>
      <x:c r="B6843" s="1">
        <x:f>IFERROR(__xludf.DUMMYFUNCTION("""COMPUTED_VALUE"""),"Vasil")</x:f>
      </x:c>
      <x:c r="C6843" s="1">
        <x:f>IFERROR(__xludf.DUMMYFUNCTION("""COMPUTED_VALUE"""),"2022")</x:f>
      </x:c>
    </x:row>
    <x:row r="6844" spans="1:10">
      <x:c r="A6844" s="1" t="s">
        <x:v>6852</x:v>
      </x:c>
      <x:c r="B6844" s="1">
        <x:f>IFERROR(__xludf.DUMMYFUNCTION("""COMPUTED_VALUE"""),"Veïns invasors")</x:f>
      </x:c>
      <x:c r="C6844" s="1">
        <x:f>IFERROR(__xludf.DUMMYFUNCTION("""COMPUTED_VALUE"""),"2006")</x:f>
      </x:c>
    </x:row>
    <x:row r="6845" spans="1:10">
      <x:c r="A6845" s="1" t="s">
        <x:v>6853</x:v>
      </x:c>
      <x:c r="B6845" s="1">
        <x:f>IFERROR(__xludf.DUMMYFUNCTION("""COMPUTED_VALUE"""),"Vellut blau")</x:f>
      </x:c>
      <x:c r="C6845" s="1">
        <x:f>IFERROR(__xludf.DUMMYFUNCTION("""COMPUTED_VALUE"""),"1986")</x:f>
      </x:c>
    </x:row>
    <x:row r="6846" spans="1:10">
      <x:c r="A6846" s="1" t="s">
        <x:v>6854</x:v>
      </x:c>
      <x:c r="B6846" s="1">
        <x:f>IFERROR(__xludf.DUMMYFUNCTION("""COMPUTED_VALUE"""),"Velvet Goldmine")</x:f>
      </x:c>
      <x:c r="C6846" s="1">
        <x:f>IFERROR(__xludf.DUMMYFUNCTION("""COMPUTED_VALUE"""),"1998")</x:f>
      </x:c>
    </x:row>
    <x:row r="6847" spans="1:10">
      <x:c r="A6847" s="1" t="s">
        <x:v>6855</x:v>
      </x:c>
      <x:c r="B6847" s="1">
        <x:f>IFERROR(__xludf.DUMMYFUNCTION("""COMPUTED_VALUE"""),"Vèncer")</x:f>
      </x:c>
      <x:c r="C6847" s="1">
        <x:f>IFERROR(__xludf.DUMMYFUNCTION("""COMPUTED_VALUE"""),"2009")</x:f>
      </x:c>
    </x:row>
    <x:row r="6848" spans="1:10">
      <x:c r="A6848" s="1" t="s">
        <x:v>6856</x:v>
      </x:c>
      <x:c r="B6848" s="1">
        <x:f>IFERROR(__xludf.DUMMYFUNCTION("""COMPUTED_VALUE"""),"Veneçuela, infàncies perdudes")</x:f>
      </x:c>
      <x:c r="C6848" s="1">
        <x:f>IFERROR(__xludf.DUMMYFUNCTION("""COMPUTED_VALUE"""),"2024")</x:f>
      </x:c>
    </x:row>
    <x:row r="6849" spans="1:10">
      <x:c r="A6849" s="1" t="s">
        <x:v>6857</x:v>
      </x:c>
      <x:c r="B6849" s="1">
        <x:f>IFERROR(__xludf.DUMMYFUNCTION("""COMPUTED_VALUE"""),"Venjanca a las Vegas")</x:f>
      </x:c>
      <x:c r="C6849" s="1">
        <x:f>IFERROR(__xludf.DUMMYFUNCTION("""COMPUTED_VALUE"""),"2023")</x:f>
      </x:c>
    </x:row>
    <x:row r="6850" spans="1:10">
      <x:c r="A6850" s="1" t="s">
        <x:v>6858</x:v>
      </x:c>
      <x:c r="B6850" s="1">
        <x:f>IFERROR(__xludf.DUMMYFUNCTION("""COMPUTED_VALUE"""),"Vent a les veles")</x:f>
      </x:c>
      <x:c r="C6850" s="1">
        <x:f>IFERROR(__xludf.DUMMYFUNCTION("""COMPUTED_VALUE"""),"1965")</x:f>
      </x:c>
    </x:row>
    <x:row r="6851" spans="1:10">
      <x:c r="A6851" s="1" t="s">
        <x:v>6859</x:v>
      </x:c>
      <x:c r="B6851" s="1">
        <x:f>IFERROR(__xludf.DUMMYFUNCTION("""COMPUTED_VALUE"""),"Vent de llibertat")</x:f>
      </x:c>
      <x:c r="C6851" s="1">
        <x:f>IFERROR(__xludf.DUMMYFUNCTION("""COMPUTED_VALUE"""),"2018")</x:f>
      </x:c>
    </x:row>
    <x:row r="6852" spans="1:10">
      <x:c r="A6852" s="1" t="s">
        <x:v>6860</x:v>
      </x:c>
      <x:c r="B6852" s="1">
        <x:f>IFERROR(__xludf.DUMMYFUNCTION("""COMPUTED_VALUE"""),"Ventafocs per un dia")</x:f>
      </x:c>
      <x:c r="C6852" s="1">
        <x:f>IFERROR(__xludf.DUMMYFUNCTION("""COMPUTED_VALUE"""),"2010")</x:f>
      </x:c>
    </x:row>
    <x:row r="6853" spans="1:10">
      <x:c r="A6853" s="1" t="s">
        <x:v>6861</x:v>
      </x:c>
      <x:c r="B6853" s="1">
        <x:f>IFERROR(__xludf.DUMMYFUNCTION("""COMPUTED_VALUE"""),"Venus")</x:f>
      </x:c>
      <x:c r="C6853" s="1">
        <x:f>IFERROR(__xludf.DUMMYFUNCTION("""COMPUTED_VALUE"""),"2016")</x:f>
      </x:c>
    </x:row>
    <x:row r="6854" spans="1:10">
      <x:c r="A6854" s="1" t="s">
        <x:v>6862</x:v>
      </x:c>
      <x:c r="B6854" s="1">
        <x:f>IFERROR(__xludf.DUMMYFUNCTION("""COMPUTED_VALUE"""),"Venus Wars")</x:f>
      </x:c>
      <x:c r="C6854" s="1">
        <x:f>IFERROR(__xludf.DUMMYFUNCTION("""COMPUTED_VALUE"""),"1989")</x:f>
      </x:c>
    </x:row>
    <x:row r="6855" spans="1:10">
      <x:c r="A6855" s="1" t="s">
        <x:v>6863</x:v>
      </x:c>
      <x:c r="B6855" s="1">
        <x:f>IFERROR(__xludf.DUMMYFUNCTION("""COMPUTED_VALUE"""),"Veracruz")</x:f>
      </x:c>
      <x:c r="C6855" s="1">
        <x:f>IFERROR(__xludf.DUMMYFUNCTION("""COMPUTED_VALUE"""),"1954")</x:f>
      </x:c>
    </x:row>
    <x:row r="6856" spans="1:10">
      <x:c r="A6856" s="1" t="s">
        <x:v>6864</x:v>
      </x:c>
      <x:c r="B6856" s="1">
        <x:f>IFERROR(__xludf.DUMMYFUNCTION("""COMPUTED_VALUE"""),"Veredicte final")</x:f>
      </x:c>
      <x:c r="C6856" s="1">
        <x:f>IFERROR(__xludf.DUMMYFUNCTION("""COMPUTED_VALUE"""),"1982")</x:f>
      </x:c>
    </x:row>
    <x:row r="6857" spans="1:10">
      <x:c r="A6857" s="1" t="s">
        <x:v>6865</x:v>
      </x:c>
      <x:c r="B6857" s="1">
        <x:f>IFERROR(__xludf.DUMMYFUNCTION("""COMPUTED_VALUE"""),"Verge als 40")</x:f>
      </x:c>
      <x:c r="C6857" s="1">
        <x:f>IFERROR(__xludf.DUMMYFUNCTION("""COMPUTED_VALUE"""),"2005")</x:f>
      </x:c>
    </x:row>
    <x:row r="6858" spans="1:10">
      <x:c r="A6858" s="1" t="s">
        <x:v>6866</x:v>
      </x:c>
      <x:c r="B6858" s="1">
        <x:f>IFERROR(__xludf.DUMMYFUNCTION("""COMPUTED_VALUE"""),"Verí mortal")</x:f>
      </x:c>
      <x:c r="C6858" s="1">
        <x:f>IFERROR(__xludf.DUMMYFUNCTION("""COMPUTED_VALUE"""),"2001")</x:f>
      </x:c>
    </x:row>
    <x:row r="6859" spans="1:10">
      <x:c r="A6859" s="1" t="s">
        <x:v>6867</x:v>
      </x:c>
      <x:c r="B6859" s="1">
        <x:f>IFERROR(__xludf.DUMMYFUNCTION("""COMPUTED_VALUE"""),"Veritats ocultes")</x:f>
      </x:c>
      <x:c r="C6859" s="1">
        <x:f>IFERROR(__xludf.DUMMYFUNCTION("""COMPUTED_VALUE"""),"2005")</x:f>
      </x:c>
    </x:row>
    <x:row r="6860" spans="1:10">
      <x:c r="A6860" s="1" t="s">
        <x:v>6868</x:v>
      </x:c>
      <x:c r="B6860" s="1">
        <x:f>IFERROR(__xludf.DUMMYFUNCTION("""COMPUTED_VALUE"""),"Vermin La plaga")</x:f>
      </x:c>
      <x:c r="C6860" s="1">
        <x:f>IFERROR(__xludf.DUMMYFUNCTION("""COMPUTED_VALUE"""),"2023")</x:f>
      </x:c>
    </x:row>
    <x:row r="6861" spans="1:10">
      <x:c r="A6861" s="1" t="s">
        <x:v>6869</x:v>
      </x:c>
      <x:c r="B6861" s="1">
        <x:f>IFERROR(__xludf.DUMMYFUNCTION("""COMPUTED_VALUE"""),"Vertigen")</x:f>
      </x:c>
      <x:c r="C6861" s="1">
        <x:f>IFERROR(__xludf.DUMMYFUNCTION("""COMPUTED_VALUE"""),"2009")</x:f>
      </x:c>
    </x:row>
    <x:row r="6862" spans="1:10">
      <x:c r="A6862" s="1" t="s">
        <x:v>6870</x:v>
      </x:c>
      <x:c r="B6862" s="1">
        <x:f>IFERROR(__xludf.DUMMYFUNCTION("""COMPUTED_VALUE"""),"Vertigen (D'entre els morts)")</x:f>
      </x:c>
      <x:c r="C6862" s="1">
        <x:f>IFERROR(__xludf.DUMMYFUNCTION("""COMPUTED_VALUE"""),"1958")</x:f>
      </x:c>
    </x:row>
    <x:row r="6863" spans="1:10">
      <x:c r="A6863" s="1" t="s">
        <x:v>6871</x:v>
      </x:c>
      <x:c r="B6863" s="1">
        <x:f>IFERROR(__xludf.DUMMYFUNCTION("""COMPUTED_VALUE"""),"Very Bad Things")</x:f>
      </x:c>
      <x:c r="C6863" s="1">
        <x:f>IFERROR(__xludf.DUMMYFUNCTION("""COMPUTED_VALUE"""),"1998")</x:f>
      </x:c>
    </x:row>
    <x:row r="6864" spans="1:10">
      <x:c r="A6864" s="1" t="s">
        <x:v>6872</x:v>
      </x:c>
      <x:c r="B6864" s="1">
        <x:f>IFERROR(__xludf.DUMMYFUNCTION("""COMPUTED_VALUE"""),"Vesper")</x:f>
      </x:c>
      <x:c r="C6864" s="1">
        <x:f>IFERROR(__xludf.DUMMYFUNCTION("""COMPUTED_VALUE"""),"2022")</x:f>
      </x:c>
    </x:row>
    <x:row r="6865" spans="1:10">
      <x:c r="A6865" s="1" t="s">
        <x:v>6873</x:v>
      </x:c>
      <x:c r="B6865" s="1">
        <x:f>IFERROR(__xludf.DUMMYFUNCTION("""COMPUTED_VALUE"""),"Veure-hi en la foscor")</x:f>
      </x:c>
      <x:c r="C6865" s="1">
        <x:f>IFERROR(__xludf.DUMMYFUNCTION("""COMPUTED_VALUE"""),"2007")</x:f>
      </x:c>
    </x:row>
    <x:row r="6866" spans="1:10">
      <x:c r="A6866" s="1" t="s">
        <x:v>6874</x:v>
      </x:c>
      <x:c r="B6866" s="1">
        <x:f>IFERROR(__xludf.DUMMYFUNCTION("""COMPUTED_VALUE"""),"Veus a la nit")</x:f>
      </x:c>
      <x:c r="C6866" s="1">
        <x:f>IFERROR(__xludf.DUMMYFUNCTION("""COMPUTED_VALUE"""),"2006")</x:f>
      </x:c>
    </x:row>
    <x:row r="6867" spans="1:10">
      <x:c r="A6867" s="1" t="s">
        <x:v>6875</x:v>
      </x:c>
      <x:c r="B6867" s="1">
        <x:f>IFERROR(__xludf.DUMMYFUNCTION("""COMPUTED_VALUE"""),"Veus del passat")</x:f>
      </x:c>
      <x:c r="C6867" s="1">
        <x:f>IFERROR(__xludf.DUMMYFUNCTION("""COMPUTED_VALUE"""),"2015")</x:f>
      </x:c>
    </x:row>
    <x:row r="6868" spans="1:10">
      <x:c r="A6868" s="1" t="s">
        <x:v>6876</x:v>
      </x:c>
      <x:c r="B6868" s="1">
        <x:f>IFERROR(__xludf.DUMMYFUNCTION("""COMPUTED_VALUE"""),"Viatge a Bountiful")</x:f>
      </x:c>
      <x:c r="C6868" s="1">
        <x:f>IFERROR(__xludf.DUMMYFUNCTION("""COMPUTED_VALUE"""),"1985")</x:f>
      </x:c>
    </x:row>
    <x:row r="6869" spans="1:10">
      <x:c r="A6869" s="1" t="s">
        <x:v>6877</x:v>
      </x:c>
      <x:c r="B6869" s="1">
        <x:f>IFERROR(__xludf.DUMMYFUNCTION("""COMPUTED_VALUE"""),"Viatge a Mart")</x:f>
      </x:c>
      <x:c r="C6869" s="1">
        <x:f>IFERROR(__xludf.DUMMYFUNCTION("""COMPUTED_VALUE"""),"2005")</x:f>
      </x:c>
    </x:row>
    <x:row r="6870" spans="1:10">
      <x:c r="A6870" s="1" t="s">
        <x:v>6878</x:v>
      </x:c>
      <x:c r="B6870" s="1">
        <x:f>IFERROR(__xludf.DUMMYFUNCTION("""COMPUTED_VALUE"""),"Viatge a Melònia")</x:f>
      </x:c>
      <x:c r="C6870" s="1">
        <x:f>IFERROR(__xludf.DUMMYFUNCTION("""COMPUTED_VALUE"""),"1989")</x:f>
      </x:c>
    </x:row>
    <x:row r="6871" spans="1:10">
      <x:c r="A6871" s="1" t="s">
        <x:v>6879</x:v>
      </x:c>
      <x:c r="B6871" s="1">
        <x:f>IFERROR(__xludf.DUMMYFUNCTION("""COMPUTED_VALUE"""),"Viatge al centre de la Terra")</x:f>
      </x:c>
      <x:c r="C6871" s="1">
        <x:f>IFERROR(__xludf.DUMMYFUNCTION("""COMPUTED_VALUE"""),"1959")</x:f>
      </x:c>
    </x:row>
    <x:row r="6872" spans="1:10">
      <x:c r="A6872" s="1" t="s">
        <x:v>6880</x:v>
      </x:c>
      <x:c r="B6872" s="1">
        <x:f>IFERROR(__xludf.DUMMYFUNCTION("""COMPUTED_VALUE"""),"Viatge al centre de la Terra")</x:f>
      </x:c>
      <x:c r="C6872" s="1">
        <x:f>IFERROR(__xludf.DUMMYFUNCTION("""COMPUTED_VALUE"""),"2008")</x:f>
      </x:c>
    </x:row>
    <x:row r="6873" spans="1:10">
      <x:c r="A6873" s="1" t="s">
        <x:v>6881</x:v>
      </x:c>
      <x:c r="B6873" s="1">
        <x:f>IFERROR(__xludf.DUMMYFUNCTION("""COMPUTED_VALUE"""),"Viatge al centre de la Terra 2. L'illa misteriosa")</x:f>
      </x:c>
      <x:c r="C6873" s="1">
        <x:f>IFERROR(__xludf.DUMMYFUNCTION("""COMPUTED_VALUE"""),"2012")</x:f>
      </x:c>
    </x:row>
    <x:row r="6874" spans="1:10">
      <x:c r="A6874" s="1" t="s">
        <x:v>6882</x:v>
      </x:c>
      <x:c r="B6874" s="1">
        <x:f>IFERROR(__xludf.DUMMYFUNCTION("""COMPUTED_VALUE"""),"Viatge de final de curs: Mallorca")</x:f>
      </x:c>
      <x:c r="C6874" s="1">
        <x:f>IFERROR(__xludf.DUMMYFUNCTION("""COMPUTED_VALUE"""),"2025")</x:f>
      </x:c>
    </x:row>
    <x:row r="6875" spans="1:10">
      <x:c r="A6875" s="1" t="s">
        <x:v>6883</x:v>
      </x:c>
      <x:c r="B6875" s="1">
        <x:f>IFERROR(__xludf.DUMMYFUNCTION("""COMPUTED_VALUE"""),"Viatge fantàstic")</x:f>
      </x:c>
      <x:c r="C6875" s="1">
        <x:f>IFERROR(__xludf.DUMMYFUNCTION("""COMPUTED_VALUE"""),"1966")</x:f>
      </x:c>
    </x:row>
    <x:row r="6876" spans="1:10">
      <x:c r="A6876" s="1" t="s">
        <x:v>6884</x:v>
      </x:c>
      <x:c r="B6876" s="1">
        <x:f>IFERROR(__xludf.DUMMYFUNCTION("""COMPUTED_VALUE"""),"Viatge màgic a Àfrica")</x:f>
      </x:c>
      <x:c r="C6876" s="1">
        <x:f>IFERROR(__xludf.DUMMYFUNCTION("""COMPUTED_VALUE"""),"2010")</x:f>
      </x:c>
    </x:row>
    <x:row r="6877" spans="1:10">
      <x:c r="A6877" s="1" t="s">
        <x:v>6885</x:v>
      </x:c>
      <x:c r="B6877" s="1">
        <x:f>IFERROR(__xludf.DUMMYFUNCTION("""COMPUTED_VALUE"""),"Viatges amb la meva tia")</x:f>
      </x:c>
      <x:c r="C6877" s="1">
        <x:f>IFERROR(__xludf.DUMMYFUNCTION("""COMPUTED_VALUE"""),"1972")</x:f>
      </x:c>
    </x:row>
    <x:row r="6878" spans="1:10">
      <x:c r="A6878" s="1" t="s">
        <x:v>6886</x:v>
      </x:c>
      <x:c r="B6878" s="1">
        <x:f>IFERROR(__xludf.DUMMYFUNCTION("""COMPUTED_VALUE"""),"Viatjo sola")</x:f>
      </x:c>
      <x:c r="C6878" s="1">
        <x:f>IFERROR(__xludf.DUMMYFUNCTION("""COMPUTED_VALUE"""),"2013")</x:f>
      </x:c>
    </x:row>
    <x:row r="6879" spans="1:10">
      <x:c r="A6879" s="1" t="s">
        <x:v>6887</x:v>
      </x:c>
      <x:c r="B6879" s="1">
        <x:f>IFERROR(__xludf.DUMMYFUNCTION("""COMPUTED_VALUE"""),"Vicenç Ferrer")</x:f>
      </x:c>
      <x:c r="C6879" s="1">
        <x:f>IFERROR(__xludf.DUMMYFUNCTION("""COMPUTED_VALUE"""),"2013")</x:f>
      </x:c>
    </x:row>
    <x:row r="6880" spans="1:10">
      <x:c r="A6880" s="1" t="s">
        <x:v>6888</x:v>
      </x:c>
      <x:c r="B6880" s="1">
        <x:f>IFERROR(__xludf.DUMMYFUNCTION("""COMPUTED_VALUE"""),"Vickie el viking")</x:f>
      </x:c>
      <x:c r="C6880" s="1">
        <x:f>IFERROR(__xludf.DUMMYFUNCTION("""COMPUTED_VALUE"""),"2009")</x:f>
      </x:c>
    </x:row>
    <x:row r="6881" spans="1:10">
      <x:c r="A6881" s="1" t="s">
        <x:v>6889</x:v>
      </x:c>
      <x:c r="B6881" s="1">
        <x:f>IFERROR(__xludf.DUMMYFUNCTION("""COMPUTED_VALUE"""),"Vicky Cristina Barcelona")</x:f>
      </x:c>
      <x:c r="C6881" s="1">
        <x:f>IFERROR(__xludf.DUMMYFUNCTION("""COMPUTED_VALUE"""),"2008")</x:f>
      </x:c>
    </x:row>
    <x:row r="6882" spans="1:10">
      <x:c r="A6882" s="1" t="s">
        <x:v>6890</x:v>
      </x:c>
      <x:c r="B6882" s="1">
        <x:f>IFERROR(__xludf.DUMMYFUNCTION("""COMPUTED_VALUE"""),"Vicky el víking i el martell de Thor")</x:f>
      </x:c>
      <x:c r="C6882" s="1">
        <x:f>IFERROR(__xludf.DUMMYFUNCTION("""COMPUTED_VALUE"""),"2011")</x:f>
      </x:c>
    </x:row>
    <x:row r="6883" spans="1:10">
      <x:c r="A6883" s="1" t="s">
        <x:v>6891</x:v>
      </x:c>
      <x:c r="B6883" s="1">
        <x:f>IFERROR(__xludf.DUMMYFUNCTION("""COMPUTED_VALUE"""),"Victim")</x:f>
      </x:c>
      <x:c r="C6883" s="1">
        <x:f>IFERROR(__xludf.DUMMYFUNCTION("""COMPUTED_VALUE"""),"2022")</x:f>
      </x:c>
    </x:row>
    <x:row r="6884" spans="1:10">
      <x:c r="A6884" s="1" t="s">
        <x:v>6892</x:v>
      </x:c>
      <x:c r="B6884" s="1">
        <x:f>IFERROR(__xludf.DUMMYFUNCTION("""COMPUTED_VALUE"""),"Víctor, Victòria")</x:f>
      </x:c>
      <x:c r="C6884" s="1">
        <x:f>IFERROR(__xludf.DUMMYFUNCTION("""COMPUTED_VALUE"""),"1982")</x:f>
      </x:c>
    </x:row>
    <x:row r="6885" spans="1:10">
      <x:c r="A6885" s="1" t="s">
        <x:v>6893</x:v>
      </x:c>
      <x:c r="B6885" s="1">
        <x:f>IFERROR(__xludf.DUMMYFUNCTION("""COMPUTED_VALUE"""),"Vida i mort d'un arquitecte")</x:f>
      </x:c>
      <x:c r="C6885" s="1">
        <x:f>IFERROR(__xludf.DUMMYFUNCTION("""COMPUTED_VALUE"""),"2017")</x:f>
      </x:c>
    </x:row>
    <x:row r="6886" spans="1:10">
      <x:c r="A6886" s="1" t="s">
        <x:v>6894</x:v>
      </x:c>
      <x:c r="B6886" s="1">
        <x:f>IFERROR(__xludf.DUMMYFUNCTION("""COMPUTED_VALUE"""),"Vida robada")</x:f>
      </x:c>
      <x:c r="C6886" s="1">
        <x:f>IFERROR(__xludf.DUMMYFUNCTION("""COMPUTED_VALUE"""),"2017")</x:f>
      </x:c>
    </x:row>
    <x:row r="6887" spans="1:10">
      <x:c r="A6887" s="1" t="s">
        <x:v>6895</x:v>
      </x:c>
      <x:c r="B6887" s="1">
        <x:f>IFERROR(__xludf.DUMMYFUNCTION("""COMPUTED_VALUE"""),"Vides alienes")</x:f>
      </x:c>
      <x:c r="C6887" s="1">
        <x:f>IFERROR(__xludf.DUMMYFUNCTION("""COMPUTED_VALUE"""),"2004")</x:f>
      </x:c>
    </x:row>
    <x:row r="6888" spans="1:10">
      <x:c r="A6888" s="1" t="s">
        <x:v>6896</x:v>
      </x:c>
      <x:c r="B6888" s="1">
        <x:f>IFERROR(__xludf.DUMMYFUNCTION("""COMPUTED_VALUE"""),"Vides encreuades")</x:f>
      </x:c>
      <x:c r="C6888" s="1">
        <x:f>IFERROR(__xludf.DUMMYFUNCTION("""COMPUTED_VALUE"""),"1993")</x:f>
      </x:c>
    </x:row>
    <x:row r="6889" spans="1:10">
      <x:c r="A6889" s="1" t="s">
        <x:v>6897</x:v>
      </x:c>
      <x:c r="B6889" s="1">
        <x:f>IFERROR(__xludf.DUMMYFUNCTION("""COMPUTED_VALUE"""),"Vides Trans")</x:f>
      </x:c>
      <x:c r="C6889" s="1">
        <x:f>IFERROR(__xludf.DUMMYFUNCTION("""COMPUTED_VALUE"""),"2023")</x:f>
      </x:c>
    </x:row>
    <x:row r="6890" spans="1:10">
      <x:c r="A6890" s="1" t="s">
        <x:v>6898</x:v>
      </x:c>
      <x:c r="B6890" s="1">
        <x:f>IFERROR(__xludf.DUMMYFUNCTION("""COMPUTED_VALUE"""),"Vidocq")</x:f>
      </x:c>
      <x:c r="C6890" s="1">
        <x:f>IFERROR(__xludf.DUMMYFUNCTION("""COMPUTED_VALUE"""),"2001")</x:f>
      </x:c>
    </x:row>
    <x:row r="6891" spans="1:10">
      <x:c r="A6891" s="1" t="s">
        <x:v>6899</x:v>
      </x:c>
      <x:c r="B6891" s="1">
        <x:f>IFERROR(__xludf.DUMMYFUNCTION("""COMPUTED_VALUE"""),"Vilafranca")</x:f>
      </x:c>
      <x:c r="C6891" s="1">
        <x:f>IFERROR(__xludf.DUMMYFUNCTION("""COMPUTED_VALUE"""),"2018")</x:f>
      </x:c>
    </x:row>
    <x:row r="6892" spans="1:10">
      <x:c r="A6892" s="1" t="s">
        <x:v>6900</x:v>
      </x:c>
      <x:c r="B6892" s="1">
        <x:f>IFERROR(__xludf.DUMMYFUNCTION("""COMPUTED_VALUE"""),"Vill, l'esperit del mal [VOSC]")</x:f>
      </x:c>
      <x:c r="C6892" s="1">
        <x:f>IFERROR(__xludf.DUMMYFUNCTION("""COMPUTED_VALUE"""),"1967")</x:f>
      </x:c>
    </x:row>
    <x:row r="6893" spans="1:10">
      <x:c r="A6893" s="1" t="s">
        <x:v>6901</x:v>
      </x:c>
      <x:c r="B6893" s="1">
        <x:f>IFERROR(__xludf.DUMMYFUNCTION("""COMPUTED_VALUE"""),"Vinga riure")</x:f>
      </x:c>
      <x:c r="C6893" s="1">
        <x:f>IFERROR(__xludf.DUMMYFUNCTION("""COMPUTED_VALUE"""),"1992")</x:f>
      </x:c>
    </x:row>
    <x:row r="6894" spans="1:10">
      <x:c r="A6894" s="1" t="s">
        <x:v>6902</x:v>
      </x:c>
      <x:c r="B6894" s="1">
        <x:f>IFERROR(__xludf.DUMMYFUNCTION("""COMPUTED_VALUE"""),"Violette")</x:f>
      </x:c>
      <x:c r="C6894" s="1">
        <x:f>IFERROR(__xludf.DUMMYFUNCTION("""COMPUTED_VALUE"""),"2013")</x:f>
      </x:c>
    </x:row>
    <x:row r="6895" spans="1:10">
      <x:c r="A6895" s="1" t="s">
        <x:v>6903</x:v>
      </x:c>
      <x:c r="B6895" s="1">
        <x:f>IFERROR(__xludf.DUMMYFUNCTION("""COMPUTED_VALUE"""),"Virtuosity")</x:f>
      </x:c>
      <x:c r="C6895" s="1">
        <x:f>IFERROR(__xludf.DUMMYFUNCTION("""COMPUTED_VALUE"""),"1995")</x:f>
      </x:c>
    </x:row>
    <x:row r="6896" spans="1:10">
      <x:c r="A6896" s="1" t="s">
        <x:v>6904</x:v>
      </x:c>
      <x:c r="B6896" s="1">
        <x:f>IFERROR(__xludf.DUMMYFUNCTION("""COMPUTED_VALUE"""),"Virus")</x:f>
      </x:c>
      <x:c r="C6896" s="1">
        <x:f>IFERROR(__xludf.DUMMYFUNCTION("""COMPUTED_VALUE"""),"1999")</x:f>
      </x:c>
    </x:row>
    <x:row r="6897" spans="1:10">
      <x:c r="A6897" s="1" t="s">
        <x:v>6905</x:v>
      </x:c>
      <x:c r="B6897" s="1">
        <x:f>IFERROR(__xludf.DUMMYFUNCTION("""COMPUTED_VALUE"""),"Visca la llibertat")</x:f>
      </x:c>
      <x:c r="C6897" s="1">
        <x:f>IFERROR(__xludf.DUMMYFUNCTION("""COMPUTED_VALUE"""),"2013")</x:f>
      </x:c>
    </x:row>
    <x:row r="6898" spans="1:10">
      <x:c r="A6898" s="1" t="s">
        <x:v>6906</x:v>
      </x:c>
      <x:c r="B6898" s="1">
        <x:f>IFERROR(__xludf.DUMMYFUNCTION("""COMPUTED_VALUE"""),"Visió")</x:f>
      </x:c>
      <x:c r="C6898" s="1">
        <x:f>IFERROR(__xludf.DUMMYFUNCTION("""COMPUTED_VALUE"""),"2009")</x:f>
      </x:c>
    </x:row>
    <x:row r="6899" spans="1:10">
      <x:c r="A6899" s="1" t="s">
        <x:v>6907</x:v>
      </x:c>
      <x:c r="B6899" s="1">
        <x:f>IFERROR(__xludf.DUMMYFUNCTION("""COMPUTED_VALUE"""),"Visitant")</x:f>
      </x:c>
      <x:c r="C6899" s="1">
        <x:f>IFERROR(__xludf.DUMMYFUNCTION("""COMPUTED_VALUE"""),"2021")</x:f>
      </x:c>
    </x:row>
    <x:row r="6900" spans="1:10">
      <x:c r="A6900" s="1" t="s">
        <x:v>6908</x:v>
      </x:c>
      <x:c r="B6900" s="1">
        <x:f>IFERROR(__xludf.DUMMYFUNCTION("""COMPUTED_VALUE"""),"Viu i deixa morir")</x:f>
      </x:c>
      <x:c r="C6900" s="1">
        <x:f>IFERROR(__xludf.DUMMYFUNCTION("""COMPUTED_VALUE"""),"1973")</x:f>
      </x:c>
    </x:row>
    <x:row r="6901" spans="1:10">
      <x:c r="A6901" s="1" t="s">
        <x:v>6909</x:v>
      </x:c>
      <x:c r="B6901" s="1">
        <x:f>IFERROR(__xludf.DUMMYFUNCTION("""COMPUTED_VALUE"""),"Viudes")</x:f>
      </x:c>
      <x:c r="C6901" s="1">
        <x:f>IFERROR(__xludf.DUMMYFUNCTION("""COMPUTED_VALUE"""),"2018")</x:f>
      </x:c>
    </x:row>
    <x:row r="6902" spans="1:10">
      <x:c r="A6902" s="1" t="s">
        <x:v>6910</x:v>
      </x:c>
      <x:c r="B6902" s="1">
        <x:f>IFERROR(__xludf.DUMMYFUNCTION("""COMPUTED_VALUE"""),"Viure a cop de rock")</x:f>
      </x:c>
      <x:c r="C6902" s="1">
        <x:f>IFERROR(__xludf.DUMMYFUNCTION("""COMPUTED_VALUE"""),"2011")</x:f>
      </x:c>
    </x:row>
    <x:row r="6903" spans="1:10">
      <x:c r="A6903" s="1" t="s">
        <x:v>6911</x:v>
      </x:c>
      <x:c r="B6903" s="1">
        <x:f>IFERROR(__xludf.DUMMYFUNCTION("""COMPUTED_VALUE"""),"Viure de mentides")</x:f>
      </x:c>
      <x:c r="C6903" s="1">
        <x:f>IFERROR(__xludf.DUMMYFUNCTION("""COMPUTED_VALUE"""),"2005")</x:f>
      </x:c>
    </x:row>
    <x:row r="6904" spans="1:10">
      <x:c r="A6904" s="1" t="s">
        <x:v>6912</x:v>
      </x:c>
      <x:c r="B6904" s="1">
        <x:f>IFERROR(__xludf.DUMMYFUNCTION("""COMPUTED_VALUE"""),"Viure de nit")</x:f>
      </x:c>
      <x:c r="C6904" s="1">
        <x:f>IFERROR(__xludf.DUMMYFUNCTION("""COMPUTED_VALUE"""),"2016")</x:f>
      </x:c>
    </x:row>
    <x:row r="6905" spans="1:10">
      <x:c r="A6905" s="1" t="s">
        <x:v>6913</x:v>
      </x:c>
      <x:c r="B6905" s="1">
        <x:f>IFERROR(__xludf.DUMMYFUNCTION("""COMPUTED_VALUE"""),"Viure de renda... bàsica")</x:f>
      </x:c>
      <x:c r="C6905" s="1">
        <x:f>IFERROR(__xludf.DUMMYFUNCTION("""COMPUTED_VALUE"""),"2019")</x:f>
      </x:c>
    </x:row>
    <x:row r="6906" spans="1:10">
      <x:c r="A6906" s="1" t="s">
        <x:v>6914</x:v>
      </x:c>
      <x:c r="B6906" s="1">
        <x:f>IFERROR(__xludf.DUMMYFUNCTION("""COMPUTED_VALUE"""),"Viure un altre cop")</x:f>
      </x:c>
      <x:c r="C6906" s="1">
        <x:f>IFERROR(__xludf.DUMMYFUNCTION("""COMPUTED_VALUE"""),"2020")</x:f>
      </x:c>
    </x:row>
    <x:row r="6907" spans="1:10">
      <x:c r="A6907" s="1" t="s">
        <x:v>6915</x:v>
      </x:c>
      <x:c r="B6907" s="1">
        <x:f>IFERROR(__xludf.DUMMYFUNCTION("""COMPUTED_VALUE"""),"Viva Zapata!")</x:f>
      </x:c>
      <x:c r="C6907" s="1">
        <x:f>IFERROR(__xludf.DUMMYFUNCTION("""COMPUTED_VALUE"""),"1952")</x:f>
      </x:c>
    </x:row>
    <x:row r="6908" spans="1:10">
      <x:c r="A6908" s="1" t="s">
        <x:v>6916</x:v>
      </x:c>
      <x:c r="B6908" s="1">
        <x:f>IFERROR(__xludf.DUMMYFUNCTION("""COMPUTED_VALUE"""),"Vlad, L'empalador")</x:f>
      </x:c>
      <x:c r="C6908" s="1">
        <x:f>IFERROR(__xludf.DUMMYFUNCTION("""COMPUTED_VALUE"""),"2018")</x:f>
      </x:c>
    </x:row>
    <x:row r="6909" spans="1:10">
      <x:c r="A6909" s="1" t="s">
        <x:v>6917</x:v>
      </x:c>
      <x:c r="B6909" s="1">
        <x:f>IFERROR(__xludf.DUMMYFUNCTION("""COMPUTED_VALUE"""),"Voices in Deep [VOSC]")</x:f>
      </x:c>
      <x:c r="C6909" s="1">
        <x:f>IFERROR(__xludf.DUMMYFUNCTION("""COMPUTED_VALUE"""),"2023")</x:f>
      </x:c>
    </x:row>
    <x:row r="6910" spans="1:10">
      <x:c r="A6910" s="1" t="s">
        <x:v>6918</x:v>
      </x:c>
      <x:c r="B6910" s="1">
        <x:f>IFERROR(__xludf.DUMMYFUNCTION("""COMPUTED_VALUE"""),"Vol 714 a Sidney")</x:f>
      </x:c>
      <x:c r="C6910" s="1">
        <x:f>IFERROR(__xludf.DUMMYFUNCTION("""COMPUTED_VALUE"""),"1992")</x:f>
      </x:c>
    </x:row>
    <x:row r="6911" spans="1:10">
      <x:c r="A6911" s="1" t="s">
        <x:v>6919</x:v>
      </x:c>
      <x:c r="B6911" s="1">
        <x:f>IFERROR(__xludf.DUMMYFUNCTION("""COMPUTED_VALUE"""),"Vol a les estrelles")</x:f>
      </x:c>
      <x:c r="C6911" s="1">
        <x:f>IFERROR(__xludf.DUMMYFUNCTION("""COMPUTED_VALUE"""),"1983")</x:f>
      </x:c>
    </x:row>
    <x:row r="6912" spans="1:10">
      <x:c r="A6912" s="1" t="s">
        <x:v>6920</x:v>
      </x:c>
      <x:c r="B6912" s="1">
        <x:f>IFERROR(__xludf.DUMMYFUNCTION("""COMPUTED_VALUE"""),"Vola amb mi")</x:f>
      </x:c>
      <x:c r="C6912" s="1">
        <x:f>IFERROR(__xludf.DUMMYFUNCTION("""COMPUTED_VALUE"""),"2024")</x:f>
      </x:c>
    </x:row>
    <x:row r="6913" spans="1:10">
      <x:c r="A6913" s="1" t="s">
        <x:v>6921</x:v>
      </x:c>
      <x:c r="B6913" s="1">
        <x:f>IFERROR(__xludf.DUMMYFUNCTION("""COMPUTED_VALUE"""),"Vola, Borinot")</x:f>
      </x:c>
      <x:c r="C6913" s="1">
        <x:f>IFERROR(__xludf.DUMMYFUNCTION("""COMPUTED_VALUE"""),"2016")</x:f>
      </x:c>
    </x:row>
    <x:row r="6914" spans="1:10">
      <x:c r="A6914" s="1" t="s">
        <x:v>6922</x:v>
      </x:c>
      <x:c r="B6914" s="1">
        <x:f>IFERROR(__xludf.DUMMYFUNCTION("""COMPUTED_VALUE"""),"Volant junts")</x:f>
      </x:c>
      <x:c r="C6914" s="1">
        <x:f>IFERROR(__xludf.DUMMYFUNCTION("""COMPUTED_VALUE"""),"2019")</x:f>
      </x:c>
    </x:row>
    <x:row r="6915" spans="1:10">
      <x:c r="A6915" s="1" t="s">
        <x:v>6923</x:v>
      </x:c>
      <x:c r="B6915" s="1">
        <x:f>IFERROR(__xludf.DUMMYFUNCTION("""COMPUTED_VALUE"""),"Volare")</x:f>
      </x:c>
      <x:c r="C6915" s="1">
        <x:f>IFERROR(__xludf.DUMMYFUNCTION("""COMPUTED_VALUE"""),"2012")</x:f>
      </x:c>
    </x:row>
    <x:row r="6916" spans="1:10">
      <x:c r="A6916" s="1" t="s">
        <x:v>6924</x:v>
      </x:c>
      <x:c r="B6916" s="1">
        <x:f>IFERROR(__xludf.DUMMYFUNCTION("""COMPUTED_VALUE"""),"Volcà a Nova York")</x:f>
      </x:c>
      <x:c r="C6916" s="1">
        <x:f>IFERROR(__xludf.DUMMYFUNCTION("""COMPUTED_VALUE"""),"2006")</x:f>
      </x:c>
    </x:row>
    <x:row r="6917" spans="1:10">
      <x:c r="A6917" s="1" t="s">
        <x:v>6925</x:v>
      </x:c>
      <x:c r="B6917" s="1">
        <x:f>IFERROR(__xludf.DUMMYFUNCTION("""COMPUTED_VALUE"""),"Voluntaris per sempre")</x:f>
      </x:c>
      <x:c r="C6917" s="1">
        <x:f>IFERROR(__xludf.DUMMYFUNCTION("""COMPUTED_VALUE"""),"2017")</x:f>
      </x:c>
    </x:row>
    <x:row r="6918" spans="1:10">
      <x:c r="A6918" s="1" t="s">
        <x:v>6926</x:v>
      </x:c>
      <x:c r="B6918" s="1">
        <x:f>IFERROR(__xludf.DUMMYFUNCTION("""COMPUTED_VALUE"""),"Volverás")</x:f>
      </x:c>
      <x:c r="C6918" s="1">
        <x:f>IFERROR(__xludf.DUMMYFUNCTION("""COMPUTED_VALUE"""),"2002")</x:f>
      </x:c>
    </x:row>
    <x:row r="6919" spans="1:10">
      <x:c r="A6919" s="1" t="s">
        <x:v>6927</x:v>
      </x:c>
      <x:c r="B6919" s="1">
        <x:f>IFERROR(__xludf.DUMMYFUNCTION("""COMPUTED_VALUE"""),"Vora el mar")</x:f>
      </x:c>
      <x:c r="C6919" s="1">
        <x:f>IFERROR(__xludf.DUMMYFUNCTION("""COMPUTED_VALUE"""),"2015")</x:f>
      </x:c>
    </x:row>
    <x:row r="6920" spans="1:10">
      <x:c r="A6920" s="1" t="s">
        <x:v>6928</x:v>
      </x:c>
      <x:c r="B6920" s="1">
        <x:f>IFERROR(__xludf.DUMMYFUNCTION("""COMPUTED_VALUE"""),"Vorvik")</x:f>
      </x:c>
      <x:c r="C6920" s="1">
        <x:f>IFERROR(__xludf.DUMMYFUNCTION("""COMPUTED_VALUE"""),"2005")</x:f>
      </x:c>
    </x:row>
    <x:row r="6921" spans="1:10">
      <x:c r="A6921" s="1" t="s">
        <x:v>6929</x:v>
      </x:c>
      <x:c r="B6921" s="1">
        <x:f>IFERROR(__xludf.DUMMYFUNCTION("""COMPUTED_VALUE"""),"Vulcania")</x:f>
      </x:c>
      <x:c r="C6921" s="1">
        <x:f>IFERROR(__xludf.DUMMYFUNCTION("""COMPUTED_VALUE"""),"2015")</x:f>
      </x:c>
    </x:row>
    <x:row r="6922" spans="1:10">
      <x:c r="A6922" s="1" t="s">
        <x:v>6930</x:v>
      </x:c>
      <x:c r="B6922" s="1">
        <x:f>IFERROR(__xludf.DUMMYFUNCTION("""COMPUTED_VALUE"""),"Vull menjar-me el teu pàncrees")</x:f>
      </x:c>
      <x:c r="C6922" s="1">
        <x:f>IFERROR(__xludf.DUMMYFUNCTION("""COMPUTED_VALUE"""),"2018")</x:f>
      </x:c>
    </x:row>
    <x:row r="6923" spans="1:10">
      <x:c r="A6923" s="1" t="s">
        <x:v>6931</x:v>
      </x:c>
      <x:c r="B6923" s="1">
        <x:f>IFERROR(__xludf.DUMMYFUNCTION("""COMPUTED_VALUE"""),"Vull ser italià")</x:f>
      </x:c>
      <x:c r="C6923" s="1">
        <x:f>IFERROR(__xludf.DUMMYFUNCTION("""COMPUTED_VALUE"""),"2010")</x:f>
      </x:c>
    </x:row>
    <x:row r="6924" spans="1:10">
      <x:c r="A6924" s="1" t="s">
        <x:v>6932</x:v>
      </x:c>
      <x:c r="B6924" s="1">
        <x:f>IFERROR(__xludf.DUMMYFUNCTION("""COMPUTED_VALUE"""),"Vull ser soldat")</x:f>
      </x:c>
      <x:c r="C6924" s="1">
        <x:f>IFERROR(__xludf.DUMMYFUNCTION("""COMPUTED_VALUE"""),"2010")</x:f>
      </x:c>
    </x:row>
    <x:row r="6925" spans="1:10">
      <x:c r="A6925" s="1" t="s">
        <x:v>6933</x:v>
      </x:c>
      <x:c r="B6925" s="1">
        <x:f>IFERROR(__xludf.DUMMYFUNCTION("""COMPUTED_VALUE"""),"Vulnerables")</x:f>
      </x:c>
      <x:c r="C6925" s="1">
        <x:f>IFERROR(__xludf.DUMMYFUNCTION("""COMPUTED_VALUE"""),"2020")</x:f>
      </x:c>
    </x:row>
    <x:row r="6926" spans="1:10">
      <x:c r="A6926" s="1" t="s">
        <x:v>6934</x:v>
      </x:c>
      <x:c r="B6926" s="1">
        <x:f>IFERROR(__xludf.DUMMYFUNCTION("""COMPUTED_VALUE"""),"Wakefield")</x:f>
      </x:c>
      <x:c r="C6926" s="1">
        <x:f>IFERROR(__xludf.DUMMYFUNCTION("""COMPUTED_VALUE"""),"2016")</x:f>
      </x:c>
    </x:row>
    <x:row r="6927" spans="1:10">
      <x:c r="A6927" s="1" t="s">
        <x:v>6935</x:v>
      </x:c>
      <x:c r="B6927" s="1">
        <x:f>IFERROR(__xludf.DUMMYFUNCTION("""COMPUTED_VALUE"""),"Wakhri [VOSC]")</x:f>
      </x:c>
      <x:c r="C6927" s="1">
        <x:f>IFERROR(__xludf.DUMMYFUNCTION("""COMPUTED_VALUE"""),"2023")</x:f>
      </x:c>
    </x:row>
    <x:row r="6928" spans="1:10">
      <x:c r="A6928" s="1" t="s">
        <x:v>6936</x:v>
      </x:c>
      <x:c r="B6928" s="1">
        <x:f>IFERROR(__xludf.DUMMYFUNCTION("""COMPUTED_VALUE"""),"Walesa, l'esperança d'un poble")</x:f>
      </x:c>
      <x:c r="C6928" s="1">
        <x:f>IFERROR(__xludf.DUMMYFUNCTION("""COMPUTED_VALUE"""),"2013")</x:f>
      </x:c>
    </x:row>
    <x:row r="6929" spans="1:10">
      <x:c r="A6929" s="1" t="s">
        <x:v>6937</x:v>
      </x:c>
      <x:c r="B6929" s="1">
        <x:f>IFERROR(__xludf.DUMMYFUNCTION("""COMPUTED_VALUE"""),"Walking On Sunshine")</x:f>
      </x:c>
      <x:c r="C6929" s="1">
        <x:f>IFERROR(__xludf.DUMMYFUNCTION("""COMPUTED_VALUE"""),"2014")</x:f>
      </x:c>
    </x:row>
    <x:row r="6930" spans="1:10">
      <x:c r="A6930" s="1" t="s">
        <x:v>6938</x:v>
      </x:c>
      <x:c r="B6930" s="1">
        <x:f>IFERROR(__xludf.DUMMYFUNCTION("""COMPUTED_VALUE"""),"Wallace &amp; Gromit - La maledicció de les verdures")</x:f>
      </x:c>
      <x:c r="C6930" s="1">
        <x:f>IFERROR(__xludf.DUMMYFUNCTION("""COMPUTED_VALUE"""),"2005")</x:f>
      </x:c>
    </x:row>
    <x:row r="6931" spans="1:10">
      <x:c r="A6931" s="1" t="s">
        <x:v>6939</x:v>
      </x:c>
      <x:c r="B6931" s="1">
        <x:f>IFERROR(__xludf.DUMMYFUNCTION("""COMPUTED_VALUE"""),"WALL·E")</x:f>
      </x:c>
      <x:c r="C6931" s="1">
        <x:f>IFERROR(__xludf.DUMMYFUNCTION("""COMPUTED_VALUE"""),"2008")</x:f>
      </x:c>
    </x:row>
    <x:row r="6932" spans="1:10">
      <x:c r="A6932" s="1" t="s">
        <x:v>6940</x:v>
      </x:c>
      <x:c r="B6932" s="1">
        <x:f>IFERROR(__xludf.DUMMYFUNCTION("""COMPUTED_VALUE"""),"Wallis i Eduard, la història d'amor del segle")</x:f>
      </x:c>
      <x:c r="C6932" s="1">
        <x:f>IFERROR(__xludf.DUMMYFUNCTION("""COMPUTED_VALUE"""),"2011")</x:f>
      </x:c>
    </x:row>
    <x:row r="6933" spans="1:10">
      <x:c r="A6933" s="1" t="s">
        <x:v>6941</x:v>
      </x:c>
      <x:c r="B6933" s="1">
        <x:f>IFERROR(__xludf.DUMMYFUNCTION("""COMPUTED_VALUE"""),"Warrior Road")</x:f>
      </x:c>
      <x:c r="C6933" s="1">
        <x:f>IFERROR(__xludf.DUMMYFUNCTION("""COMPUTED_VALUE"""),"2016")</x:f>
      </x:c>
    </x:row>
    <x:row r="6934" spans="1:10">
      <x:c r="A6934" s="1" t="s">
        <x:v>6942</x:v>
      </x:c>
      <x:c r="B6934" s="1">
        <x:f>IFERROR(__xludf.DUMMYFUNCTION("""COMPUTED_VALUE"""),"Washington Square")</x:f>
      </x:c>
      <x:c r="C6934" s="1">
        <x:f>IFERROR(__xludf.DUMMYFUNCTION("""COMPUTED_VALUE"""),"1997")</x:f>
      </x:c>
    </x:row>
    <x:row r="6935" spans="1:10">
      <x:c r="A6935" s="1" t="s">
        <x:v>6943</x:v>
      </x:c>
      <x:c r="B6935" s="1">
        <x:f>IFERROR(__xludf.DUMMYFUNCTION("""COMPUTED_VALUE"""),"WAZ")</x:f>
      </x:c>
      <x:c r="C6935" s="1">
        <x:f>IFERROR(__xludf.DUMMYFUNCTION("""COMPUTED_VALUE"""),"2007")</x:f>
      </x:c>
    </x:row>
    <x:row r="6936" spans="1:10">
      <x:c r="A6936" s="1" t="s">
        <x:v>6944</x:v>
      </x:c>
      <x:c r="B6936" s="1">
        <x:f>IFERROR(__xludf.DUMMYFUNCTION("""COMPUTED_VALUE"""),"Weekend")</x:f>
      </x:c>
      <x:c r="C6936" s="1">
        <x:f>IFERROR(__xludf.DUMMYFUNCTION("""COMPUTED_VALUE"""),"1967")</x:f>
      </x:c>
    </x:row>
    <x:row r="6937" spans="1:10">
      <x:c r="A6937" s="1" t="s">
        <x:v>6945</x:v>
      </x:c>
      <x:c r="B6937" s="1">
        <x:f>IFERROR(__xludf.DUMMYFUNCTION("""COMPUTED_VALUE"""),"Wendy placa 20957")</x:f>
      </x:c>
      <x:c r="C6937" s="1">
        <x:f>IFERROR(__xludf.DUMMYFUNCTION("""COMPUTED_VALUE"""),"2009")</x:f>
      </x:c>
    </x:row>
    <x:row r="6938" spans="1:10">
      <x:c r="A6938" s="1" t="s">
        <x:v>6946</x:v>
      </x:c>
      <x:c r="B6938" s="1">
        <x:f>IFERROR(__xludf.DUMMYFUNCTION("""COMPUTED_VALUE"""),"West Side Story")</x:f>
      </x:c>
      <x:c r="C6938" s="1">
        <x:f>IFERROR(__xludf.DUMMYFUNCTION("""COMPUTED_VALUE"""),"1961")</x:f>
      </x:c>
    </x:row>
    <x:row r="6939" spans="1:10">
      <x:c r="A6939" s="1" t="s">
        <x:v>6947</x:v>
      </x:c>
      <x:c r="B6939" s="1">
        <x:f>IFERROR(__xludf.DUMMYFUNCTION("""COMPUTED_VALUE"""),"Western")</x:f>
      </x:c>
      <x:c r="C6939" s="1">
        <x:f>IFERROR(__xludf.DUMMYFUNCTION("""COMPUTED_VALUE"""),"1997")</x:f>
      </x:c>
    </x:row>
    <x:row r="6940" spans="1:10">
      <x:c r="A6940" s="1" t="s">
        <x:v>6948</x:v>
      </x:c>
      <x:c r="B6940" s="1">
        <x:f>IFERROR(__xludf.DUMMYFUNCTION("""COMPUTED_VALUE"""),"Wheely, atrapa'l si pots!")</x:f>
      </x:c>
      <x:c r="C6940" s="1">
        <x:f>IFERROR(__xludf.DUMMYFUNCTION("""COMPUTED_VALUE"""),"2008")</x:f>
      </x:c>
    </x:row>
    <x:row r="6941" spans="1:10">
      <x:c r="A6941" s="1" t="s">
        <x:v>6949</x:v>
      </x:c>
      <x:c r="B6941" s="1">
        <x:f>IFERROR(__xludf.DUMMYFUNCTION("""COMPUTED_VALUE"""),"When this is all over [VOSC]")</x:f>
      </x:c>
      <x:c r="C6941" s="1">
        <x:f>IFERROR(__xludf.DUMMYFUNCTION("""COMPUTED_VALUE"""),"2023")</x:f>
      </x:c>
    </x:row>
    <x:row r="6942" spans="1:10">
      <x:c r="A6942" s="1" t="s">
        <x:v>6950</x:v>
      </x:c>
      <x:c r="B6942" s="1">
        <x:f>IFERROR(__xludf.DUMMYFUNCTION("""COMPUTED_VALUE"""),"Whisky a dojo")</x:f>
      </x:c>
      <x:c r="C6942" s="1">
        <x:f>IFERROR(__xludf.DUMMYFUNCTION("""COMPUTED_VALUE"""),"2016")</x:f>
      </x:c>
    </x:row>
    <x:row r="6943" spans="1:10">
      <x:c r="A6943" s="1" t="s">
        <x:v>6951</x:v>
      </x:c>
      <x:c r="B6943" s="1">
        <x:f>IFERROR(__xludf.DUMMYFUNCTION("""COMPUTED_VALUE"""),"White Noise 2: La llum")</x:f>
      </x:c>
      <x:c r="C6943" s="1">
        <x:f>IFERROR(__xludf.DUMMYFUNCTION("""COMPUTED_VALUE"""),"2007")</x:f>
      </x:c>
    </x:row>
    <x:row r="6944" spans="1:10">
      <x:c r="A6944" s="1" t="s">
        <x:v>6952</x:v>
      </x:c>
      <x:c r="B6944" s="1">
        <x:f>IFERROR(__xludf.DUMMYFUNCTION("""COMPUTED_VALUE"""),"Whiteout")</x:f>
      </x:c>
      <x:c r="C6944" s="1">
        <x:f>IFERROR(__xludf.DUMMYFUNCTION("""COMPUTED_VALUE"""),"2009")</x:f>
      </x:c>
    </x:row>
    <x:row r="6945" spans="1:10">
      <x:c r="A6945" s="1" t="s">
        <x:v>6953</x:v>
      </x:c>
      <x:c r="B6945" s="1">
        <x:f>IFERROR(__xludf.DUMMYFUNCTION("""COMPUTED_VALUE"""),"Wichita")</x:f>
      </x:c>
      <x:c r="C6945" s="1">
        <x:f>IFERROR(__xludf.DUMMYFUNCTION("""COMPUTED_VALUE"""),"1955")</x:f>
      </x:c>
    </x:row>
    <x:row r="6946" spans="1:10">
      <x:c r="A6946" s="1" t="s">
        <x:v>6954</x:v>
      </x:c>
      <x:c r="B6946" s="1">
        <x:f>IFERROR(__xludf.DUMMYFUNCTION("""COMPUTED_VALUE"""),"Wicked City")</x:f>
      </x:c>
      <x:c r="C6946" s="1">
        <x:f>IFERROR(__xludf.DUMMYFUNCTION("""COMPUTED_VALUE"""),"1987")</x:f>
      </x:c>
    </x:row>
    <x:row r="6947" spans="1:10">
      <x:c r="A6947" s="1" t="s">
        <x:v>6955</x:v>
      </x:c>
      <x:c r="B6947" s="1">
        <x:f>IFERROR(__xludf.DUMMYFUNCTION("""COMPUTED_VALUE"""),"Wicker Man")</x:f>
      </x:c>
      <x:c r="C6947" s="1">
        <x:f>IFERROR(__xludf.DUMMYFUNCTION("""COMPUTED_VALUE"""),"2006")</x:f>
      </x:c>
    </x:row>
    <x:row r="6948" spans="1:10">
      <x:c r="A6948" s="1" t="s">
        <x:v>6956</x:v>
      </x:c>
      <x:c r="B6948" s="1">
        <x:f>IFERROR(__xludf.DUMMYFUNCTION("""COMPUTED_VALUE"""),"Wild Rose")</x:f>
      </x:c>
      <x:c r="C6948" s="1">
        <x:f>IFERROR(__xludf.DUMMYFUNCTION("""COMPUTED_VALUE"""),"2018")</x:f>
      </x:c>
    </x:row>
    <x:row r="6949" spans="1:10">
      <x:c r="A6949" s="1" t="s">
        <x:v>6957</x:v>
      </x:c>
      <x:c r="B6949" s="1">
        <x:f>IFERROR(__xludf.DUMMYFUNCTION("""COMPUTED_VALUE"""),"Wild Wild West")</x:f>
      </x:c>
      <x:c r="C6949" s="1">
        <x:f>IFERROR(__xludf.DUMMYFUNCTION("""COMPUTED_VALUE"""),"1999")</x:f>
      </x:c>
    </x:row>
    <x:row r="6950" spans="1:10">
      <x:c r="A6950" s="1" t="s">
        <x:v>6958</x:v>
      </x:c>
      <x:c r="B6950" s="1">
        <x:f>IFERROR(__xludf.DUMMYFUNCTION("""COMPUTED_VALUE"""),"Wilde")</x:f>
      </x:c>
      <x:c r="C6950" s="1">
        <x:f>IFERROR(__xludf.DUMMYFUNCTION("""COMPUTED_VALUE"""),"1997")</x:f>
      </x:c>
    </x:row>
    <x:row r="6951" spans="1:10">
      <x:c r="A6951" s="1" t="s">
        <x:v>6959</x:v>
      </x:c>
      <x:c r="B6951" s="1">
        <x:f>IFERROR(__xludf.DUMMYFUNCTION("""COMPUTED_VALUE"""),"Willy’s Wonderland")</x:f>
      </x:c>
      <x:c r="C6951" s="1">
        <x:f>IFERROR(__xludf.DUMMYFUNCTION("""COMPUTED_VALUE"""),"2021")</x:f>
      </x:c>
    </x:row>
    <x:row r="6952" spans="1:10">
      <x:c r="A6952" s="1" t="s">
        <x:v>6960</x:v>
      </x:c>
      <x:c r="B6952" s="1">
        <x:f>IFERROR(__xludf.DUMMYFUNCTION("""COMPUTED_VALUE"""),"Winchester 73")</x:f>
      </x:c>
      <x:c r="C6952" s="1">
        <x:f>IFERROR(__xludf.DUMMYFUNCTION("""COMPUTED_VALUE"""),"1950")</x:f>
      </x:c>
    </x:row>
    <x:row r="6953" spans="1:10">
      <x:c r="A6953" s="1" t="s">
        <x:v>6961</x:v>
      </x:c>
      <x:c r="B6953" s="1">
        <x:f>IFERROR(__xludf.DUMMYFUNCTION("""COMPUTED_VALUE"""),"Windtalkers")</x:f>
      </x:c>
      <x:c r="C6953" s="1">
        <x:f>IFERROR(__xludf.DUMMYFUNCTION("""COMPUTED_VALUE"""),"2002")</x:f>
      </x:c>
    </x:row>
    <x:row r="6954" spans="1:10">
      <x:c r="A6954" s="1" t="s">
        <x:v>6962</x:v>
      </x:c>
      <x:c r="B6954" s="1">
        <x:f>IFERROR(__xludf.DUMMYFUNCTION("""COMPUTED_VALUE"""),"Winnie-the-Pooh Sang i Mel 2")</x:f>
      </x:c>
      <x:c r="C6954" s="1">
        <x:f>IFERROR(__xludf.DUMMYFUNCTION("""COMPUTED_VALUE"""),"2024")</x:f>
      </x:c>
    </x:row>
    <x:row r="6955" spans="1:10">
      <x:c r="A6955" s="1" t="s">
        <x:v>6963</x:v>
      </x:c>
      <x:c r="B6955" s="1">
        <x:f>IFERROR(__xludf.DUMMYFUNCTION("""COMPUTED_VALUE"""),"Winter's Bone")</x:f>
      </x:c>
      <x:c r="C6955" s="1">
        <x:f>IFERROR(__xludf.DUMMYFUNCTION("""COMPUTED_VALUE"""),"2010")</x:f>
      </x:c>
    </x:row>
    <x:row r="6956" spans="1:10">
      <x:c r="A6956" s="1" t="s">
        <x:v>6964</x:v>
      </x:c>
      <x:c r="B6956" s="1">
        <x:f>IFERROR(__xludf.DUMMYFUNCTION("""COMPUTED_VALUE"""),"Winx: El secret del regne perdut")</x:f>
      </x:c>
      <x:c r="C6956" s="1">
        <x:f>IFERROR(__xludf.DUMMYFUNCTION("""COMPUTED_VALUE"""),"2007")</x:f>
      </x:c>
    </x:row>
    <x:row r="6957" spans="1:10">
      <x:c r="A6957" s="1" t="s">
        <x:v>6965</x:v>
      </x:c>
      <x:c r="B6957" s="1">
        <x:f>IFERROR(__xludf.DUMMYFUNCTION("""COMPUTED_VALUE"""),"Winx: L'aventura màgica")</x:f>
      </x:c>
      <x:c r="C6957" s="1">
        <x:f>IFERROR(__xludf.DUMMYFUNCTION("""COMPUTED_VALUE"""),"2010")</x:f>
      </x:c>
    </x:row>
    <x:row r="6958" spans="1:10">
      <x:c r="A6958" s="1" t="s">
        <x:v>6966</x:v>
      </x:c>
      <x:c r="B6958" s="1">
        <x:f>IFERROR(__xludf.DUMMYFUNCTION("""COMPUTED_VALUE"""),"Wish: el poder dels desitjos")</x:f>
      </x:c>
      <x:c r="C6958" s="1">
        <x:f>IFERROR(__xludf.DUMMYFUNCTION("""COMPUTED_VALUE"""),"2023")</x:f>
      </x:c>
    </x:row>
    <x:row r="6959" spans="1:10">
      <x:c r="A6959" s="1" t="s">
        <x:v>6967</x:v>
      </x:c>
      <x:c r="B6959" s="1">
        <x:f>IFERROR(__xludf.DUMMYFUNCTION("""COMPUTED_VALUE"""),"Wolf Creek")</x:f>
      </x:c>
      <x:c r="C6959" s="1">
        <x:f>IFERROR(__xludf.DUMMYFUNCTION("""COMPUTED_VALUE"""),"2005")</x:f>
      </x:c>
    </x:row>
    <x:row r="6960" spans="1:10">
      <x:c r="A6960" s="1" t="s">
        <x:v>6968</x:v>
      </x:c>
      <x:c r="B6960" s="1">
        <x:f>IFERROR(__xludf.DUMMYFUNCTION("""COMPUTED_VALUE"""),"Wolfgang (extraordinari)")</x:f>
      </x:c>
      <x:c r="C6960" s="1">
        <x:f>IFERROR(__xludf.DUMMYFUNCTION("""COMPUTED_VALUE"""),"2025")</x:f>
      </x:c>
    </x:row>
    <x:row r="6961" spans="1:10">
      <x:c r="A6961" s="1" t="s">
        <x:v>6969</x:v>
      </x:c>
      <x:c r="B6961" s="1">
        <x:f>IFERROR(__xludf.DUMMYFUNCTION("""COMPUTED_VALUE"""),"Women Without Men")</x:f>
      </x:c>
      <x:c r="C6961" s="1">
        <x:f>IFERROR(__xludf.DUMMYFUNCTION("""COMPUTED_VALUE"""),"2009")</x:f>
      </x:c>
    </x:row>
    <x:row r="6962" spans="1:10">
      <x:c r="A6962" s="1" t="s">
        <x:v>6970</x:v>
      </x:c>
      <x:c r="B6962" s="1">
        <x:f>IFERROR(__xludf.DUMMYFUNCTION("""COMPUTED_VALUE"""),"Wonder")</x:f>
      </x:c>
      <x:c r="C6962" s="1">
        <x:f>IFERROR(__xludf.DUMMYFUNCTION("""COMPUTED_VALUE"""),"2017")</x:f>
      </x:c>
    </x:row>
    <x:row r="6963" spans="1:10">
      <x:c r="A6963" s="1" t="s">
        <x:v>6971</x:v>
      </x:c>
      <x:c r="B6963" s="1">
        <x:f>IFERROR(__xludf.DUMMYFUNCTION("""COMPUTED_VALUE"""),"Wonder Wheel")</x:f>
      </x:c>
      <x:c r="C6963" s="1">
        <x:f>IFERROR(__xludf.DUMMYFUNCTION("""COMPUTED_VALUE"""),"2017")</x:f>
      </x:c>
    </x:row>
    <x:row r="6964" spans="1:10">
      <x:c r="A6964" s="1" t="s">
        <x:v>6972</x:v>
      </x:c>
      <x:c r="B6964" s="1">
        <x:f>IFERROR(__xludf.DUMMYFUNCTION("""COMPUTED_VALUE"""),"Wonder Woman")</x:f>
      </x:c>
      <x:c r="C6964" s="1">
        <x:f>IFERROR(__xludf.DUMMYFUNCTION("""COMPUTED_VALUE"""),"2017")</x:f>
      </x:c>
    </x:row>
    <x:row r="6965" spans="1:10">
      <x:c r="A6965" s="1" t="s">
        <x:v>6973</x:v>
      </x:c>
      <x:c r="B6965" s="1">
        <x:f>IFERROR(__xludf.DUMMYFUNCTION("""COMPUTED_VALUE"""),"Wonka")</x:f>
      </x:c>
      <x:c r="C6965" s="1">
        <x:f>IFERROR(__xludf.DUMMYFUNCTION("""COMPUTED_VALUE"""),"2023")</x:f>
      </x:c>
    </x:row>
    <x:row r="6966" spans="1:10">
      <x:c r="A6966" s="1" t="s">
        <x:v>6974</x:v>
      </x:c>
      <x:c r="B6966" s="1">
        <x:f>IFERROR(__xludf.DUMMYFUNCTION("""COMPUTED_VALUE"""),"Woochi caçador de dimonis")</x:f>
      </x:c>
      <x:c r="C6966" s="1">
        <x:f>IFERROR(__xludf.DUMMYFUNCTION("""COMPUTED_VALUE"""),"2009")</x:f>
      </x:c>
    </x:row>
    <x:row r="6967" spans="1:10">
      <x:c r="A6967" s="1" t="s">
        <x:v>6975</x:v>
      </x:c>
      <x:c r="B6967" s="1">
        <x:f>IFERROR(__xludf.DUMMYFUNCTION("""COMPUTED_VALUE"""),"Worth")</x:f>
      </x:c>
      <x:c r="C6967" s="1">
        <x:f>IFERROR(__xludf.DUMMYFUNCTION("""COMPUTED_VALUE"""),"2020")</x:f>
      </x:c>
    </x:row>
    <x:row r="6968" spans="1:10">
      <x:c r="A6968" s="1" t="s">
        <x:v>6976</x:v>
      </x:c>
      <x:c r="B6968" s="1">
        <x:f>IFERROR(__xludf.DUMMYFUNCTION("""COMPUTED_VALUE"""),"Wrong Turn: Camí a l'infern")</x:f>
      </x:c>
      <x:c r="C6968" s="1">
        <x:f>IFERROR(__xludf.DUMMYFUNCTION("""COMPUTED_VALUE"""),"2021")</x:f>
      </x:c>
    </x:row>
    <x:row r="6969" spans="1:10">
      <x:c r="A6969" s="1" t="s">
        <x:v>6977</x:v>
      </x:c>
      <x:c r="B6969" s="1">
        <x:f>IFERROR(__xludf.DUMMYFUNCTION("""COMPUTED_VALUE"""),"Wu xia")</x:f>
      </x:c>
      <x:c r="C6969" s="1">
        <x:f>IFERROR(__xludf.DUMMYFUNCTION("""COMPUTED_VALUE"""),"2011")</x:f>
      </x:c>
    </x:row>
    <x:row r="6970" spans="1:10">
      <x:c r="A6970" s="1" t="s">
        <x:v>6978</x:v>
      </x:c>
      <x:c r="B6970" s="1">
        <x:f>IFERROR(__xludf.DUMMYFUNCTION("""COMPUTED_VALUE"""),"Wyatt Earp")</x:f>
      </x:c>
      <x:c r="C6970" s="1">
        <x:f>IFERROR(__xludf.DUMMYFUNCTION("""COMPUTED_VALUE"""),"1994")</x:f>
      </x:c>
    </x:row>
    <x:row r="6971" spans="1:10">
      <x:c r="A6971" s="1" t="s">
        <x:v>6979</x:v>
      </x:c>
      <x:c r="B6971" s="1">
        <x:f>IFERROR(__xludf.DUMMYFUNCTION("""COMPUTED_VALUE"""),"X-Men: La decisió final")</x:f>
      </x:c>
      <x:c r="C6971" s="1">
        <x:f>IFERROR(__xludf.DUMMYFUNCTION("""COMPUTED_VALUE"""),"2006")</x:f>
      </x:c>
    </x:row>
    <x:row r="6972" spans="1:10">
      <x:c r="A6972" s="1" t="s">
        <x:v>6980</x:v>
      </x:c>
      <x:c r="B6972" s="1">
        <x:f>IFERROR(__xludf.DUMMYFUNCTION("""COMPUTED_VALUE"""),"Xantatge")</x:f>
      </x:c>
      <x:c r="C6972" s="1">
        <x:f>IFERROR(__xludf.DUMMYFUNCTION("""COMPUTED_VALUE"""),"2007")</x:f>
      </x:c>
    </x:row>
    <x:row r="6973" spans="1:10">
      <x:c r="A6973" s="1" t="s">
        <x:v>6981</x:v>
      </x:c>
      <x:c r="B6973" s="1">
        <x:f>IFERROR(__xludf.DUMMYFUNCTION("""COMPUTED_VALUE"""),"Xarada")</x:f>
      </x:c>
      <x:c r="C6973" s="1">
        <x:f>IFERROR(__xludf.DUMMYFUNCTION("""COMPUTED_VALUE"""),"1963")</x:f>
      </x:c>
    </x:row>
    <x:row r="6974" spans="1:10">
      <x:c r="A6974" s="1" t="s">
        <x:v>6982</x:v>
      </x:c>
      <x:c r="B6974" s="1">
        <x:f>IFERROR(__xludf.DUMMYFUNCTION("""COMPUTED_VALUE"""),"Xarxa de mentides")</x:f>
      </x:c>
      <x:c r="C6974" s="1">
        <x:f>IFERROR(__xludf.DUMMYFUNCTION("""COMPUTED_VALUE"""),"2008")</x:f>
      </x:c>
    </x:row>
    <x:row r="6975" spans="1:10">
      <x:c r="A6975" s="1" t="s">
        <x:v>6983</x:v>
      </x:c>
      <x:c r="B6975" s="1">
        <x:f>IFERROR(__xludf.DUMMYFUNCTION("""COMPUTED_VALUE"""),"Xavales")</x:f>
      </x:c>
      <x:c r="C6975" s="1">
        <x:f>IFERROR(__xludf.DUMMYFUNCTION("""COMPUTED_VALUE"""),"2021")</x:f>
      </x:c>
    </x:row>
    <x:row r="6976" spans="1:10">
      <x:c r="A6976" s="1" t="s">
        <x:v>6984</x:v>
      </x:c>
      <x:c r="B6976" s="1">
        <x:f>IFERROR(__xludf.DUMMYFUNCTION("""COMPUTED_VALUE"""),"Xavier Enigma i la pel·lícula secreta. Soc la senyora presidenta")</x:f>
      </x:c>
      <x:c r="C6976" s="1">
        <x:f>IFERROR(__xludf.DUMMYFUNCTION("""COMPUTED_VALUE"""),"2019")</x:f>
      </x:c>
    </x:row>
    <x:row r="6977" spans="1:10">
      <x:c r="A6977" s="1" t="s">
        <x:v>6985</x:v>
      </x:c>
      <x:c r="B6977" s="1">
        <x:f>IFERROR(__xludf.DUMMYFUNCTION("""COMPUTED_VALUE"""),"Xavier Vinader, periodista. Contra la guerra bruta")</x:f>
      </x:c>
      <x:c r="C6977" s="1">
        <x:f>IFERROR(__xludf.DUMMYFUNCTION("""COMPUTED_VALUE"""),"2014")</x:f>
      </x:c>
    </x:row>
    <x:row r="6978" spans="1:10">
      <x:c r="A6978" s="1" t="s">
        <x:v>6986</x:v>
      </x:c>
      <x:c r="B6978" s="1">
        <x:f>IFERROR(__xludf.DUMMYFUNCTION("""COMPUTED_VALUE"""),"Xchange")</x:f>
      </x:c>
      <x:c r="C6978" s="1">
        <x:f>IFERROR(__xludf.DUMMYFUNCTION("""COMPUTED_VALUE"""),"2000")</x:f>
      </x:c>
    </x:row>
    <x:row r="6979" spans="1:10">
      <x:c r="A6979" s="1" t="s">
        <x:v>6987</x:v>
      </x:c>
      <x:c r="B6979" s="1">
        <x:f>IFERROR(__xludf.DUMMYFUNCTION("""COMPUTED_VALUE"""),"Xef")</x:f>
      </x:c>
      <x:c r="C6979" s="1">
        <x:f>IFERROR(__xludf.DUMMYFUNCTION("""COMPUTED_VALUE"""),"2014")</x:f>
      </x:c>
    </x:row>
    <x:row r="6980" spans="1:10">
      <x:c r="A6980" s="1" t="s">
        <x:v>6988</x:v>
      </x:c>
      <x:c r="B6980" s="1">
        <x:f>IFERROR(__xludf.DUMMYFUNCTION("""COMPUTED_VALUE"""),"Xirinacs, a contracorrent")</x:f>
      </x:c>
      <x:c r="C6980" s="1">
        <x:f>IFERROR(__xludf.DUMMYFUNCTION("""COMPUTED_VALUE"""),"2016")</x:f>
      </x:c>
    </x:row>
    <x:row r="6981" spans="1:10">
      <x:c r="A6981" s="1" t="s">
        <x:v>6989</x:v>
      </x:c>
      <x:c r="B6981" s="1">
        <x:f>IFERROR(__xludf.DUMMYFUNCTION("""COMPUTED_VALUE"""),"Xiscle de terror [VOSC]")</x:f>
      </x:c>
      <x:c r="C6981" s="1">
        <x:f>IFERROR(__xludf.DUMMYFUNCTION("""COMPUTED_VALUE"""),"1961")</x:f>
      </x:c>
    </x:row>
    <x:row r="6982" spans="1:10">
      <x:c r="A6982" s="1" t="s">
        <x:v>6990</x:v>
      </x:c>
      <x:c r="B6982" s="1">
        <x:f>IFERROR(__xludf.DUMMYFUNCTION("""COMPUTED_VALUE"""),"Xp3D")</x:f>
      </x:c>
      <x:c r="C6982" s="1">
        <x:f>IFERROR(__xludf.DUMMYFUNCTION("""COMPUTED_VALUE"""),"2011")</x:f>
      </x:c>
    </x:row>
    <x:row r="6983" spans="1:10">
      <x:c r="A6983" s="1" t="s">
        <x:v>6991</x:v>
      </x:c>
      <x:c r="B6983" s="1">
        <x:f>IFERROR(__xludf.DUMMYFUNCTION("""COMPUTED_VALUE"""),"Xtrems")</x:f>
      </x:c>
      <x:c r="C6983" s="1">
        <x:f>IFERROR(__xludf.DUMMYFUNCTION("""COMPUTED_VALUE"""),"2009")</x:f>
      </x:c>
    </x:row>
    <x:row r="6984" spans="1:10">
      <x:c r="A6984" s="1" t="s">
        <x:v>6992</x:v>
      </x:c>
      <x:c r="B6984" s="1">
        <x:f>IFERROR(__xludf.DUMMYFUNCTION("""COMPUTED_VALUE"""),"xXx: Estat d'emergència")</x:f>
      </x:c>
      <x:c r="C6984" s="1">
        <x:f>IFERROR(__xludf.DUMMYFUNCTION("""COMPUTED_VALUE"""),"2005")</x:f>
      </x:c>
    </x:row>
    <x:row r="6985" spans="1:10">
      <x:c r="A6985" s="1" t="s">
        <x:v>6993</x:v>
      </x:c>
      <x:c r="B6985" s="1">
        <x:f>IFERROR(__xludf.DUMMYFUNCTION("""COMPUTED_VALUE"""),"Yakuza")</x:f>
      </x:c>
      <x:c r="C6985" s="1">
        <x:f>IFERROR(__xludf.DUMMYFUNCTION("""COMPUTED_VALUE"""),"1974")</x:f>
      </x:c>
    </x:row>
    <x:row r="6986" spans="1:10">
      <x:c r="A6986" s="1" t="s">
        <x:v>6994</x:v>
      </x:c>
      <x:c r="B6986" s="1">
        <x:f>IFERROR(__xludf.DUMMYFUNCTION("""COMPUTED_VALUE"""),"Yamato, la nau espacial de combat")</x:f>
      </x:c>
      <x:c r="C6986" s="1">
        <x:f>IFERROR(__xludf.DUMMYFUNCTION("""COMPUTED_VALUE"""),"2010")</x:f>
      </x:c>
    </x:row>
    <x:row r="6987" spans="1:10">
      <x:c r="A6987" s="1" t="s">
        <x:v>6995</x:v>
      </x:c>
      <x:c r="B6987" s="1">
        <x:f>IFERROR(__xludf.DUMMYFUNCTION("""COMPUTED_VALUE"""),"Yentl")</x:f>
      </x:c>
      <x:c r="C6987" s="1">
        <x:f>IFERROR(__xludf.DUMMYFUNCTION("""COMPUTED_VALUE"""),"1983")</x:f>
      </x:c>
    </x:row>
    <x:row r="6988" spans="1:10">
      <x:c r="A6988" s="1" t="s">
        <x:v>6996</x:v>
      </x:c>
      <x:c r="B6988" s="1">
        <x:f>IFERROR(__xludf.DUMMYFUNCTION("""COMPUTED_VALUE"""),"Yo la busco")</x:f>
      </x:c>
      <x:c r="C6988" s="1">
        <x:f>IFERROR(__xludf.DUMMYFUNCTION("""COMPUTED_VALUE"""),"2018")</x:f>
      </x:c>
    </x:row>
    <x:row r="6989" spans="1:10">
      <x:c r="A6989" s="1" t="s">
        <x:v>6997</x:v>
      </x:c>
      <x:c r="B6989" s="1">
        <x:f>IFERROR(__xludf.DUMMYFUNCTION("""COMPUTED_VALUE"""),"Yo no soy esa [VOSC]")</x:f>
      </x:c>
      <x:c r="C6989" s="1">
        <x:f>IFERROR(__xludf.DUMMYFUNCTION("""COMPUTED_VALUE"""),"2024")</x:f>
      </x:c>
    </x:row>
    <x:row r="6990" spans="1:10">
      <x:c r="A6990" s="1" t="s">
        <x:v>6998</x:v>
      </x:c>
      <x:c r="B6990" s="1">
        <x:f>IFERROR(__xludf.DUMMYFUNCTION("""COMPUTED_VALUE"""),"Yokai Watch: La pel·lícula")</x:f>
      </x:c>
      <x:c r="C6990" s="1">
        <x:f>IFERROR(__xludf.DUMMYFUNCTION("""COMPUTED_VALUE"""),"2014")</x:f>
      </x:c>
    </x:row>
    <x:row r="6991" spans="1:10">
      <x:c r="A6991" s="1" t="s">
        <x:v>6999</x:v>
      </x:c>
      <x:c r="B6991" s="1">
        <x:f>IFERROR(__xludf.DUMMYFUNCTION("""COMPUTED_VALUE"""),"Yoko")</x:f>
      </x:c>
      <x:c r="C6991" s="1">
        <x:f>IFERROR(__xludf.DUMMYFUNCTION("""COMPUTED_VALUE"""),"2012")</x:f>
      </x:c>
    </x:row>
    <x:row r="6992" spans="1:10">
      <x:c r="A6992" s="1" t="s">
        <x:v>7000</x:v>
      </x:c>
      <x:c r="B6992" s="1">
        <x:f>IFERROR(__xludf.DUMMYFUNCTION("""COMPUTED_VALUE"""),"Young Men")</x:f>
      </x:c>
      <x:c r="C6992" s="1">
        <x:f>IFERROR(__xludf.DUMMYFUNCTION("""COMPUTED_VALUE"""),"2016")</x:f>
      </x:c>
    </x:row>
    <x:row r="6993" spans="1:10">
      <x:c r="A6993" s="1" t="s">
        <x:v>7001</x:v>
      </x:c>
      <x:c r="B6993" s="1">
        <x:f>IFERROR(__xludf.DUMMYFUNCTION("""COMPUTED_VALUE"""),"Your Name")</x:f>
      </x:c>
      <x:c r="C6993" s="1">
        <x:f>IFERROR(__xludf.DUMMYFUNCTION("""COMPUTED_VALUE"""),"2016")</x:f>
      </x:c>
    </x:row>
    <x:row r="6994" spans="1:10">
      <x:c r="A6994" s="1" t="s">
        <x:v>7002</x:v>
      </x:c>
      <x:c r="B6994" s="1">
        <x:f>IFERROR(__xludf.DUMMYFUNCTION("""COMPUTED_VALUE"""),"Yuma")</x:f>
      </x:c>
      <x:c r="C6994" s="1">
        <x:f>IFERROR(__xludf.DUMMYFUNCTION("""COMPUTED_VALUE"""),"1957")</x:f>
      </x:c>
    </x:row>
    <x:row r="6995" spans="1:10">
      <x:c r="A6995" s="1" t="s">
        <x:v>7003</x:v>
      </x:c>
      <x:c r="B6995" s="1">
        <x:f>IFERROR(__xludf.DUMMYFUNCTION("""COMPUTED_VALUE"""),"Yves Saint Laurent")</x:f>
      </x:c>
      <x:c r="C6995" s="1">
        <x:f>IFERROR(__xludf.DUMMYFUNCTION("""COMPUTED_VALUE"""),"2014")</x:f>
      </x:c>
    </x:row>
    <x:row r="6996" spans="1:10">
      <x:c r="A6996" s="1" t="s">
        <x:v>7004</x:v>
      </x:c>
      <x:c r="B6996" s="1">
        <x:f>IFERROR(__xludf.DUMMYFUNCTION("""COMPUTED_VALUE"""),"Zarafa")</x:f>
      </x:c>
      <x:c r="C6996" s="1">
        <x:f>IFERROR(__xludf.DUMMYFUNCTION("""COMPUTED_VALUE"""),"2012")</x:f>
      </x:c>
    </x:row>
    <x:row r="6997" spans="1:10">
      <x:c r="A6997" s="1" t="s">
        <x:v>7005</x:v>
      </x:c>
      <x:c r="B6997" s="1">
        <x:f>IFERROR(__xludf.DUMMYFUNCTION("""COMPUTED_VALUE"""),"Zardoz")</x:f>
      </x:c>
      <x:c r="C6997" s="1">
        <x:f>IFERROR(__xludf.DUMMYFUNCTION("""COMPUTED_VALUE"""),"1974")</x:f>
      </x:c>
    </x:row>
    <x:row r="6998" spans="1:10">
      <x:c r="A6998" s="1" t="s">
        <x:v>7006</x:v>
      </x:c>
      <x:c r="B6998" s="1">
        <x:f>IFERROR(__xludf.DUMMYFUNCTION("""COMPUTED_VALUE"""),"Zathura: Una aventura espacial")</x:f>
      </x:c>
      <x:c r="C6998" s="1">
        <x:f>IFERROR(__xludf.DUMMYFUNCTION("""COMPUTED_VALUE"""),"2005")</x:f>
      </x:c>
    </x:row>
    <x:row r="6999" spans="1:10">
      <x:c r="A6999" s="1" t="s">
        <x:v>7007</x:v>
      </x:c>
      <x:c r="B6999" s="1">
        <x:f>IFERROR(__xludf.DUMMYFUNCTION("""COMPUTED_VALUE"""),"Zepeli")</x:f>
      </x:c>
      <x:c r="C6999" s="1">
        <x:f>IFERROR(__xludf.DUMMYFUNCTION("""COMPUTED_VALUE"""),"1971")</x:f>
      </x:c>
    </x:row>
    <x:row r="7000" spans="1:10">
      <x:c r="A7000" s="1" t="s">
        <x:v>7008</x:v>
      </x:c>
      <x:c r="B7000" s="1">
        <x:f>IFERROR(__xludf.DUMMYFUNCTION("""COMPUTED_VALUE"""),"Zero absolut")</x:f>
      </x:c>
      <x:c r="C7000" s="1">
        <x:f>IFERROR(__xludf.DUMMYFUNCTION("""COMPUTED_VALUE"""),"2005")</x:f>
      </x:c>
    </x:row>
    <x:row r="7001" spans="1:10">
      <x:c r="A7001" s="1" t="s">
        <x:v>7009</x:v>
      </x:c>
      <x:c r="B7001" s="1">
        <x:f>IFERROR(__xludf.DUMMYFUNCTION("""COMPUTED_VALUE"""),"Zeros i Uns")</x:f>
      </x:c>
      <x:c r="C7001" s="1">
        <x:f>IFERROR(__xludf.DUMMYFUNCTION("""COMPUTED_VALUE"""),"2021")</x:f>
      </x:c>
    </x:row>
    <x:row r="7002" spans="1:10">
      <x:c r="A7002" s="1" t="s">
        <x:v>7010</x:v>
      </x:c>
      <x:c r="B7002" s="1">
        <x:f>IFERROR(__xludf.DUMMYFUNCTION("""COMPUTED_VALUE"""),"Zibila i el poder de les ratlles")</x:f>
      </x:c>
      <x:c r="C7002" s="1">
        <x:f>IFERROR(__xludf.DUMMYFUNCTION("""COMPUTED_VALUE"""),"2019")</x:f>
      </x:c>
    </x:row>
    <x:row r="7003" spans="1:10">
      <x:c r="A7003" s="1" t="s">
        <x:v>7011</x:v>
      </x:c>
      <x:c r="B7003" s="1">
        <x:f>IFERROR(__xludf.DUMMYFUNCTION("""COMPUTED_VALUE"""),"Zodíac")</x:f>
      </x:c>
      <x:c r="C7003" s="1">
        <x:f>IFERROR(__xludf.DUMMYFUNCTION("""COMPUTED_VALUE"""),"2007")</x:f>
      </x:c>
    </x:row>
    <x:row r="7004" spans="1:10">
      <x:c r="A7004" s="1" t="s">
        <x:v>7012</x:v>
      </x:c>
      <x:c r="B7004" s="1">
        <x:f>IFERROR(__xludf.DUMMYFUNCTION("""COMPUTED_VALUE"""),"Zog i els doctors voladors")</x:f>
      </x:c>
      <x:c r="C7004" s="1">
        <x:f>IFERROR(__xludf.DUMMYFUNCTION("""COMPUTED_VALUE"""),"2020")</x:f>
      </x:c>
    </x:row>
    <x:row r="7005" spans="1:10">
      <x:c r="A7005" s="1" t="s">
        <x:v>7013</x:v>
      </x:c>
      <x:c r="B7005" s="1">
        <x:f>IFERROR(__xludf.DUMMYFUNCTION("""COMPUTED_VALUE"""),"Zog, dracs i heroïnes")</x:f>
      </x:c>
      <x:c r="C7005" s="1">
        <x:f>IFERROR(__xludf.DUMMYFUNCTION("""COMPUTED_VALUE"""),"2018")</x:f>
      </x:c>
    </x:row>
    <x:row r="7006" spans="1:10">
      <x:c r="A7006" s="1" t="s">
        <x:v>7014</x:v>
      </x:c>
      <x:c r="B7006" s="1">
        <x:f>IFERROR(__xludf.DUMMYFUNCTION("""COMPUTED_VALUE"""),"Zohan: llicència per pentinar")</x:f>
      </x:c>
      <x:c r="C7006" s="1">
        <x:f>IFERROR(__xludf.DUMMYFUNCTION("""COMPUTED_VALUE"""),"2008")</x:f>
      </x:c>
    </x:row>
    <x:row r="7007" spans="1:10">
      <x:c r="A7007" s="1" t="s">
        <x:v>7015</x:v>
      </x:c>
      <x:c r="B7007" s="1">
        <x:f>IFERROR(__xludf.DUMMYFUNCTION("""COMPUTED_VALUE"""),"Zombis nazis")</x:f>
      </x:c>
      <x:c r="C7007" s="1">
        <x:f>IFERROR(__xludf.DUMMYFUNCTION("""COMPUTED_VALUE"""),"2009")</x:f>
      </x:c>
    </x:row>
    <x:row r="7008" spans="1:10">
      <x:c r="A7008" s="1" t="s">
        <x:v>7016</x:v>
      </x:c>
      <x:c r="B7008" s="1">
        <x:f>IFERROR(__xludf.DUMMYFUNCTION("""COMPUTED_VALUE"""),"Zootròpolis")</x:f>
      </x:c>
      <x:c r="C7008" s="1">
        <x:f>IFERROR(__xludf.DUMMYFUNCTION("""COMPUTED_VALUE"""),"2016")</x:f>
      </x:c>
    </x:row>
    <x:row r="7009" spans="1:10">
      <x:c r="A7009" s="1" t="s">
        <x:v>7017</x:v>
      </x:c>
      <x:c r="B7009" s="1">
        <x:f>IFERROR(__xludf.DUMMYFUNCTION("""COMPUTED_VALUE"""),"Zootròpolis 2")</x:f>
      </x:c>
      <x:c r="C7009" s="1">
        <x:f>IFERROR(__xludf.DUMMYFUNCTION("""COMPUTED_VALUE"""),"2025")</x:f>
      </x:c>
    </x:row>
    <x:row r="7010" spans="1:10">
      <x:c r="A7010" s="1" t="s">
        <x:v>7018</x:v>
      </x:c>
      <x:c r="B7010" s="1">
        <x:f>IFERROR(__xludf.DUMMYFUNCTION("""COMPUTED_VALUE"""),"Zulo")</x:f>
      </x:c>
      <x:c r="C7010" s="1">
        <x:f>IFERROR(__xludf.DUMMYFUNCTION("""COMPUTED_VALUE"""),"2005")</x:f>
      </x:c>
    </x:row>
  </x:sheetData>
  <x:hyperlinks>
    <x:hyperlink ref="B262" r:id="rId9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